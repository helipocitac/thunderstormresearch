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xr:revisionPtr revIDLastSave="0" documentId="8_{3454B79E-D98E-B549-B77D-F78828E5C755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List1" sheetId="1" r:id="rId1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D741" i="1" l="1"/>
  <c r="C741" i="1"/>
  <c r="B741" i="1"/>
  <c r="D740" i="1"/>
  <c r="C740" i="1"/>
  <c r="B740" i="1"/>
  <c r="D739" i="1"/>
  <c r="C739" i="1"/>
  <c r="B739" i="1"/>
  <c r="D738" i="1"/>
  <c r="C738" i="1"/>
  <c r="B738" i="1"/>
  <c r="D737" i="1"/>
  <c r="C737" i="1"/>
  <c r="B737" i="1"/>
  <c r="D736" i="1"/>
  <c r="C736" i="1"/>
  <c r="B736" i="1"/>
  <c r="D735" i="1"/>
  <c r="C735" i="1"/>
  <c r="B735" i="1"/>
  <c r="D734" i="1"/>
  <c r="C734" i="1"/>
  <c r="B734" i="1"/>
  <c r="D733" i="1"/>
  <c r="C733" i="1"/>
  <c r="B733" i="1"/>
  <c r="D732" i="1"/>
  <c r="C732" i="1"/>
  <c r="B732" i="1"/>
  <c r="D731" i="1"/>
  <c r="C731" i="1"/>
  <c r="B731" i="1"/>
  <c r="D730" i="1"/>
  <c r="C730" i="1"/>
  <c r="B730" i="1"/>
  <c r="D729" i="1"/>
  <c r="C729" i="1"/>
  <c r="B729" i="1"/>
  <c r="D728" i="1"/>
  <c r="C728" i="1"/>
  <c r="B728" i="1"/>
  <c r="D727" i="1"/>
  <c r="C727" i="1"/>
  <c r="B727" i="1"/>
  <c r="D726" i="1"/>
  <c r="C726" i="1"/>
  <c r="B726" i="1"/>
  <c r="D725" i="1"/>
  <c r="C725" i="1"/>
  <c r="B725" i="1"/>
  <c r="D724" i="1"/>
  <c r="C724" i="1"/>
  <c r="B724" i="1"/>
  <c r="D723" i="1"/>
  <c r="C723" i="1"/>
  <c r="B723" i="1"/>
  <c r="D722" i="1"/>
  <c r="C722" i="1"/>
  <c r="B722" i="1"/>
  <c r="D721" i="1"/>
  <c r="C721" i="1"/>
  <c r="B721" i="1"/>
  <c r="D720" i="1"/>
  <c r="C720" i="1"/>
  <c r="B720" i="1"/>
  <c r="D719" i="1"/>
  <c r="C719" i="1"/>
  <c r="B719" i="1"/>
  <c r="D718" i="1"/>
  <c r="C718" i="1"/>
  <c r="B718" i="1"/>
  <c r="D717" i="1"/>
  <c r="C717" i="1"/>
  <c r="B717" i="1"/>
  <c r="D716" i="1"/>
  <c r="C716" i="1"/>
  <c r="B716" i="1"/>
  <c r="D715" i="1"/>
  <c r="C715" i="1"/>
  <c r="B715" i="1"/>
  <c r="D714" i="1"/>
  <c r="C714" i="1"/>
  <c r="B714" i="1"/>
  <c r="D713" i="1"/>
  <c r="C713" i="1"/>
  <c r="B713" i="1"/>
  <c r="D712" i="1"/>
  <c r="C712" i="1"/>
  <c r="B712" i="1"/>
  <c r="D711" i="1"/>
  <c r="C711" i="1"/>
  <c r="B711" i="1"/>
  <c r="D710" i="1"/>
  <c r="C710" i="1"/>
  <c r="B710" i="1"/>
  <c r="D709" i="1"/>
  <c r="C709" i="1"/>
  <c r="B709" i="1"/>
  <c r="D708" i="1"/>
  <c r="C708" i="1"/>
  <c r="B708" i="1"/>
  <c r="D707" i="1"/>
  <c r="C707" i="1"/>
  <c r="B707" i="1"/>
  <c r="D706" i="1"/>
  <c r="C706" i="1"/>
  <c r="B706" i="1"/>
  <c r="D705" i="1"/>
  <c r="C705" i="1"/>
  <c r="B705" i="1"/>
  <c r="D704" i="1"/>
  <c r="C704" i="1"/>
  <c r="B704" i="1"/>
  <c r="D703" i="1"/>
  <c r="C703" i="1"/>
  <c r="B703" i="1"/>
  <c r="D702" i="1"/>
  <c r="C702" i="1"/>
  <c r="B702" i="1"/>
  <c r="D701" i="1"/>
  <c r="C701" i="1"/>
  <c r="B701" i="1"/>
  <c r="D700" i="1"/>
  <c r="C700" i="1"/>
  <c r="B700" i="1"/>
  <c r="D699" i="1"/>
  <c r="C699" i="1"/>
  <c r="B699" i="1"/>
  <c r="D698" i="1"/>
  <c r="C698" i="1"/>
  <c r="B698" i="1"/>
  <c r="D697" i="1"/>
  <c r="C697" i="1"/>
  <c r="B697" i="1"/>
  <c r="D696" i="1"/>
  <c r="C696" i="1"/>
  <c r="B696" i="1"/>
  <c r="D695" i="1"/>
  <c r="C695" i="1"/>
  <c r="B695" i="1"/>
  <c r="D694" i="1"/>
  <c r="C694" i="1"/>
  <c r="B694" i="1"/>
  <c r="D693" i="1"/>
  <c r="C693" i="1"/>
  <c r="B693" i="1"/>
  <c r="D692" i="1"/>
  <c r="C692" i="1"/>
  <c r="B692" i="1"/>
  <c r="D691" i="1"/>
  <c r="C691" i="1"/>
  <c r="B691" i="1"/>
  <c r="D690" i="1"/>
  <c r="C690" i="1"/>
  <c r="B690" i="1"/>
  <c r="D689" i="1"/>
  <c r="C689" i="1"/>
  <c r="B689" i="1"/>
  <c r="D688" i="1"/>
  <c r="C688" i="1"/>
  <c r="B688" i="1"/>
  <c r="D687" i="1"/>
  <c r="C687" i="1"/>
  <c r="B687" i="1"/>
  <c r="D686" i="1"/>
  <c r="C686" i="1"/>
  <c r="B686" i="1"/>
  <c r="D685" i="1"/>
  <c r="C685" i="1"/>
  <c r="B685" i="1"/>
  <c r="D684" i="1"/>
  <c r="C684" i="1"/>
  <c r="B684" i="1"/>
  <c r="D683" i="1"/>
  <c r="C683" i="1"/>
  <c r="B683" i="1"/>
  <c r="D682" i="1"/>
  <c r="C682" i="1"/>
  <c r="B682" i="1"/>
  <c r="D681" i="1"/>
  <c r="C681" i="1"/>
  <c r="B681" i="1"/>
  <c r="D680" i="1"/>
  <c r="C680" i="1"/>
  <c r="B680" i="1"/>
  <c r="D679" i="1"/>
  <c r="C679" i="1"/>
  <c r="B679" i="1"/>
  <c r="D678" i="1"/>
  <c r="C678" i="1"/>
  <c r="B678" i="1"/>
  <c r="D677" i="1"/>
  <c r="C677" i="1"/>
  <c r="B677" i="1"/>
  <c r="D676" i="1"/>
  <c r="C676" i="1"/>
  <c r="B676" i="1"/>
  <c r="D675" i="1"/>
  <c r="C675" i="1"/>
  <c r="B675" i="1"/>
  <c r="D674" i="1"/>
  <c r="C674" i="1"/>
  <c r="B674" i="1"/>
  <c r="D673" i="1"/>
  <c r="C673" i="1"/>
  <c r="B673" i="1"/>
  <c r="D672" i="1"/>
  <c r="C672" i="1"/>
  <c r="B672" i="1"/>
  <c r="D671" i="1"/>
  <c r="C671" i="1"/>
  <c r="B671" i="1"/>
  <c r="D670" i="1"/>
  <c r="C670" i="1"/>
  <c r="B670" i="1"/>
  <c r="D669" i="1"/>
  <c r="C669" i="1"/>
  <c r="B669" i="1"/>
  <c r="D668" i="1"/>
  <c r="C668" i="1"/>
  <c r="B668" i="1"/>
  <c r="D667" i="1"/>
  <c r="C667" i="1"/>
  <c r="B667" i="1"/>
  <c r="D666" i="1"/>
  <c r="C666" i="1"/>
  <c r="B666" i="1"/>
  <c r="D665" i="1"/>
  <c r="C665" i="1"/>
  <c r="B665" i="1"/>
  <c r="D664" i="1"/>
  <c r="C664" i="1"/>
  <c r="B664" i="1"/>
  <c r="D663" i="1"/>
  <c r="C663" i="1"/>
  <c r="B663" i="1"/>
  <c r="D662" i="1"/>
  <c r="C662" i="1"/>
  <c r="B662" i="1"/>
  <c r="D661" i="1"/>
  <c r="C661" i="1"/>
  <c r="B661" i="1"/>
  <c r="D660" i="1"/>
  <c r="C660" i="1"/>
  <c r="B660" i="1"/>
  <c r="D659" i="1"/>
  <c r="C659" i="1"/>
  <c r="B659" i="1"/>
  <c r="D658" i="1"/>
  <c r="C658" i="1"/>
  <c r="B658" i="1"/>
  <c r="D657" i="1"/>
  <c r="C657" i="1"/>
  <c r="B657" i="1"/>
  <c r="D656" i="1"/>
  <c r="C656" i="1"/>
  <c r="B656" i="1"/>
  <c r="D655" i="1"/>
  <c r="C655" i="1"/>
  <c r="B655" i="1"/>
  <c r="D654" i="1"/>
  <c r="C654" i="1"/>
  <c r="B654" i="1"/>
  <c r="D653" i="1"/>
  <c r="C653" i="1"/>
  <c r="B653" i="1"/>
  <c r="D652" i="1"/>
  <c r="C652" i="1"/>
  <c r="B652" i="1"/>
  <c r="D651" i="1"/>
  <c r="C651" i="1"/>
  <c r="B651" i="1"/>
  <c r="D650" i="1"/>
  <c r="C650" i="1"/>
  <c r="B650" i="1"/>
  <c r="D649" i="1"/>
  <c r="C649" i="1"/>
  <c r="B649" i="1"/>
  <c r="D648" i="1"/>
  <c r="C648" i="1"/>
  <c r="B648" i="1"/>
  <c r="D647" i="1"/>
  <c r="C647" i="1"/>
  <c r="B647" i="1"/>
  <c r="D646" i="1"/>
  <c r="C646" i="1"/>
  <c r="B646" i="1"/>
  <c r="D645" i="1"/>
  <c r="C645" i="1"/>
  <c r="B645" i="1"/>
  <c r="D644" i="1"/>
  <c r="C644" i="1"/>
  <c r="B644" i="1"/>
  <c r="D643" i="1"/>
  <c r="C643" i="1"/>
  <c r="B643" i="1"/>
  <c r="D642" i="1"/>
  <c r="C642" i="1"/>
  <c r="B642" i="1"/>
  <c r="D641" i="1"/>
  <c r="C641" i="1"/>
  <c r="B641" i="1"/>
  <c r="D640" i="1"/>
  <c r="C640" i="1"/>
  <c r="B640" i="1"/>
  <c r="D639" i="1"/>
  <c r="C639" i="1"/>
  <c r="B639" i="1"/>
  <c r="D638" i="1"/>
  <c r="C638" i="1"/>
  <c r="B638" i="1"/>
  <c r="D637" i="1"/>
  <c r="C637" i="1"/>
  <c r="B637" i="1"/>
  <c r="D636" i="1"/>
  <c r="C636" i="1"/>
  <c r="B636" i="1"/>
  <c r="D635" i="1"/>
  <c r="C635" i="1"/>
  <c r="B635" i="1"/>
  <c r="D634" i="1"/>
  <c r="C634" i="1"/>
  <c r="B634" i="1"/>
  <c r="D633" i="1"/>
  <c r="C633" i="1"/>
  <c r="B633" i="1"/>
  <c r="D632" i="1"/>
  <c r="C632" i="1"/>
  <c r="B632" i="1"/>
  <c r="D631" i="1"/>
  <c r="C631" i="1"/>
  <c r="B631" i="1"/>
  <c r="D630" i="1"/>
  <c r="C630" i="1"/>
  <c r="B630" i="1"/>
  <c r="D629" i="1"/>
  <c r="C629" i="1"/>
  <c r="B629" i="1"/>
  <c r="D628" i="1"/>
  <c r="C628" i="1"/>
  <c r="B628" i="1"/>
  <c r="D627" i="1"/>
  <c r="C627" i="1"/>
  <c r="B627" i="1"/>
  <c r="D626" i="1"/>
  <c r="C626" i="1"/>
  <c r="B626" i="1"/>
  <c r="D625" i="1"/>
  <c r="C625" i="1"/>
  <c r="B625" i="1"/>
  <c r="D624" i="1"/>
  <c r="C624" i="1"/>
  <c r="B624" i="1"/>
  <c r="D623" i="1"/>
  <c r="C623" i="1"/>
  <c r="B623" i="1"/>
  <c r="D622" i="1"/>
  <c r="C622" i="1"/>
  <c r="B622" i="1"/>
  <c r="D621" i="1"/>
  <c r="C621" i="1"/>
  <c r="B621" i="1"/>
  <c r="D620" i="1"/>
  <c r="C620" i="1"/>
  <c r="B620" i="1"/>
  <c r="D619" i="1"/>
  <c r="C619" i="1"/>
  <c r="B619" i="1"/>
  <c r="D618" i="1"/>
  <c r="C618" i="1"/>
  <c r="B618" i="1"/>
  <c r="D617" i="1"/>
  <c r="C617" i="1"/>
  <c r="B617" i="1"/>
  <c r="D616" i="1"/>
  <c r="C616" i="1"/>
  <c r="B616" i="1"/>
  <c r="D615" i="1"/>
  <c r="C615" i="1"/>
  <c r="B615" i="1"/>
  <c r="D614" i="1"/>
  <c r="C614" i="1"/>
  <c r="B614" i="1"/>
  <c r="D613" i="1"/>
  <c r="C613" i="1"/>
  <c r="B613" i="1"/>
  <c r="D612" i="1"/>
  <c r="C612" i="1"/>
  <c r="B612" i="1"/>
  <c r="D611" i="1"/>
  <c r="C611" i="1"/>
  <c r="B611" i="1"/>
  <c r="D610" i="1"/>
  <c r="C610" i="1"/>
  <c r="B610" i="1"/>
  <c r="D609" i="1"/>
  <c r="C609" i="1"/>
  <c r="B609" i="1"/>
  <c r="D608" i="1"/>
  <c r="C608" i="1"/>
  <c r="B608" i="1"/>
  <c r="D607" i="1"/>
  <c r="C607" i="1"/>
  <c r="B607" i="1"/>
  <c r="D606" i="1"/>
  <c r="C606" i="1"/>
  <c r="B606" i="1"/>
  <c r="D605" i="1"/>
  <c r="C605" i="1"/>
  <c r="B605" i="1"/>
  <c r="D604" i="1"/>
  <c r="C604" i="1"/>
  <c r="B604" i="1"/>
  <c r="D603" i="1"/>
  <c r="C603" i="1"/>
  <c r="B603" i="1"/>
  <c r="D602" i="1"/>
  <c r="C602" i="1"/>
  <c r="B602" i="1"/>
  <c r="D601" i="1"/>
  <c r="C601" i="1"/>
  <c r="B601" i="1"/>
  <c r="D600" i="1"/>
  <c r="C600" i="1"/>
  <c r="B600" i="1"/>
  <c r="D599" i="1"/>
  <c r="C599" i="1"/>
  <c r="B599" i="1"/>
  <c r="D598" i="1"/>
  <c r="C598" i="1"/>
  <c r="B598" i="1"/>
  <c r="D597" i="1"/>
  <c r="C597" i="1"/>
  <c r="B597" i="1"/>
  <c r="D596" i="1"/>
  <c r="C596" i="1"/>
  <c r="B596" i="1"/>
  <c r="D595" i="1"/>
  <c r="C595" i="1"/>
  <c r="B595" i="1"/>
  <c r="D594" i="1"/>
  <c r="C594" i="1"/>
  <c r="B594" i="1"/>
  <c r="D593" i="1"/>
  <c r="C593" i="1"/>
  <c r="B593" i="1"/>
  <c r="D592" i="1"/>
  <c r="C592" i="1"/>
  <c r="B592" i="1"/>
  <c r="D591" i="1"/>
  <c r="C591" i="1"/>
  <c r="B591" i="1"/>
  <c r="D590" i="1"/>
  <c r="C590" i="1"/>
  <c r="B590" i="1"/>
  <c r="D589" i="1"/>
  <c r="C589" i="1"/>
  <c r="B589" i="1"/>
  <c r="D588" i="1"/>
  <c r="C588" i="1"/>
  <c r="B588" i="1"/>
  <c r="D587" i="1"/>
  <c r="C587" i="1"/>
  <c r="B587" i="1"/>
  <c r="D586" i="1"/>
  <c r="C586" i="1"/>
  <c r="B586" i="1"/>
  <c r="D585" i="1"/>
  <c r="C585" i="1"/>
  <c r="B585" i="1"/>
  <c r="D584" i="1"/>
  <c r="C584" i="1"/>
  <c r="B584" i="1"/>
  <c r="D583" i="1"/>
  <c r="C583" i="1"/>
  <c r="B583" i="1"/>
  <c r="D582" i="1"/>
  <c r="C582" i="1"/>
  <c r="B582" i="1"/>
  <c r="D581" i="1"/>
  <c r="C581" i="1"/>
  <c r="B581" i="1"/>
  <c r="D580" i="1"/>
  <c r="C580" i="1"/>
  <c r="B580" i="1"/>
  <c r="D579" i="1"/>
  <c r="C579" i="1"/>
  <c r="B579" i="1"/>
  <c r="D578" i="1"/>
  <c r="C578" i="1"/>
  <c r="B578" i="1"/>
  <c r="D577" i="1"/>
  <c r="C577" i="1"/>
  <c r="B577" i="1"/>
  <c r="D576" i="1"/>
  <c r="C576" i="1"/>
  <c r="B576" i="1"/>
  <c r="D575" i="1"/>
  <c r="C575" i="1"/>
  <c r="B575" i="1"/>
  <c r="D574" i="1"/>
  <c r="C574" i="1"/>
  <c r="B574" i="1"/>
  <c r="D573" i="1"/>
  <c r="C573" i="1"/>
  <c r="B573" i="1"/>
  <c r="D572" i="1"/>
  <c r="C572" i="1"/>
  <c r="B572" i="1"/>
  <c r="D571" i="1"/>
  <c r="C571" i="1"/>
  <c r="B571" i="1"/>
  <c r="D570" i="1"/>
  <c r="C570" i="1"/>
  <c r="B570" i="1"/>
  <c r="D569" i="1"/>
  <c r="C569" i="1"/>
  <c r="B569" i="1"/>
  <c r="D568" i="1"/>
  <c r="C568" i="1"/>
  <c r="B568" i="1"/>
  <c r="D567" i="1"/>
  <c r="C567" i="1"/>
  <c r="B567" i="1"/>
  <c r="D566" i="1"/>
  <c r="C566" i="1"/>
  <c r="B566" i="1"/>
  <c r="D565" i="1"/>
  <c r="C565" i="1"/>
  <c r="B565" i="1"/>
  <c r="D564" i="1"/>
  <c r="C564" i="1"/>
  <c r="B564" i="1"/>
  <c r="D563" i="1"/>
  <c r="C563" i="1"/>
  <c r="B563" i="1"/>
  <c r="D562" i="1"/>
  <c r="C562" i="1"/>
  <c r="B562" i="1"/>
  <c r="D561" i="1"/>
  <c r="C561" i="1"/>
  <c r="B561" i="1"/>
  <c r="D560" i="1"/>
  <c r="C560" i="1"/>
  <c r="B560" i="1"/>
  <c r="D559" i="1"/>
  <c r="C559" i="1"/>
  <c r="B559" i="1"/>
  <c r="D558" i="1"/>
  <c r="C558" i="1"/>
  <c r="B558" i="1"/>
  <c r="D557" i="1"/>
  <c r="C557" i="1"/>
  <c r="B557" i="1"/>
  <c r="D556" i="1"/>
  <c r="C556" i="1"/>
  <c r="B556" i="1"/>
  <c r="D555" i="1"/>
  <c r="C555" i="1"/>
  <c r="B555" i="1"/>
  <c r="D554" i="1"/>
  <c r="C554" i="1"/>
  <c r="B554" i="1"/>
  <c r="D553" i="1"/>
  <c r="C553" i="1"/>
  <c r="B553" i="1"/>
  <c r="D552" i="1"/>
  <c r="C552" i="1"/>
  <c r="B552" i="1"/>
  <c r="D551" i="1"/>
  <c r="C551" i="1"/>
  <c r="B551" i="1"/>
  <c r="D550" i="1"/>
  <c r="C550" i="1"/>
  <c r="B550" i="1"/>
  <c r="D549" i="1"/>
  <c r="C549" i="1"/>
  <c r="B549" i="1"/>
  <c r="D548" i="1"/>
  <c r="C548" i="1"/>
  <c r="B548" i="1"/>
  <c r="D547" i="1"/>
  <c r="C547" i="1"/>
  <c r="B547" i="1"/>
  <c r="D546" i="1"/>
  <c r="C546" i="1"/>
  <c r="B546" i="1"/>
  <c r="D545" i="1"/>
  <c r="C545" i="1"/>
  <c r="B545" i="1"/>
  <c r="D544" i="1"/>
  <c r="C544" i="1"/>
  <c r="B544" i="1"/>
  <c r="D543" i="1"/>
  <c r="C543" i="1"/>
  <c r="B543" i="1"/>
  <c r="D542" i="1"/>
  <c r="C542" i="1"/>
  <c r="B542" i="1"/>
  <c r="D541" i="1"/>
  <c r="C541" i="1"/>
  <c r="B541" i="1"/>
  <c r="D540" i="1"/>
  <c r="C540" i="1"/>
  <c r="B540" i="1"/>
  <c r="D539" i="1"/>
  <c r="C539" i="1"/>
  <c r="B539" i="1"/>
  <c r="D538" i="1"/>
  <c r="C538" i="1"/>
  <c r="B538" i="1"/>
  <c r="D537" i="1"/>
  <c r="C537" i="1"/>
  <c r="B537" i="1"/>
  <c r="D536" i="1"/>
  <c r="C536" i="1"/>
  <c r="B536" i="1"/>
  <c r="D535" i="1"/>
  <c r="C535" i="1"/>
  <c r="B535" i="1"/>
  <c r="D534" i="1"/>
  <c r="C534" i="1"/>
  <c r="B534" i="1"/>
  <c r="D533" i="1"/>
  <c r="C533" i="1"/>
  <c r="B533" i="1"/>
  <c r="D532" i="1"/>
  <c r="C532" i="1"/>
  <c r="B532" i="1"/>
  <c r="D531" i="1"/>
  <c r="C531" i="1"/>
  <c r="B531" i="1"/>
  <c r="D530" i="1"/>
  <c r="C530" i="1"/>
  <c r="B530" i="1"/>
  <c r="D529" i="1"/>
  <c r="C529" i="1"/>
  <c r="B529" i="1"/>
  <c r="D528" i="1"/>
  <c r="C528" i="1"/>
  <c r="B528" i="1"/>
  <c r="D527" i="1"/>
  <c r="C527" i="1"/>
  <c r="B527" i="1"/>
  <c r="D526" i="1"/>
  <c r="C526" i="1"/>
  <c r="B526" i="1"/>
  <c r="D525" i="1"/>
  <c r="C525" i="1"/>
  <c r="B525" i="1"/>
  <c r="D524" i="1"/>
  <c r="C524" i="1"/>
  <c r="B524" i="1"/>
  <c r="D523" i="1"/>
  <c r="C523" i="1"/>
  <c r="B523" i="1"/>
  <c r="D522" i="1"/>
  <c r="C522" i="1"/>
  <c r="B522" i="1"/>
  <c r="D521" i="1"/>
  <c r="C521" i="1"/>
  <c r="B521" i="1"/>
  <c r="D520" i="1"/>
  <c r="C520" i="1"/>
  <c r="B520" i="1"/>
  <c r="D519" i="1"/>
  <c r="C519" i="1"/>
  <c r="B519" i="1"/>
  <c r="D518" i="1"/>
  <c r="C518" i="1"/>
  <c r="B518" i="1"/>
  <c r="D517" i="1"/>
  <c r="C517" i="1"/>
  <c r="B517" i="1"/>
  <c r="D516" i="1"/>
  <c r="C516" i="1"/>
  <c r="B516" i="1"/>
  <c r="D515" i="1"/>
  <c r="C515" i="1"/>
  <c r="B515" i="1"/>
  <c r="D514" i="1"/>
  <c r="C514" i="1"/>
  <c r="B514" i="1"/>
  <c r="D513" i="1"/>
  <c r="C513" i="1"/>
  <c r="B513" i="1"/>
  <c r="D512" i="1"/>
  <c r="C512" i="1"/>
  <c r="B512" i="1"/>
  <c r="D511" i="1"/>
  <c r="C511" i="1"/>
  <c r="B511" i="1"/>
  <c r="D510" i="1"/>
  <c r="C510" i="1"/>
  <c r="B510" i="1"/>
  <c r="D509" i="1"/>
  <c r="C509" i="1"/>
  <c r="B509" i="1"/>
  <c r="D508" i="1"/>
  <c r="C508" i="1"/>
  <c r="B508" i="1"/>
  <c r="D507" i="1"/>
  <c r="C507" i="1"/>
  <c r="B507" i="1"/>
  <c r="D506" i="1"/>
  <c r="C506" i="1"/>
  <c r="B506" i="1"/>
  <c r="D505" i="1"/>
  <c r="C505" i="1"/>
  <c r="B505" i="1"/>
  <c r="D504" i="1"/>
  <c r="C504" i="1"/>
  <c r="B504" i="1"/>
  <c r="D503" i="1"/>
  <c r="C503" i="1"/>
  <c r="B503" i="1"/>
  <c r="D502" i="1"/>
  <c r="C502" i="1"/>
  <c r="B502" i="1"/>
  <c r="D501" i="1"/>
  <c r="C501" i="1"/>
  <c r="B501" i="1"/>
  <c r="D500" i="1"/>
  <c r="C500" i="1"/>
  <c r="B500" i="1"/>
  <c r="D499" i="1"/>
  <c r="C499" i="1"/>
  <c r="B499" i="1"/>
  <c r="D498" i="1"/>
  <c r="C498" i="1"/>
  <c r="B498" i="1"/>
  <c r="D497" i="1"/>
  <c r="C497" i="1"/>
  <c r="B497" i="1"/>
  <c r="D496" i="1"/>
  <c r="C496" i="1"/>
  <c r="B496" i="1"/>
  <c r="D495" i="1"/>
  <c r="C495" i="1"/>
  <c r="B495" i="1"/>
  <c r="D494" i="1"/>
  <c r="C494" i="1"/>
  <c r="B494" i="1"/>
  <c r="D493" i="1"/>
  <c r="C493" i="1"/>
  <c r="B493" i="1"/>
  <c r="D492" i="1"/>
  <c r="C492" i="1"/>
  <c r="B492" i="1"/>
  <c r="D491" i="1"/>
  <c r="C491" i="1"/>
  <c r="B491" i="1"/>
  <c r="D490" i="1"/>
  <c r="C490" i="1"/>
  <c r="B490" i="1"/>
  <c r="D489" i="1"/>
  <c r="C489" i="1"/>
  <c r="B489" i="1"/>
  <c r="D488" i="1"/>
  <c r="C488" i="1"/>
  <c r="B488" i="1"/>
  <c r="D487" i="1"/>
  <c r="C487" i="1"/>
  <c r="B487" i="1"/>
  <c r="D486" i="1"/>
  <c r="C486" i="1"/>
  <c r="B486" i="1"/>
  <c r="D485" i="1"/>
  <c r="C485" i="1"/>
  <c r="B485" i="1"/>
  <c r="D484" i="1"/>
  <c r="C484" i="1"/>
  <c r="B484" i="1"/>
  <c r="D483" i="1"/>
  <c r="C483" i="1"/>
  <c r="B483" i="1"/>
  <c r="D482" i="1"/>
  <c r="C482" i="1"/>
  <c r="B482" i="1"/>
  <c r="D481" i="1"/>
  <c r="C481" i="1"/>
  <c r="B481" i="1"/>
  <c r="D480" i="1"/>
  <c r="C480" i="1"/>
  <c r="B480" i="1"/>
  <c r="D479" i="1"/>
  <c r="C479" i="1"/>
  <c r="B479" i="1"/>
  <c r="D478" i="1"/>
  <c r="C478" i="1"/>
  <c r="B478" i="1"/>
  <c r="D477" i="1"/>
  <c r="C477" i="1"/>
  <c r="B477" i="1"/>
  <c r="D476" i="1"/>
  <c r="C476" i="1"/>
  <c r="B476" i="1"/>
  <c r="D475" i="1"/>
  <c r="C475" i="1"/>
  <c r="B475" i="1"/>
  <c r="D474" i="1"/>
  <c r="C474" i="1"/>
  <c r="B474" i="1"/>
  <c r="D473" i="1"/>
  <c r="C473" i="1"/>
  <c r="B473" i="1"/>
  <c r="D472" i="1"/>
  <c r="C472" i="1"/>
  <c r="B472" i="1"/>
  <c r="D471" i="1"/>
  <c r="C471" i="1"/>
  <c r="B471" i="1"/>
  <c r="D470" i="1"/>
  <c r="C470" i="1"/>
  <c r="B470" i="1"/>
  <c r="D469" i="1"/>
  <c r="C469" i="1"/>
  <c r="B469" i="1"/>
  <c r="D468" i="1"/>
  <c r="C468" i="1"/>
  <c r="B468" i="1"/>
  <c r="D467" i="1"/>
  <c r="C467" i="1"/>
  <c r="B467" i="1"/>
  <c r="D466" i="1"/>
  <c r="C466" i="1"/>
  <c r="B466" i="1"/>
  <c r="D465" i="1"/>
  <c r="C465" i="1"/>
  <c r="B465" i="1"/>
  <c r="D464" i="1"/>
  <c r="C464" i="1"/>
  <c r="B464" i="1"/>
  <c r="D463" i="1"/>
  <c r="C463" i="1"/>
  <c r="B463" i="1"/>
  <c r="D462" i="1"/>
  <c r="C462" i="1"/>
  <c r="B462" i="1"/>
  <c r="D461" i="1"/>
  <c r="C461" i="1"/>
  <c r="B461" i="1"/>
  <c r="D460" i="1"/>
  <c r="C460" i="1"/>
  <c r="B460" i="1"/>
  <c r="D459" i="1"/>
  <c r="C459" i="1"/>
  <c r="B459" i="1"/>
  <c r="D458" i="1"/>
  <c r="C458" i="1"/>
  <c r="B458" i="1"/>
  <c r="D457" i="1"/>
  <c r="C457" i="1"/>
  <c r="B457" i="1"/>
  <c r="D456" i="1"/>
  <c r="C456" i="1"/>
  <c r="B456" i="1"/>
  <c r="D455" i="1"/>
  <c r="C455" i="1"/>
  <c r="B455" i="1"/>
  <c r="D454" i="1"/>
  <c r="C454" i="1"/>
  <c r="B454" i="1"/>
  <c r="D453" i="1"/>
  <c r="C453" i="1"/>
  <c r="B453" i="1"/>
  <c r="D452" i="1"/>
  <c r="C452" i="1"/>
  <c r="B452" i="1"/>
  <c r="D451" i="1"/>
  <c r="C451" i="1"/>
  <c r="B451" i="1"/>
  <c r="D450" i="1"/>
  <c r="C450" i="1"/>
  <c r="B450" i="1"/>
  <c r="D449" i="1"/>
  <c r="C449" i="1"/>
  <c r="B449" i="1"/>
  <c r="D448" i="1"/>
  <c r="C448" i="1"/>
  <c r="B448" i="1"/>
  <c r="D447" i="1"/>
  <c r="C447" i="1"/>
  <c r="B447" i="1"/>
  <c r="D446" i="1"/>
  <c r="C446" i="1"/>
  <c r="B446" i="1"/>
  <c r="D445" i="1"/>
  <c r="C445" i="1"/>
  <c r="B445" i="1"/>
  <c r="D444" i="1"/>
  <c r="C444" i="1"/>
  <c r="B444" i="1"/>
  <c r="D443" i="1"/>
  <c r="C443" i="1"/>
  <c r="B443" i="1"/>
  <c r="D442" i="1"/>
  <c r="C442" i="1"/>
  <c r="B442" i="1"/>
  <c r="D441" i="1"/>
  <c r="C441" i="1"/>
  <c r="B441" i="1"/>
  <c r="D440" i="1"/>
  <c r="C440" i="1"/>
  <c r="B440" i="1"/>
  <c r="D439" i="1"/>
  <c r="C439" i="1"/>
  <c r="B439" i="1"/>
  <c r="D438" i="1"/>
  <c r="C438" i="1"/>
  <c r="B438" i="1"/>
  <c r="D437" i="1"/>
  <c r="C437" i="1"/>
  <c r="B437" i="1"/>
  <c r="D436" i="1"/>
  <c r="C436" i="1"/>
  <c r="B436" i="1"/>
  <c r="D435" i="1"/>
  <c r="C435" i="1"/>
  <c r="B435" i="1"/>
  <c r="D434" i="1"/>
  <c r="C434" i="1"/>
  <c r="B434" i="1"/>
  <c r="D433" i="1"/>
  <c r="C433" i="1"/>
  <c r="B433" i="1"/>
  <c r="D432" i="1"/>
  <c r="C432" i="1"/>
  <c r="B432" i="1"/>
  <c r="D431" i="1"/>
  <c r="C431" i="1"/>
  <c r="B431" i="1"/>
  <c r="D430" i="1"/>
  <c r="C430" i="1"/>
  <c r="B430" i="1"/>
  <c r="D429" i="1"/>
  <c r="C429" i="1"/>
  <c r="B429" i="1"/>
  <c r="D428" i="1"/>
  <c r="C428" i="1"/>
  <c r="B428" i="1"/>
  <c r="D427" i="1"/>
  <c r="C427" i="1"/>
  <c r="B427" i="1"/>
  <c r="D426" i="1"/>
  <c r="C426" i="1"/>
  <c r="B426" i="1"/>
  <c r="D425" i="1"/>
  <c r="C425" i="1"/>
  <c r="B425" i="1"/>
  <c r="D424" i="1"/>
  <c r="C424" i="1"/>
  <c r="B424" i="1"/>
  <c r="D423" i="1"/>
  <c r="C423" i="1"/>
  <c r="B423" i="1"/>
  <c r="D422" i="1"/>
  <c r="C422" i="1"/>
  <c r="B422" i="1"/>
  <c r="D421" i="1"/>
  <c r="C421" i="1"/>
  <c r="B421" i="1"/>
  <c r="D420" i="1"/>
  <c r="C420" i="1"/>
  <c r="B420" i="1"/>
  <c r="D419" i="1"/>
  <c r="C419" i="1"/>
  <c r="B419" i="1"/>
  <c r="D418" i="1"/>
  <c r="C418" i="1"/>
  <c r="B418" i="1"/>
  <c r="D417" i="1"/>
  <c r="C417" i="1"/>
  <c r="B417" i="1"/>
  <c r="D416" i="1"/>
  <c r="C416" i="1"/>
  <c r="B416" i="1"/>
  <c r="D415" i="1"/>
  <c r="C415" i="1"/>
  <c r="B415" i="1"/>
  <c r="D414" i="1"/>
  <c r="C414" i="1"/>
  <c r="B414" i="1"/>
  <c r="D413" i="1"/>
  <c r="C413" i="1"/>
  <c r="B413" i="1"/>
  <c r="D412" i="1"/>
  <c r="C412" i="1"/>
  <c r="B412" i="1"/>
  <c r="D411" i="1"/>
  <c r="C411" i="1"/>
  <c r="B411" i="1"/>
  <c r="D410" i="1"/>
  <c r="C410" i="1"/>
  <c r="B410" i="1"/>
  <c r="D409" i="1"/>
  <c r="C409" i="1"/>
  <c r="B409" i="1"/>
  <c r="D408" i="1"/>
  <c r="C408" i="1"/>
  <c r="B408" i="1"/>
  <c r="D407" i="1"/>
  <c r="C407" i="1"/>
  <c r="B407" i="1"/>
  <c r="D406" i="1"/>
  <c r="C406" i="1"/>
  <c r="B406" i="1"/>
  <c r="D405" i="1"/>
  <c r="C405" i="1"/>
  <c r="B405" i="1"/>
  <c r="D404" i="1"/>
  <c r="C404" i="1"/>
  <c r="B404" i="1"/>
  <c r="D403" i="1"/>
  <c r="C403" i="1"/>
  <c r="B403" i="1"/>
  <c r="D402" i="1"/>
  <c r="C402" i="1"/>
  <c r="B402" i="1"/>
  <c r="D401" i="1"/>
  <c r="C401" i="1"/>
  <c r="B401" i="1"/>
  <c r="D400" i="1"/>
  <c r="C400" i="1"/>
  <c r="B400" i="1"/>
  <c r="D399" i="1"/>
  <c r="C399" i="1"/>
  <c r="B399" i="1"/>
  <c r="D398" i="1"/>
  <c r="C398" i="1"/>
  <c r="B398" i="1"/>
  <c r="D397" i="1"/>
  <c r="C397" i="1"/>
  <c r="B397" i="1"/>
  <c r="D396" i="1"/>
  <c r="C396" i="1"/>
  <c r="B396" i="1"/>
  <c r="D395" i="1"/>
  <c r="C395" i="1"/>
  <c r="B395" i="1"/>
  <c r="D394" i="1"/>
  <c r="C394" i="1"/>
  <c r="B394" i="1"/>
  <c r="D393" i="1"/>
  <c r="C393" i="1"/>
  <c r="B393" i="1"/>
  <c r="D392" i="1"/>
  <c r="C392" i="1"/>
  <c r="B392" i="1"/>
  <c r="D391" i="1"/>
  <c r="C391" i="1"/>
  <c r="B391" i="1"/>
  <c r="D390" i="1"/>
  <c r="C390" i="1"/>
  <c r="B390" i="1"/>
  <c r="D389" i="1"/>
  <c r="C389" i="1"/>
  <c r="B389" i="1"/>
  <c r="D388" i="1"/>
  <c r="C388" i="1"/>
  <c r="B388" i="1"/>
  <c r="D387" i="1"/>
  <c r="C387" i="1"/>
  <c r="B387" i="1"/>
  <c r="D386" i="1"/>
  <c r="C386" i="1"/>
  <c r="B386" i="1"/>
  <c r="D385" i="1"/>
  <c r="C385" i="1"/>
  <c r="B385" i="1"/>
  <c r="D384" i="1"/>
  <c r="C384" i="1"/>
  <c r="B384" i="1"/>
  <c r="D383" i="1"/>
  <c r="C383" i="1"/>
  <c r="B383" i="1"/>
  <c r="D382" i="1"/>
  <c r="C382" i="1"/>
  <c r="B382" i="1"/>
  <c r="D381" i="1"/>
  <c r="C381" i="1"/>
  <c r="B381" i="1"/>
  <c r="D380" i="1"/>
  <c r="C380" i="1"/>
  <c r="B380" i="1"/>
  <c r="D379" i="1"/>
  <c r="C379" i="1"/>
  <c r="B379" i="1"/>
  <c r="D378" i="1"/>
  <c r="C378" i="1"/>
  <c r="B378" i="1"/>
  <c r="D377" i="1"/>
  <c r="C377" i="1"/>
  <c r="B377" i="1"/>
  <c r="D376" i="1"/>
  <c r="C376" i="1"/>
  <c r="B376" i="1"/>
  <c r="D370" i="1"/>
  <c r="C370" i="1"/>
  <c r="B370" i="1"/>
  <c r="D369" i="1"/>
  <c r="C369" i="1"/>
  <c r="B369" i="1"/>
  <c r="D368" i="1"/>
  <c r="C368" i="1"/>
  <c r="B368" i="1"/>
  <c r="D367" i="1"/>
  <c r="C367" i="1"/>
  <c r="B367" i="1"/>
  <c r="D366" i="1"/>
  <c r="C366" i="1"/>
  <c r="B366" i="1"/>
  <c r="D365" i="1"/>
  <c r="C365" i="1"/>
  <c r="B365" i="1"/>
  <c r="D364" i="1"/>
  <c r="C364" i="1"/>
  <c r="B364" i="1"/>
  <c r="D363" i="1"/>
  <c r="C363" i="1"/>
  <c r="B363" i="1"/>
  <c r="D362" i="1"/>
  <c r="C362" i="1"/>
  <c r="B362" i="1"/>
  <c r="D361" i="1"/>
  <c r="C361" i="1"/>
  <c r="B361" i="1"/>
  <c r="D360" i="1"/>
  <c r="C360" i="1"/>
  <c r="B360" i="1"/>
  <c r="D359" i="1"/>
  <c r="C359" i="1"/>
  <c r="B359" i="1"/>
  <c r="D358" i="1"/>
  <c r="C358" i="1"/>
  <c r="B358" i="1"/>
  <c r="D357" i="1"/>
  <c r="C357" i="1"/>
  <c r="B357" i="1"/>
  <c r="D356" i="1"/>
  <c r="C356" i="1"/>
  <c r="B356" i="1"/>
  <c r="D355" i="1"/>
  <c r="C355" i="1"/>
  <c r="B355" i="1"/>
  <c r="D354" i="1"/>
  <c r="C354" i="1"/>
  <c r="B354" i="1"/>
  <c r="D353" i="1"/>
  <c r="C353" i="1"/>
  <c r="B353" i="1"/>
  <c r="D352" i="1"/>
  <c r="C352" i="1"/>
  <c r="B352" i="1"/>
  <c r="D351" i="1"/>
  <c r="C351" i="1"/>
  <c r="B351" i="1"/>
  <c r="D350" i="1"/>
  <c r="C350" i="1"/>
  <c r="B350" i="1"/>
  <c r="D349" i="1"/>
  <c r="C349" i="1"/>
  <c r="B349" i="1"/>
  <c r="D348" i="1"/>
  <c r="C348" i="1"/>
  <c r="B348" i="1"/>
  <c r="D347" i="1"/>
  <c r="C347" i="1"/>
  <c r="B347" i="1"/>
  <c r="D346" i="1"/>
  <c r="C346" i="1"/>
  <c r="B346" i="1"/>
  <c r="D345" i="1"/>
  <c r="C345" i="1"/>
  <c r="B345" i="1"/>
  <c r="D344" i="1"/>
  <c r="C344" i="1"/>
  <c r="B344" i="1"/>
  <c r="D343" i="1"/>
  <c r="C343" i="1"/>
  <c r="B343" i="1"/>
  <c r="D342" i="1"/>
  <c r="C342" i="1"/>
  <c r="B342" i="1"/>
  <c r="D341" i="1"/>
  <c r="C341" i="1"/>
  <c r="B341" i="1"/>
  <c r="D340" i="1"/>
  <c r="C340" i="1"/>
  <c r="B340" i="1"/>
  <c r="D339" i="1"/>
  <c r="C339" i="1"/>
  <c r="B339" i="1"/>
  <c r="D338" i="1"/>
  <c r="C338" i="1"/>
  <c r="B338" i="1"/>
  <c r="D337" i="1"/>
  <c r="C337" i="1"/>
  <c r="B337" i="1"/>
  <c r="D336" i="1"/>
  <c r="C336" i="1"/>
  <c r="B336" i="1"/>
  <c r="D335" i="1"/>
  <c r="C335" i="1"/>
  <c r="B335" i="1"/>
  <c r="D334" i="1"/>
  <c r="C334" i="1"/>
  <c r="B334" i="1"/>
  <c r="D333" i="1"/>
  <c r="C333" i="1"/>
  <c r="B333" i="1"/>
  <c r="D332" i="1"/>
  <c r="C332" i="1"/>
  <c r="B332" i="1"/>
  <c r="D331" i="1"/>
  <c r="C331" i="1"/>
  <c r="B331" i="1"/>
  <c r="D330" i="1"/>
  <c r="C330" i="1"/>
  <c r="B330" i="1"/>
  <c r="D329" i="1"/>
  <c r="C329" i="1"/>
  <c r="B329" i="1"/>
  <c r="D328" i="1"/>
  <c r="C328" i="1"/>
  <c r="B328" i="1"/>
  <c r="D327" i="1"/>
  <c r="C327" i="1"/>
  <c r="B327" i="1"/>
  <c r="D326" i="1"/>
  <c r="C326" i="1"/>
  <c r="B326" i="1"/>
  <c r="D325" i="1"/>
  <c r="C325" i="1"/>
  <c r="B325" i="1"/>
  <c r="D324" i="1"/>
  <c r="C324" i="1"/>
  <c r="B324" i="1"/>
  <c r="D323" i="1"/>
  <c r="C323" i="1"/>
  <c r="B323" i="1"/>
  <c r="D322" i="1"/>
  <c r="C322" i="1"/>
  <c r="B322" i="1"/>
  <c r="D321" i="1"/>
  <c r="C321" i="1"/>
  <c r="B321" i="1"/>
  <c r="D320" i="1"/>
  <c r="C320" i="1"/>
  <c r="B320" i="1"/>
  <c r="D319" i="1"/>
  <c r="C319" i="1"/>
  <c r="B319" i="1"/>
  <c r="D318" i="1"/>
  <c r="C318" i="1"/>
  <c r="B318" i="1"/>
  <c r="D317" i="1"/>
  <c r="C317" i="1"/>
  <c r="B317" i="1"/>
  <c r="D316" i="1"/>
  <c r="C316" i="1"/>
  <c r="B316" i="1"/>
  <c r="D315" i="1"/>
  <c r="C315" i="1"/>
  <c r="B315" i="1"/>
  <c r="D314" i="1"/>
  <c r="C314" i="1"/>
  <c r="B314" i="1"/>
  <c r="D313" i="1"/>
  <c r="C313" i="1"/>
  <c r="B313" i="1"/>
  <c r="D312" i="1"/>
  <c r="C312" i="1"/>
  <c r="B312" i="1"/>
  <c r="D311" i="1"/>
  <c r="C311" i="1"/>
  <c r="B311" i="1"/>
  <c r="D310" i="1"/>
  <c r="C310" i="1"/>
  <c r="B310" i="1"/>
  <c r="D309" i="1"/>
  <c r="C309" i="1"/>
  <c r="B309" i="1"/>
  <c r="D308" i="1"/>
  <c r="C308" i="1"/>
  <c r="B308" i="1"/>
  <c r="D307" i="1"/>
  <c r="C307" i="1"/>
  <c r="B307" i="1"/>
  <c r="D306" i="1"/>
  <c r="C306" i="1"/>
  <c r="B306" i="1"/>
  <c r="D305" i="1"/>
  <c r="C305" i="1"/>
  <c r="B305" i="1"/>
  <c r="D304" i="1"/>
  <c r="C304" i="1"/>
  <c r="B304" i="1"/>
  <c r="D303" i="1"/>
  <c r="C303" i="1"/>
  <c r="B303" i="1"/>
  <c r="D302" i="1"/>
  <c r="C302" i="1"/>
  <c r="B302" i="1"/>
  <c r="D301" i="1"/>
  <c r="C301" i="1"/>
  <c r="B301" i="1"/>
  <c r="D300" i="1"/>
  <c r="C300" i="1"/>
  <c r="B300" i="1"/>
  <c r="D299" i="1"/>
  <c r="C299" i="1"/>
  <c r="B299" i="1"/>
  <c r="D298" i="1"/>
  <c r="C298" i="1"/>
  <c r="B298" i="1"/>
  <c r="D297" i="1"/>
  <c r="C297" i="1"/>
  <c r="B297" i="1"/>
  <c r="D296" i="1"/>
  <c r="C296" i="1"/>
  <c r="B296" i="1"/>
  <c r="D295" i="1"/>
  <c r="C295" i="1"/>
  <c r="B295" i="1"/>
  <c r="D294" i="1"/>
  <c r="C294" i="1"/>
  <c r="B294" i="1"/>
  <c r="D293" i="1"/>
  <c r="C293" i="1"/>
  <c r="B293" i="1"/>
  <c r="D292" i="1"/>
  <c r="C292" i="1"/>
  <c r="B292" i="1"/>
  <c r="D291" i="1"/>
  <c r="C291" i="1"/>
  <c r="B291" i="1"/>
  <c r="D290" i="1"/>
  <c r="C290" i="1"/>
  <c r="B290" i="1"/>
  <c r="D289" i="1"/>
  <c r="C289" i="1"/>
  <c r="B289" i="1"/>
  <c r="D288" i="1"/>
  <c r="C288" i="1"/>
  <c r="B288" i="1"/>
  <c r="D287" i="1"/>
  <c r="C287" i="1"/>
  <c r="B287" i="1"/>
  <c r="D286" i="1"/>
  <c r="C286" i="1"/>
  <c r="B286" i="1"/>
  <c r="D285" i="1"/>
  <c r="C285" i="1"/>
  <c r="B285" i="1"/>
  <c r="D284" i="1"/>
  <c r="C284" i="1"/>
  <c r="B284" i="1"/>
  <c r="D283" i="1"/>
  <c r="C283" i="1"/>
  <c r="B283" i="1"/>
  <c r="D282" i="1"/>
  <c r="C282" i="1"/>
  <c r="B282" i="1"/>
  <c r="D281" i="1"/>
  <c r="C281" i="1"/>
  <c r="B281" i="1"/>
  <c r="D280" i="1"/>
  <c r="C280" i="1"/>
  <c r="B280" i="1"/>
  <c r="D279" i="1"/>
  <c r="C279" i="1"/>
  <c r="B279" i="1"/>
  <c r="D278" i="1"/>
  <c r="C278" i="1"/>
  <c r="B278" i="1"/>
  <c r="D277" i="1"/>
  <c r="C277" i="1"/>
  <c r="B277" i="1"/>
  <c r="D276" i="1"/>
  <c r="C276" i="1"/>
  <c r="B276" i="1"/>
  <c r="D275" i="1"/>
  <c r="C275" i="1"/>
  <c r="B275" i="1"/>
  <c r="D274" i="1"/>
  <c r="C274" i="1"/>
  <c r="B274" i="1"/>
  <c r="D273" i="1"/>
  <c r="C273" i="1"/>
  <c r="B273" i="1"/>
  <c r="D272" i="1"/>
  <c r="C272" i="1"/>
  <c r="B272" i="1"/>
  <c r="D271" i="1"/>
  <c r="C271" i="1"/>
  <c r="B271" i="1"/>
  <c r="D270" i="1"/>
  <c r="C270" i="1"/>
  <c r="B270" i="1"/>
  <c r="D269" i="1"/>
  <c r="C269" i="1"/>
  <c r="B269" i="1"/>
  <c r="D268" i="1"/>
  <c r="C268" i="1"/>
  <c r="B268" i="1"/>
  <c r="D267" i="1"/>
  <c r="C267" i="1"/>
  <c r="B267" i="1"/>
  <c r="D266" i="1"/>
  <c r="C266" i="1"/>
  <c r="B266" i="1"/>
  <c r="D265" i="1"/>
  <c r="C265" i="1"/>
  <c r="B265" i="1"/>
  <c r="D264" i="1"/>
  <c r="C264" i="1"/>
  <c r="B264" i="1"/>
  <c r="D263" i="1"/>
  <c r="C263" i="1"/>
  <c r="B263" i="1"/>
  <c r="D262" i="1"/>
  <c r="C262" i="1"/>
  <c r="B262" i="1"/>
  <c r="D261" i="1"/>
  <c r="C261" i="1"/>
  <c r="B261" i="1"/>
  <c r="D260" i="1"/>
  <c r="C260" i="1"/>
  <c r="B260" i="1"/>
  <c r="D259" i="1"/>
  <c r="C259" i="1"/>
  <c r="B259" i="1"/>
  <c r="D258" i="1"/>
  <c r="C258" i="1"/>
  <c r="B258" i="1"/>
  <c r="D257" i="1"/>
  <c r="C257" i="1"/>
  <c r="B257" i="1"/>
  <c r="D256" i="1"/>
  <c r="C256" i="1"/>
  <c r="B256" i="1"/>
  <c r="D255" i="1"/>
  <c r="C255" i="1"/>
  <c r="B255" i="1"/>
  <c r="D254" i="1"/>
  <c r="C254" i="1"/>
  <c r="B254" i="1"/>
  <c r="D253" i="1"/>
  <c r="C253" i="1"/>
  <c r="B253" i="1"/>
  <c r="D252" i="1"/>
  <c r="C252" i="1"/>
  <c r="B252" i="1"/>
  <c r="D251" i="1"/>
  <c r="C251" i="1"/>
  <c r="B251" i="1"/>
  <c r="D250" i="1"/>
  <c r="C250" i="1"/>
  <c r="B250" i="1"/>
  <c r="D249" i="1"/>
  <c r="C249" i="1"/>
  <c r="B249" i="1"/>
  <c r="D248" i="1"/>
  <c r="C248" i="1"/>
  <c r="B248" i="1"/>
  <c r="D247" i="1"/>
  <c r="C247" i="1"/>
  <c r="B247" i="1"/>
  <c r="D246" i="1"/>
  <c r="C246" i="1"/>
  <c r="B246" i="1"/>
  <c r="D245" i="1"/>
  <c r="C245" i="1"/>
  <c r="B245" i="1"/>
  <c r="D244" i="1"/>
  <c r="C244" i="1"/>
  <c r="B244" i="1"/>
  <c r="D243" i="1"/>
  <c r="C243" i="1"/>
  <c r="B243" i="1"/>
  <c r="D242" i="1"/>
  <c r="C242" i="1"/>
  <c r="B242" i="1"/>
  <c r="D241" i="1"/>
  <c r="C241" i="1"/>
  <c r="B241" i="1"/>
  <c r="D240" i="1"/>
  <c r="C240" i="1"/>
  <c r="B240" i="1"/>
  <c r="D239" i="1"/>
  <c r="C239" i="1"/>
  <c r="B239" i="1"/>
  <c r="D238" i="1"/>
  <c r="C238" i="1"/>
  <c r="B238" i="1"/>
  <c r="D237" i="1"/>
  <c r="C237" i="1"/>
  <c r="B237" i="1"/>
  <c r="D236" i="1"/>
  <c r="C236" i="1"/>
  <c r="B236" i="1"/>
  <c r="D235" i="1"/>
  <c r="C235" i="1"/>
  <c r="B235" i="1"/>
  <c r="D234" i="1"/>
  <c r="C234" i="1"/>
  <c r="B234" i="1"/>
  <c r="D233" i="1"/>
  <c r="C233" i="1"/>
  <c r="B233" i="1"/>
  <c r="D232" i="1"/>
  <c r="C232" i="1"/>
  <c r="B232" i="1"/>
  <c r="D231" i="1"/>
  <c r="C231" i="1"/>
  <c r="B231" i="1"/>
  <c r="D230" i="1"/>
  <c r="C230" i="1"/>
  <c r="B230" i="1"/>
  <c r="D229" i="1"/>
  <c r="C229" i="1"/>
  <c r="B229" i="1"/>
  <c r="D228" i="1"/>
  <c r="C228" i="1"/>
  <c r="B228" i="1"/>
  <c r="D227" i="1"/>
  <c r="C227" i="1"/>
  <c r="B227" i="1"/>
  <c r="D226" i="1"/>
  <c r="C226" i="1"/>
  <c r="B226" i="1"/>
  <c r="D225" i="1"/>
  <c r="C225" i="1"/>
  <c r="B225" i="1"/>
  <c r="D224" i="1"/>
  <c r="C224" i="1"/>
  <c r="B224" i="1"/>
  <c r="D223" i="1"/>
  <c r="C223" i="1"/>
  <c r="B223" i="1"/>
  <c r="D222" i="1"/>
  <c r="C222" i="1"/>
  <c r="B222" i="1"/>
  <c r="D221" i="1"/>
  <c r="C221" i="1"/>
  <c r="B221" i="1"/>
  <c r="D220" i="1"/>
  <c r="C220" i="1"/>
  <c r="B220" i="1"/>
  <c r="D219" i="1"/>
  <c r="C219" i="1"/>
  <c r="B219" i="1"/>
  <c r="D218" i="1"/>
  <c r="C218" i="1"/>
  <c r="B218" i="1"/>
  <c r="D217" i="1"/>
  <c r="C217" i="1"/>
  <c r="B217" i="1"/>
  <c r="D216" i="1"/>
  <c r="C216" i="1"/>
  <c r="B216" i="1"/>
  <c r="D215" i="1"/>
  <c r="C215" i="1"/>
  <c r="B215" i="1"/>
  <c r="D214" i="1"/>
  <c r="C214" i="1"/>
  <c r="B214" i="1"/>
  <c r="D213" i="1"/>
  <c r="C213" i="1"/>
  <c r="B213" i="1"/>
  <c r="D212" i="1"/>
  <c r="C212" i="1"/>
  <c r="B212" i="1"/>
  <c r="D211" i="1"/>
  <c r="C211" i="1"/>
  <c r="B211" i="1"/>
  <c r="D210" i="1"/>
  <c r="C210" i="1"/>
  <c r="B210" i="1"/>
  <c r="D209" i="1"/>
  <c r="C209" i="1"/>
  <c r="B209" i="1"/>
  <c r="D208" i="1"/>
  <c r="C208" i="1"/>
  <c r="B208" i="1"/>
  <c r="D207" i="1"/>
  <c r="C207" i="1"/>
  <c r="B207" i="1"/>
  <c r="D206" i="1"/>
  <c r="C206" i="1"/>
  <c r="B206" i="1"/>
  <c r="D205" i="1"/>
  <c r="C205" i="1"/>
  <c r="B205" i="1"/>
  <c r="D204" i="1"/>
  <c r="C204" i="1"/>
  <c r="B204" i="1"/>
  <c r="D203" i="1"/>
  <c r="C203" i="1"/>
  <c r="B203" i="1"/>
  <c r="D202" i="1"/>
  <c r="C202" i="1"/>
  <c r="B202" i="1"/>
  <c r="D201" i="1"/>
  <c r="C201" i="1"/>
  <c r="B201" i="1"/>
  <c r="D200" i="1"/>
  <c r="C200" i="1"/>
  <c r="B200" i="1"/>
  <c r="D199" i="1"/>
  <c r="C199" i="1"/>
  <c r="B199" i="1"/>
  <c r="D198" i="1"/>
  <c r="C198" i="1"/>
  <c r="B198" i="1"/>
  <c r="D197" i="1"/>
  <c r="C197" i="1"/>
  <c r="B197" i="1"/>
  <c r="D196" i="1"/>
  <c r="C196" i="1"/>
  <c r="B196" i="1"/>
  <c r="D195" i="1"/>
  <c r="C195" i="1"/>
  <c r="B195" i="1"/>
  <c r="D194" i="1"/>
  <c r="C194" i="1"/>
  <c r="B194" i="1"/>
  <c r="D193" i="1"/>
  <c r="C193" i="1"/>
  <c r="B193" i="1"/>
  <c r="D192" i="1"/>
  <c r="C192" i="1"/>
  <c r="B192" i="1"/>
  <c r="D191" i="1"/>
  <c r="C191" i="1"/>
  <c r="B191" i="1"/>
  <c r="D190" i="1"/>
  <c r="C190" i="1"/>
  <c r="B190" i="1"/>
  <c r="D189" i="1"/>
  <c r="C189" i="1"/>
  <c r="B189" i="1"/>
  <c r="D188" i="1"/>
  <c r="C188" i="1"/>
  <c r="B188" i="1"/>
  <c r="D187" i="1"/>
  <c r="C187" i="1"/>
  <c r="B187" i="1"/>
  <c r="D186" i="1"/>
  <c r="C186" i="1"/>
  <c r="B186" i="1"/>
  <c r="D185" i="1"/>
  <c r="C185" i="1"/>
  <c r="B185" i="1"/>
  <c r="D184" i="1"/>
  <c r="C184" i="1"/>
  <c r="B184" i="1"/>
  <c r="D183" i="1"/>
  <c r="C183" i="1"/>
  <c r="B183" i="1"/>
  <c r="D182" i="1"/>
  <c r="C182" i="1"/>
  <c r="B182" i="1"/>
  <c r="D181" i="1"/>
  <c r="C181" i="1"/>
  <c r="B181" i="1"/>
  <c r="D180" i="1"/>
  <c r="C180" i="1"/>
  <c r="B180" i="1"/>
  <c r="D179" i="1"/>
  <c r="C179" i="1"/>
  <c r="B179" i="1"/>
  <c r="D178" i="1"/>
  <c r="C178" i="1"/>
  <c r="B178" i="1"/>
  <c r="D177" i="1"/>
  <c r="C177" i="1"/>
  <c r="B177" i="1"/>
  <c r="D176" i="1"/>
  <c r="C176" i="1"/>
  <c r="B176" i="1"/>
  <c r="D175" i="1"/>
  <c r="C175" i="1"/>
  <c r="B175" i="1"/>
  <c r="D174" i="1"/>
  <c r="C174" i="1"/>
  <c r="B174" i="1"/>
  <c r="D173" i="1"/>
  <c r="C173" i="1"/>
  <c r="B173" i="1"/>
  <c r="D172" i="1"/>
  <c r="C172" i="1"/>
  <c r="B172" i="1"/>
  <c r="D171" i="1"/>
  <c r="C171" i="1"/>
  <c r="B171" i="1"/>
  <c r="D170" i="1"/>
  <c r="C170" i="1"/>
  <c r="B170" i="1"/>
  <c r="D169" i="1"/>
  <c r="C169" i="1"/>
  <c r="B169" i="1"/>
  <c r="D168" i="1"/>
  <c r="C168" i="1"/>
  <c r="B168" i="1"/>
  <c r="D167" i="1"/>
  <c r="C167" i="1"/>
  <c r="B167" i="1"/>
  <c r="D166" i="1"/>
  <c r="C166" i="1"/>
  <c r="B166" i="1"/>
  <c r="D165" i="1"/>
  <c r="C165" i="1"/>
  <c r="B165" i="1"/>
  <c r="D164" i="1"/>
  <c r="C164" i="1"/>
  <c r="B164" i="1"/>
  <c r="D163" i="1"/>
  <c r="C163" i="1"/>
  <c r="B163" i="1"/>
  <c r="D162" i="1"/>
  <c r="C162" i="1"/>
  <c r="B162" i="1"/>
  <c r="D161" i="1"/>
  <c r="C161" i="1"/>
  <c r="B161" i="1"/>
  <c r="D160" i="1"/>
  <c r="C160" i="1"/>
  <c r="B160" i="1"/>
  <c r="D159" i="1"/>
  <c r="C159" i="1"/>
  <c r="B159" i="1"/>
  <c r="D158" i="1"/>
  <c r="C158" i="1"/>
  <c r="B158" i="1"/>
  <c r="D157" i="1"/>
  <c r="C157" i="1"/>
  <c r="B157" i="1"/>
  <c r="D156" i="1"/>
  <c r="C156" i="1"/>
  <c r="B156" i="1"/>
  <c r="D155" i="1"/>
  <c r="C155" i="1"/>
  <c r="B155" i="1"/>
  <c r="D154" i="1"/>
  <c r="C154" i="1"/>
  <c r="B154" i="1"/>
  <c r="D153" i="1"/>
  <c r="C153" i="1"/>
  <c r="B153" i="1"/>
  <c r="D152" i="1"/>
  <c r="C152" i="1"/>
  <c r="B152" i="1"/>
  <c r="D151" i="1"/>
  <c r="C151" i="1"/>
  <c r="B151" i="1"/>
  <c r="D150" i="1"/>
  <c r="C150" i="1"/>
  <c r="B150" i="1"/>
  <c r="D149" i="1"/>
  <c r="C149" i="1"/>
  <c r="B149" i="1"/>
  <c r="D148" i="1"/>
  <c r="C148" i="1"/>
  <c r="B148" i="1"/>
  <c r="D147" i="1"/>
  <c r="C147" i="1"/>
  <c r="B147" i="1"/>
  <c r="D146" i="1"/>
  <c r="C146" i="1"/>
  <c r="B146" i="1"/>
  <c r="D145" i="1"/>
  <c r="C145" i="1"/>
  <c r="B145" i="1"/>
  <c r="D144" i="1"/>
  <c r="C144" i="1"/>
  <c r="B144" i="1"/>
  <c r="D143" i="1"/>
  <c r="C143" i="1"/>
  <c r="B143" i="1"/>
  <c r="D142" i="1"/>
  <c r="C142" i="1"/>
  <c r="B142" i="1"/>
  <c r="D141" i="1"/>
  <c r="C141" i="1"/>
  <c r="B141" i="1"/>
  <c r="D140" i="1"/>
  <c r="C140" i="1"/>
  <c r="B140" i="1"/>
  <c r="D139" i="1"/>
  <c r="C139" i="1"/>
  <c r="B139" i="1"/>
  <c r="D138" i="1"/>
  <c r="C138" i="1"/>
  <c r="B138" i="1"/>
  <c r="D137" i="1"/>
  <c r="C137" i="1"/>
  <c r="B137" i="1"/>
  <c r="D136" i="1"/>
  <c r="C136" i="1"/>
  <c r="B136" i="1"/>
  <c r="D135" i="1"/>
  <c r="C135" i="1"/>
  <c r="B135" i="1"/>
  <c r="D134" i="1"/>
  <c r="C134" i="1"/>
  <c r="B134" i="1"/>
  <c r="D133" i="1"/>
  <c r="C133" i="1"/>
  <c r="B133" i="1"/>
  <c r="D132" i="1"/>
  <c r="C132" i="1"/>
  <c r="B132" i="1"/>
  <c r="D131" i="1"/>
  <c r="C131" i="1"/>
  <c r="B131" i="1"/>
  <c r="D130" i="1"/>
  <c r="C130" i="1"/>
  <c r="B130" i="1"/>
  <c r="D129" i="1"/>
  <c r="C129" i="1"/>
  <c r="B129" i="1"/>
  <c r="D128" i="1"/>
  <c r="C128" i="1"/>
  <c r="B128" i="1"/>
  <c r="D127" i="1"/>
  <c r="C127" i="1"/>
  <c r="B127" i="1"/>
  <c r="D126" i="1"/>
  <c r="C126" i="1"/>
  <c r="B126" i="1"/>
  <c r="D125" i="1"/>
  <c r="C125" i="1"/>
  <c r="B125" i="1"/>
  <c r="D124" i="1"/>
  <c r="C124" i="1"/>
  <c r="B124" i="1"/>
  <c r="D123" i="1"/>
  <c r="C123" i="1"/>
  <c r="B123" i="1"/>
  <c r="D122" i="1"/>
  <c r="C122" i="1"/>
  <c r="B122" i="1"/>
  <c r="D121" i="1"/>
  <c r="C121" i="1"/>
  <c r="B121" i="1"/>
  <c r="D120" i="1"/>
  <c r="C120" i="1"/>
  <c r="B120" i="1"/>
  <c r="D119" i="1"/>
  <c r="C119" i="1"/>
  <c r="B119" i="1"/>
  <c r="D118" i="1"/>
  <c r="C118" i="1"/>
  <c r="B118" i="1"/>
  <c r="D117" i="1"/>
  <c r="C117" i="1"/>
  <c r="B117" i="1"/>
  <c r="D116" i="1"/>
  <c r="C116" i="1"/>
  <c r="B116" i="1"/>
  <c r="D115" i="1"/>
  <c r="C115" i="1"/>
  <c r="B115" i="1"/>
  <c r="D114" i="1"/>
  <c r="C114" i="1"/>
  <c r="B114" i="1"/>
  <c r="D113" i="1"/>
  <c r="C113" i="1"/>
  <c r="B113" i="1"/>
  <c r="D112" i="1"/>
  <c r="C112" i="1"/>
  <c r="B112" i="1"/>
  <c r="D111" i="1"/>
  <c r="C111" i="1"/>
  <c r="B111" i="1"/>
  <c r="D110" i="1"/>
  <c r="C110" i="1"/>
  <c r="B110" i="1"/>
  <c r="D109" i="1"/>
  <c r="C109" i="1"/>
  <c r="B109" i="1"/>
  <c r="D108" i="1"/>
  <c r="C108" i="1"/>
  <c r="B108" i="1"/>
  <c r="D107" i="1"/>
  <c r="C107" i="1"/>
  <c r="B107" i="1"/>
  <c r="D106" i="1"/>
  <c r="C106" i="1"/>
  <c r="B106" i="1"/>
  <c r="D105" i="1"/>
  <c r="C105" i="1"/>
  <c r="B105" i="1"/>
  <c r="D104" i="1"/>
  <c r="C104" i="1"/>
  <c r="B104" i="1"/>
  <c r="D103" i="1"/>
  <c r="C103" i="1"/>
  <c r="B103" i="1"/>
  <c r="D102" i="1"/>
  <c r="C102" i="1"/>
  <c r="B102" i="1"/>
  <c r="D101" i="1"/>
  <c r="C101" i="1"/>
  <c r="B101" i="1"/>
  <c r="D100" i="1"/>
  <c r="C100" i="1"/>
  <c r="B100" i="1"/>
  <c r="D99" i="1"/>
  <c r="C99" i="1"/>
  <c r="B99" i="1"/>
  <c r="D98" i="1"/>
  <c r="C98" i="1"/>
  <c r="B98" i="1"/>
  <c r="D97" i="1"/>
  <c r="C97" i="1"/>
  <c r="B97" i="1"/>
  <c r="D96" i="1"/>
  <c r="C96" i="1"/>
  <c r="B96" i="1"/>
  <c r="D95" i="1"/>
  <c r="C95" i="1"/>
  <c r="B95" i="1"/>
  <c r="D94" i="1"/>
  <c r="C94" i="1"/>
  <c r="B94" i="1"/>
  <c r="D93" i="1"/>
  <c r="C93" i="1"/>
  <c r="B93" i="1"/>
  <c r="D92" i="1"/>
  <c r="C92" i="1"/>
  <c r="B92" i="1"/>
  <c r="D91" i="1"/>
  <c r="C91" i="1"/>
  <c r="B91" i="1"/>
  <c r="D90" i="1"/>
  <c r="C90" i="1"/>
  <c r="B90" i="1"/>
  <c r="D89" i="1"/>
  <c r="C89" i="1"/>
  <c r="B89" i="1"/>
  <c r="D88" i="1"/>
  <c r="C88" i="1"/>
  <c r="B88" i="1"/>
  <c r="D87" i="1"/>
  <c r="C87" i="1"/>
  <c r="B87" i="1"/>
  <c r="D86" i="1"/>
  <c r="C86" i="1"/>
  <c r="B86" i="1"/>
  <c r="D85" i="1"/>
  <c r="C85" i="1"/>
  <c r="B85" i="1"/>
  <c r="D84" i="1"/>
  <c r="C84" i="1"/>
  <c r="B84" i="1"/>
  <c r="D83" i="1"/>
  <c r="C83" i="1"/>
  <c r="B83" i="1"/>
  <c r="D82" i="1"/>
  <c r="C82" i="1"/>
  <c r="B82" i="1"/>
  <c r="D81" i="1"/>
  <c r="C81" i="1"/>
  <c r="B81" i="1"/>
  <c r="D80" i="1"/>
  <c r="C80" i="1"/>
  <c r="B80" i="1"/>
  <c r="D79" i="1"/>
  <c r="C79" i="1"/>
  <c r="B79" i="1"/>
  <c r="D78" i="1"/>
  <c r="C78" i="1"/>
  <c r="B78" i="1"/>
  <c r="D77" i="1"/>
  <c r="C77" i="1"/>
  <c r="B77" i="1"/>
  <c r="D76" i="1"/>
  <c r="C76" i="1"/>
  <c r="B76" i="1"/>
  <c r="D75" i="1"/>
  <c r="C75" i="1"/>
  <c r="B75" i="1"/>
  <c r="D74" i="1"/>
  <c r="C74" i="1"/>
  <c r="B74" i="1"/>
  <c r="D73" i="1"/>
  <c r="C73" i="1"/>
  <c r="B73" i="1"/>
  <c r="HJ43" i="1"/>
  <c r="HJ44" i="1"/>
  <c r="HJ45" i="1"/>
  <c r="HJ46" i="1"/>
  <c r="HJ47" i="1"/>
  <c r="HJ48" i="1"/>
  <c r="HJ49" i="1"/>
  <c r="HJ50" i="1"/>
  <c r="HJ51" i="1"/>
  <c r="HJ52" i="1"/>
  <c r="HJ53" i="1"/>
  <c r="HJ54" i="1"/>
  <c r="HJ55" i="1"/>
  <c r="HJ56" i="1"/>
  <c r="HJ57" i="1"/>
  <c r="HJ58" i="1"/>
  <c r="HJ59" i="1"/>
  <c r="HJ60" i="1"/>
  <c r="HJ61" i="1"/>
  <c r="HJ62" i="1"/>
  <c r="HJ63" i="1"/>
  <c r="HJ64" i="1"/>
  <c r="HJ65" i="1"/>
  <c r="HJ66" i="1"/>
  <c r="HJ67" i="1"/>
  <c r="HJ68" i="1"/>
  <c r="HJ69" i="1"/>
  <c r="HJ72" i="1"/>
  <c r="HI43" i="1"/>
  <c r="HI44" i="1"/>
  <c r="HI45" i="1"/>
  <c r="HI46" i="1"/>
  <c r="HI47" i="1"/>
  <c r="HI48" i="1"/>
  <c r="HI49" i="1"/>
  <c r="HI50" i="1"/>
  <c r="HI51" i="1"/>
  <c r="HI52" i="1"/>
  <c r="HI53" i="1"/>
  <c r="HI54" i="1"/>
  <c r="HI55" i="1"/>
  <c r="HI56" i="1"/>
  <c r="HI57" i="1"/>
  <c r="HI58" i="1"/>
  <c r="HI59" i="1"/>
  <c r="HI60" i="1"/>
  <c r="HI61" i="1"/>
  <c r="HI62" i="1"/>
  <c r="HI63" i="1"/>
  <c r="HI64" i="1"/>
  <c r="HI65" i="1"/>
  <c r="HI66" i="1"/>
  <c r="HI67" i="1"/>
  <c r="HI68" i="1"/>
  <c r="HI69" i="1"/>
  <c r="HI72" i="1"/>
  <c r="HH43" i="1"/>
  <c r="HH44" i="1"/>
  <c r="HH45" i="1"/>
  <c r="HH46" i="1"/>
  <c r="HH47" i="1"/>
  <c r="HH48" i="1"/>
  <c r="HH49" i="1"/>
  <c r="HH50" i="1"/>
  <c r="HH51" i="1"/>
  <c r="HH52" i="1"/>
  <c r="HH53" i="1"/>
  <c r="HH54" i="1"/>
  <c r="HH55" i="1"/>
  <c r="HH56" i="1"/>
  <c r="HH57" i="1"/>
  <c r="HH58" i="1"/>
  <c r="HH59" i="1"/>
  <c r="HH60" i="1"/>
  <c r="HH61" i="1"/>
  <c r="HH62" i="1"/>
  <c r="HH63" i="1"/>
  <c r="HH64" i="1"/>
  <c r="HH65" i="1"/>
  <c r="HH66" i="1"/>
  <c r="HH67" i="1"/>
  <c r="HH68" i="1"/>
  <c r="HH69" i="1"/>
  <c r="HH72" i="1"/>
  <c r="HG43" i="1"/>
  <c r="HG44" i="1"/>
  <c r="HG45" i="1"/>
  <c r="HG46" i="1"/>
  <c r="HG47" i="1"/>
  <c r="HG48" i="1"/>
  <c r="HG49" i="1"/>
  <c r="HG50" i="1"/>
  <c r="HG51" i="1"/>
  <c r="HG52" i="1"/>
  <c r="HG53" i="1"/>
  <c r="HG54" i="1"/>
  <c r="HG55" i="1"/>
  <c r="HG56" i="1"/>
  <c r="HG57" i="1"/>
  <c r="HG58" i="1"/>
  <c r="HG59" i="1"/>
  <c r="HG60" i="1"/>
  <c r="HG61" i="1"/>
  <c r="HG62" i="1"/>
  <c r="HG63" i="1"/>
  <c r="HG64" i="1"/>
  <c r="HG65" i="1"/>
  <c r="HG66" i="1"/>
  <c r="HG67" i="1"/>
  <c r="HG68" i="1"/>
  <c r="HG69" i="1"/>
  <c r="HG72" i="1"/>
  <c r="HF43" i="1"/>
  <c r="HF44" i="1"/>
  <c r="HF45" i="1"/>
  <c r="HF46" i="1"/>
  <c r="HF47" i="1"/>
  <c r="HF48" i="1"/>
  <c r="HF49" i="1"/>
  <c r="HF50" i="1"/>
  <c r="HF51" i="1"/>
  <c r="HF52" i="1"/>
  <c r="HF53" i="1"/>
  <c r="HF54" i="1"/>
  <c r="HF55" i="1"/>
  <c r="HF56" i="1"/>
  <c r="HF57" i="1"/>
  <c r="HF58" i="1"/>
  <c r="HF59" i="1"/>
  <c r="HF60" i="1"/>
  <c r="HF61" i="1"/>
  <c r="HF62" i="1"/>
  <c r="HF63" i="1"/>
  <c r="HF64" i="1"/>
  <c r="HF65" i="1"/>
  <c r="HF66" i="1"/>
  <c r="HF67" i="1"/>
  <c r="HF68" i="1"/>
  <c r="HF69" i="1"/>
  <c r="HF72" i="1"/>
  <c r="HE43" i="1"/>
  <c r="HE44" i="1"/>
  <c r="HE45" i="1"/>
  <c r="HE46" i="1"/>
  <c r="HE47" i="1"/>
  <c r="HE48" i="1"/>
  <c r="HE49" i="1"/>
  <c r="HE50" i="1"/>
  <c r="HE51" i="1"/>
  <c r="HE52" i="1"/>
  <c r="HE53" i="1"/>
  <c r="HE54" i="1"/>
  <c r="HE55" i="1"/>
  <c r="HE56" i="1"/>
  <c r="HE57" i="1"/>
  <c r="HE58" i="1"/>
  <c r="HE59" i="1"/>
  <c r="HE60" i="1"/>
  <c r="HE61" i="1"/>
  <c r="HE62" i="1"/>
  <c r="HE63" i="1"/>
  <c r="HE64" i="1"/>
  <c r="HE65" i="1"/>
  <c r="HE66" i="1"/>
  <c r="HE67" i="1"/>
  <c r="HE68" i="1"/>
  <c r="HE69" i="1"/>
  <c r="HE72" i="1"/>
  <c r="HD43" i="1"/>
  <c r="HD44" i="1"/>
  <c r="HD45" i="1"/>
  <c r="HD46" i="1"/>
  <c r="HD47" i="1"/>
  <c r="HD48" i="1"/>
  <c r="HD49" i="1"/>
  <c r="HD50" i="1"/>
  <c r="HD51" i="1"/>
  <c r="HD52" i="1"/>
  <c r="HD53" i="1"/>
  <c r="HD54" i="1"/>
  <c r="HD55" i="1"/>
  <c r="HD56" i="1"/>
  <c r="HD57" i="1"/>
  <c r="HD58" i="1"/>
  <c r="HD59" i="1"/>
  <c r="HD60" i="1"/>
  <c r="HD61" i="1"/>
  <c r="HD62" i="1"/>
  <c r="HD63" i="1"/>
  <c r="HD64" i="1"/>
  <c r="HD65" i="1"/>
  <c r="HD66" i="1"/>
  <c r="HD67" i="1"/>
  <c r="HD68" i="1"/>
  <c r="HD69" i="1"/>
  <c r="HD72" i="1"/>
  <c r="HC43" i="1"/>
  <c r="HC44" i="1"/>
  <c r="HC45" i="1"/>
  <c r="HC46" i="1"/>
  <c r="HC47" i="1"/>
  <c r="HC48" i="1"/>
  <c r="HC49" i="1"/>
  <c r="HC50" i="1"/>
  <c r="HC51" i="1"/>
  <c r="HC52" i="1"/>
  <c r="HC53" i="1"/>
  <c r="HC54" i="1"/>
  <c r="HC55" i="1"/>
  <c r="HC56" i="1"/>
  <c r="HC57" i="1"/>
  <c r="HC58" i="1"/>
  <c r="HC59" i="1"/>
  <c r="HC60" i="1"/>
  <c r="HC61" i="1"/>
  <c r="HC62" i="1"/>
  <c r="HC63" i="1"/>
  <c r="HC64" i="1"/>
  <c r="HC65" i="1"/>
  <c r="HC66" i="1"/>
  <c r="HC67" i="1"/>
  <c r="HC68" i="1"/>
  <c r="HC69" i="1"/>
  <c r="HC72" i="1"/>
  <c r="HB72" i="1"/>
  <c r="HA72" i="1"/>
  <c r="GZ72" i="1"/>
  <c r="GY72" i="1"/>
  <c r="GV72" i="1"/>
  <c r="GU72" i="1"/>
  <c r="GT72" i="1"/>
  <c r="GS72" i="1"/>
  <c r="GR72" i="1"/>
  <c r="GQ72" i="1"/>
  <c r="GP72" i="1"/>
  <c r="GO72" i="1"/>
  <c r="GN72" i="1"/>
  <c r="GM72" i="1"/>
  <c r="GL72" i="1"/>
  <c r="GK72" i="1"/>
  <c r="GJ72" i="1"/>
  <c r="GI72" i="1"/>
  <c r="GH72" i="1"/>
  <c r="GG72" i="1"/>
  <c r="GF72" i="1"/>
  <c r="GE72" i="1"/>
  <c r="GD72" i="1"/>
  <c r="GC72" i="1"/>
  <c r="GB72" i="1"/>
  <c r="GA72" i="1"/>
  <c r="FZ72" i="1"/>
  <c r="FY72" i="1"/>
  <c r="FX72" i="1"/>
  <c r="FW72" i="1"/>
  <c r="FV72" i="1"/>
  <c r="FU72" i="1"/>
  <c r="FT72" i="1"/>
  <c r="FS72" i="1"/>
  <c r="FR72" i="1"/>
  <c r="FQ72" i="1"/>
  <c r="FP72" i="1"/>
  <c r="FO72" i="1"/>
  <c r="FN72" i="1"/>
  <c r="FM72" i="1"/>
  <c r="FL72" i="1"/>
  <c r="FK72" i="1"/>
  <c r="FJ72" i="1"/>
  <c r="FI72" i="1"/>
  <c r="FH72" i="1"/>
  <c r="FG72" i="1"/>
  <c r="FF72" i="1"/>
  <c r="FE72" i="1"/>
  <c r="FD72" i="1"/>
  <c r="FC72" i="1"/>
  <c r="FB72" i="1"/>
  <c r="FA72" i="1"/>
  <c r="D72" i="1"/>
  <c r="C72" i="1"/>
  <c r="B72" i="1"/>
  <c r="HJ71" i="1"/>
  <c r="HI71" i="1"/>
  <c r="HH71" i="1"/>
  <c r="HG71" i="1"/>
  <c r="HF71" i="1"/>
  <c r="HE71" i="1"/>
  <c r="HD71" i="1"/>
  <c r="HC71" i="1"/>
  <c r="HB71" i="1"/>
  <c r="HA71" i="1"/>
  <c r="GZ71" i="1"/>
  <c r="GY71" i="1"/>
  <c r="GV71" i="1"/>
  <c r="GU71" i="1"/>
  <c r="GT71" i="1"/>
  <c r="GS71" i="1"/>
  <c r="GR71" i="1"/>
  <c r="GQ71" i="1"/>
  <c r="GP71" i="1"/>
  <c r="GO71" i="1"/>
  <c r="GN71" i="1"/>
  <c r="GM71" i="1"/>
  <c r="GL71" i="1"/>
  <c r="GK71" i="1"/>
  <c r="GJ71" i="1"/>
  <c r="GI71" i="1"/>
  <c r="GH71" i="1"/>
  <c r="GG71" i="1"/>
  <c r="GF71" i="1"/>
  <c r="GE71" i="1"/>
  <c r="GD71" i="1"/>
  <c r="GC71" i="1"/>
  <c r="GB71" i="1"/>
  <c r="GA71" i="1"/>
  <c r="FZ71" i="1"/>
  <c r="FY71" i="1"/>
  <c r="FX71" i="1"/>
  <c r="FW71" i="1"/>
  <c r="FV71" i="1"/>
  <c r="FU71" i="1"/>
  <c r="FT71" i="1"/>
  <c r="FS71" i="1"/>
  <c r="FR71" i="1"/>
  <c r="FQ71" i="1"/>
  <c r="FP71" i="1"/>
  <c r="FO71" i="1"/>
  <c r="FN71" i="1"/>
  <c r="FM71" i="1"/>
  <c r="FL71" i="1"/>
  <c r="FK71" i="1"/>
  <c r="FJ71" i="1"/>
  <c r="FI71" i="1"/>
  <c r="FH71" i="1"/>
  <c r="FG71" i="1"/>
  <c r="FF71" i="1"/>
  <c r="FE71" i="1"/>
  <c r="FD71" i="1"/>
  <c r="FC71" i="1"/>
  <c r="FB71" i="1"/>
  <c r="FA71" i="1"/>
  <c r="D71" i="1"/>
  <c r="C71" i="1"/>
  <c r="B71" i="1"/>
  <c r="HK70" i="1"/>
  <c r="D70" i="1"/>
  <c r="C70" i="1"/>
  <c r="B70" i="1"/>
  <c r="HK69" i="1"/>
  <c r="D69" i="1"/>
  <c r="C69" i="1"/>
  <c r="B69" i="1"/>
  <c r="HK68" i="1"/>
  <c r="D68" i="1"/>
  <c r="C68" i="1"/>
  <c r="B68" i="1"/>
  <c r="HK67" i="1"/>
  <c r="D67" i="1"/>
  <c r="C67" i="1"/>
  <c r="B67" i="1"/>
  <c r="HK66" i="1"/>
  <c r="D66" i="1"/>
  <c r="C66" i="1"/>
  <c r="B66" i="1"/>
  <c r="HK65" i="1"/>
  <c r="D65" i="1"/>
  <c r="C65" i="1"/>
  <c r="B65" i="1"/>
  <c r="HK64" i="1"/>
  <c r="D64" i="1"/>
  <c r="C64" i="1"/>
  <c r="B64" i="1"/>
  <c r="HK63" i="1"/>
  <c r="D63" i="1"/>
  <c r="C63" i="1"/>
  <c r="B63" i="1"/>
  <c r="HK62" i="1"/>
  <c r="D62" i="1"/>
  <c r="C62" i="1"/>
  <c r="B62" i="1"/>
  <c r="HK61" i="1"/>
  <c r="D61" i="1"/>
  <c r="C61" i="1"/>
  <c r="B61" i="1"/>
  <c r="HK60" i="1"/>
  <c r="D60" i="1"/>
  <c r="C60" i="1"/>
  <c r="B60" i="1"/>
  <c r="HK59" i="1"/>
  <c r="D59" i="1"/>
  <c r="C59" i="1"/>
  <c r="B59" i="1"/>
  <c r="HK58" i="1"/>
  <c r="D58" i="1"/>
  <c r="C58" i="1"/>
  <c r="B58" i="1"/>
  <c r="HK57" i="1"/>
  <c r="D57" i="1"/>
  <c r="C57" i="1"/>
  <c r="B57" i="1"/>
  <c r="HK56" i="1"/>
  <c r="D56" i="1"/>
  <c r="C56" i="1"/>
  <c r="B56" i="1"/>
  <c r="HK55" i="1"/>
  <c r="D55" i="1"/>
  <c r="C55" i="1"/>
  <c r="B55" i="1"/>
  <c r="HK54" i="1"/>
  <c r="D54" i="1"/>
  <c r="C54" i="1"/>
  <c r="B54" i="1"/>
  <c r="HK53" i="1"/>
  <c r="D53" i="1"/>
  <c r="C53" i="1"/>
  <c r="B53" i="1"/>
  <c r="HK52" i="1"/>
  <c r="D52" i="1"/>
  <c r="C52" i="1"/>
  <c r="B52" i="1"/>
  <c r="HK51" i="1"/>
  <c r="D51" i="1"/>
  <c r="C51" i="1"/>
  <c r="B51" i="1"/>
  <c r="HK50" i="1"/>
  <c r="D50" i="1"/>
  <c r="C50" i="1"/>
  <c r="B50" i="1"/>
  <c r="HK49" i="1"/>
  <c r="D49" i="1"/>
  <c r="C49" i="1"/>
  <c r="B49" i="1"/>
  <c r="HK48" i="1"/>
  <c r="D48" i="1"/>
  <c r="C48" i="1"/>
  <c r="B48" i="1"/>
  <c r="HK47" i="1"/>
  <c r="D47" i="1"/>
  <c r="C47" i="1"/>
  <c r="B47" i="1"/>
  <c r="HK46" i="1"/>
  <c r="CA46" i="1"/>
  <c r="D46" i="1"/>
  <c r="C46" i="1"/>
  <c r="B46" i="1"/>
  <c r="HK45" i="1"/>
  <c r="D45" i="1"/>
  <c r="C45" i="1"/>
  <c r="B45" i="1"/>
  <c r="HK44" i="1"/>
  <c r="D44" i="1"/>
  <c r="C44" i="1"/>
  <c r="B44" i="1"/>
  <c r="HK43" i="1"/>
  <c r="D43" i="1"/>
  <c r="C43" i="1"/>
  <c r="B43" i="1"/>
  <c r="D42" i="1"/>
  <c r="C42" i="1"/>
  <c r="B42" i="1"/>
  <c r="D41" i="1"/>
  <c r="C41" i="1"/>
  <c r="B41" i="1"/>
  <c r="CC40" i="1"/>
  <c r="D40" i="1"/>
  <c r="C40" i="1"/>
  <c r="B40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C39" i="1"/>
  <c r="D39" i="1"/>
  <c r="C39" i="1"/>
  <c r="B39" i="1"/>
  <c r="CC38" i="1"/>
  <c r="D38" i="1"/>
  <c r="C38" i="1"/>
  <c r="B38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D37" i="1"/>
  <c r="CC37" i="1"/>
  <c r="D37" i="1"/>
  <c r="C37" i="1"/>
  <c r="B37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BP36" i="1"/>
  <c r="CD36" i="1"/>
  <c r="CC36" i="1"/>
  <c r="D36" i="1"/>
  <c r="C36" i="1"/>
  <c r="B36" i="1"/>
  <c r="BP35" i="1"/>
  <c r="CD35" i="1"/>
  <c r="CC35" i="1"/>
  <c r="D35" i="1"/>
  <c r="C35" i="1"/>
  <c r="B35" i="1"/>
  <c r="CT34" i="1"/>
  <c r="BP34" i="1"/>
  <c r="CD34" i="1"/>
  <c r="CC34" i="1"/>
  <c r="D34" i="1"/>
  <c r="C34" i="1"/>
  <c r="B34" i="1"/>
  <c r="CT33" i="1"/>
  <c r="BP33" i="1"/>
  <c r="CD33" i="1"/>
  <c r="CC33" i="1"/>
  <c r="D33" i="1"/>
  <c r="C33" i="1"/>
  <c r="B33" i="1"/>
  <c r="CT32" i="1"/>
  <c r="BP32" i="1"/>
  <c r="CD32" i="1"/>
  <c r="CC32" i="1"/>
  <c r="D32" i="1"/>
  <c r="C32" i="1"/>
  <c r="B32" i="1"/>
  <c r="CT31" i="1"/>
  <c r="BP31" i="1"/>
  <c r="CD31" i="1"/>
  <c r="CC31" i="1"/>
  <c r="D31" i="1"/>
  <c r="C31" i="1"/>
  <c r="B31" i="1"/>
  <c r="CT30" i="1"/>
  <c r="BP30" i="1"/>
  <c r="CD30" i="1"/>
  <c r="CC30" i="1"/>
  <c r="D30" i="1"/>
  <c r="C30" i="1"/>
  <c r="B30" i="1"/>
  <c r="CT29" i="1"/>
  <c r="BP29" i="1"/>
  <c r="CD29" i="1"/>
  <c r="CC29" i="1"/>
  <c r="D29" i="1"/>
  <c r="C29" i="1"/>
  <c r="B29" i="1"/>
  <c r="CT28" i="1"/>
  <c r="BP28" i="1"/>
  <c r="CD28" i="1"/>
  <c r="CC28" i="1"/>
  <c r="D28" i="1"/>
  <c r="C28" i="1"/>
  <c r="B28" i="1"/>
  <c r="CT27" i="1"/>
  <c r="BP27" i="1"/>
  <c r="CD27" i="1"/>
  <c r="CC27" i="1"/>
  <c r="D27" i="1"/>
  <c r="C27" i="1"/>
  <c r="B27" i="1"/>
  <c r="CT26" i="1"/>
  <c r="BP26" i="1"/>
  <c r="CD26" i="1"/>
  <c r="CC26" i="1"/>
  <c r="D26" i="1"/>
  <c r="C26" i="1"/>
  <c r="B26" i="1"/>
  <c r="CT25" i="1"/>
  <c r="BP25" i="1"/>
  <c r="CD25" i="1"/>
  <c r="CC25" i="1"/>
  <c r="D25" i="1"/>
  <c r="C25" i="1"/>
  <c r="B25" i="1"/>
  <c r="CT24" i="1"/>
  <c r="BP24" i="1"/>
  <c r="CD24" i="1"/>
  <c r="CC24" i="1"/>
  <c r="D24" i="1"/>
  <c r="C24" i="1"/>
  <c r="B24" i="1"/>
  <c r="CT23" i="1"/>
  <c r="BP23" i="1"/>
  <c r="CD23" i="1"/>
  <c r="CC23" i="1"/>
  <c r="D23" i="1"/>
  <c r="C23" i="1"/>
  <c r="B23" i="1"/>
  <c r="CT22" i="1"/>
  <c r="BP22" i="1"/>
  <c r="CD22" i="1"/>
  <c r="CC22" i="1"/>
  <c r="D22" i="1"/>
  <c r="C22" i="1"/>
  <c r="B22" i="1"/>
  <c r="CT21" i="1"/>
  <c r="BP21" i="1"/>
  <c r="CD21" i="1"/>
  <c r="CC21" i="1"/>
  <c r="D21" i="1"/>
  <c r="C21" i="1"/>
  <c r="B21" i="1"/>
  <c r="CT20" i="1"/>
  <c r="BP20" i="1"/>
  <c r="CD20" i="1"/>
  <c r="CC20" i="1"/>
  <c r="D20" i="1"/>
  <c r="C20" i="1"/>
  <c r="B20" i="1"/>
  <c r="CT19" i="1"/>
  <c r="BP19" i="1"/>
  <c r="CD19" i="1"/>
  <c r="CC19" i="1"/>
  <c r="D19" i="1"/>
  <c r="C19" i="1"/>
  <c r="B19" i="1"/>
  <c r="CT18" i="1"/>
  <c r="BP18" i="1"/>
  <c r="CD18" i="1"/>
  <c r="CC18" i="1"/>
  <c r="D18" i="1"/>
  <c r="C18" i="1"/>
  <c r="B18" i="1"/>
  <c r="CT17" i="1"/>
  <c r="BP17" i="1"/>
  <c r="CD17" i="1"/>
  <c r="CC17" i="1"/>
  <c r="D17" i="1"/>
  <c r="C17" i="1"/>
  <c r="B17" i="1"/>
  <c r="CT16" i="1"/>
  <c r="BP16" i="1"/>
  <c r="CD16" i="1"/>
  <c r="CC16" i="1"/>
  <c r="D16" i="1"/>
  <c r="C16" i="1"/>
  <c r="B16" i="1"/>
  <c r="CT15" i="1"/>
  <c r="BP15" i="1"/>
  <c r="CD15" i="1"/>
  <c r="CC15" i="1"/>
  <c r="D15" i="1"/>
  <c r="C15" i="1"/>
  <c r="B15" i="1"/>
  <c r="CT14" i="1"/>
  <c r="BP14" i="1"/>
  <c r="CD14" i="1"/>
  <c r="CC14" i="1"/>
  <c r="D14" i="1"/>
  <c r="C14" i="1"/>
  <c r="B14" i="1"/>
  <c r="CT13" i="1"/>
  <c r="BP13" i="1"/>
  <c r="CD13" i="1"/>
  <c r="CC13" i="1"/>
  <c r="D13" i="1"/>
  <c r="C13" i="1"/>
  <c r="B13" i="1"/>
  <c r="CT12" i="1"/>
  <c r="BP12" i="1"/>
  <c r="CD12" i="1"/>
  <c r="CC12" i="1"/>
  <c r="D12" i="1"/>
  <c r="C12" i="1"/>
  <c r="B12" i="1"/>
  <c r="CT11" i="1"/>
  <c r="BP11" i="1"/>
  <c r="CD11" i="1"/>
  <c r="CC11" i="1"/>
  <c r="D11" i="1"/>
  <c r="C11" i="1"/>
  <c r="B11" i="1"/>
  <c r="CT10" i="1"/>
  <c r="BP10" i="1"/>
  <c r="CD10" i="1"/>
  <c r="CC10" i="1"/>
  <c r="D10" i="1"/>
  <c r="C10" i="1"/>
  <c r="B10" i="1"/>
  <c r="CT9" i="1"/>
  <c r="D9" i="1"/>
  <c r="C9" i="1"/>
  <c r="B9" i="1"/>
  <c r="CT8" i="1"/>
  <c r="D8" i="1"/>
  <c r="C8" i="1"/>
  <c r="B8" i="1"/>
  <c r="D7" i="1"/>
  <c r="C7" i="1"/>
  <c r="B7" i="1"/>
  <c r="D6" i="1"/>
  <c r="C6" i="1"/>
  <c r="B6" i="1"/>
  <c r="D5" i="1"/>
  <c r="C5" i="1"/>
  <c r="B5" i="1"/>
</calcChain>
</file>

<file path=xl/sharedStrings.xml><?xml version="1.0" encoding="utf-8"?>
<sst xmlns="http://schemas.openxmlformats.org/spreadsheetml/2006/main" count="936" uniqueCount="483">
  <si>
    <t>TOTAL STORMS EVERY DAY</t>
  </si>
  <si>
    <r>
      <rPr>
        <sz val="12"/>
        <color rgb="FF000000"/>
        <rFont val="Liberation Sans1"/>
        <charset val="238"/>
      </rPr>
      <t>This is only</t>
    </r>
    <r>
      <rPr>
        <b/>
        <sz val="12"/>
        <color rgb="FF000000"/>
        <rFont val="Liberation Sans1"/>
        <charset val="238"/>
      </rPr>
      <t xml:space="preserve"> thunderstorm day</t>
    </r>
    <r>
      <rPr>
        <sz val="12"/>
        <color rgb="FF000000"/>
        <rFont val="Liberation Sans1"/>
        <charset val="238"/>
      </rPr>
      <t xml:space="preserve"> count, not </t>
    </r>
    <r>
      <rPr>
        <b/>
        <sz val="12"/>
        <color rgb="FF000000"/>
        <rFont val="Liberation Sans1"/>
        <charset val="238"/>
      </rPr>
      <t>total thunderstorms</t>
    </r>
    <r>
      <rPr>
        <sz val="12"/>
        <color rgb="FF000000"/>
        <rFont val="Liberation Sans1"/>
        <charset val="238"/>
      </rPr>
      <t xml:space="preserve"> count</t>
    </r>
  </si>
  <si>
    <r>
      <rPr>
        <b/>
        <sz val="16"/>
        <color rgb="FF000000"/>
        <rFont val="Liberation Sans1"/>
        <charset val="238"/>
      </rPr>
      <t xml:space="preserve">Main season: </t>
    </r>
    <r>
      <rPr>
        <sz val="16"/>
        <color rgb="FF000000"/>
        <rFont val="Liberation Sans1"/>
        <charset val="238"/>
      </rPr>
      <t>1st May – 30th September</t>
    </r>
  </si>
  <si>
    <t>Criteria:</t>
  </si>
  <si>
    <t>At least 1 heard thunder</t>
  </si>
  <si>
    <r>
      <rPr>
        <b/>
        <sz val="16"/>
        <color rgb="FF000000"/>
        <rFont val="Liberation Sans1"/>
        <charset val="238"/>
      </rPr>
      <t xml:space="preserve">Location: </t>
    </r>
    <r>
      <rPr>
        <sz val="16"/>
        <color rgb="FF000000"/>
        <rFont val="Liberation Sans1"/>
        <charset val="238"/>
      </rPr>
      <t>Most</t>
    </r>
  </si>
  <si>
    <t>Date</t>
  </si>
  <si>
    <t>average</t>
  </si>
  <si>
    <t>minimum</t>
  </si>
  <si>
    <t>maximum</t>
  </si>
  <si>
    <t>or</t>
  </si>
  <si>
    <t>January 1</t>
  </si>
  <si>
    <t>1 light. strike within 15 km (plausibly checked)</t>
  </si>
  <si>
    <t>January 2</t>
  </si>
  <si>
    <t>(Wind-farm induced lightning isn’t counted and has special category)</t>
  </si>
  <si>
    <t>January 3</t>
  </si>
  <si>
    <t>Events:</t>
  </si>
  <si>
    <t>MCS</t>
  </si>
  <si>
    <t>strong TS or SC</t>
  </si>
  <si>
    <t>Wfarm induced</t>
  </si>
  <si>
    <t>Far storms (6-15km)</t>
  </si>
  <si>
    <t>How many TD each month every year: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</si>
  <si>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</si>
  <si>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</si>
  <si>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</si>
  <si>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</si>
  <si>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</si>
  <si>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</si>
  <si>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</si>
  <si>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</si>
  <si>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</si>
  <si>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</si>
  <si>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</si>
  <si>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</si>
  <si>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SUM</t>
  </si>
  <si>
    <t>January 4</t>
  </si>
  <si>
    <t>January 5</t>
  </si>
  <si>
    <t>TD Amount:</t>
  </si>
  <si>
    <t>Events amount:</t>
  </si>
  <si>
    <t>STR TS or SC</t>
  </si>
  <si>
    <t>WF induced</t>
  </si>
  <si>
    <t>Far storms</t>
  </si>
  <si>
    <t>Direct TS to 6km:</t>
  </si>
  <si>
    <t>Seasons:</t>
  </si>
  <si>
    <t>Average season:</t>
  </si>
  <si>
    <t>Season had a difference &lt;=2 TD from TD average</t>
  </si>
  <si>
    <t>Poměr Total X Direct:</t>
  </si>
  <si>
    <t>January 6</t>
  </si>
  <si>
    <t>January 7</t>
  </si>
  <si>
    <t>Below-average season:</t>
  </si>
  <si>
    <t>Season had 3-4 TD less than TD average</t>
  </si>
  <si>
    <t>January 8</t>
  </si>
  <si>
    <t>Strong below-average season:</t>
  </si>
  <si>
    <t>Season had 5-6 TD less than TD average</t>
  </si>
  <si>
    <t>January 9</t>
  </si>
  <si>
    <t>Exceptionally below-average season:</t>
  </si>
  <si>
    <t>Season had &gt;=7 TD less than TD average</t>
  </si>
  <si>
    <t>January 10</t>
  </si>
  <si>
    <t>January 11</t>
  </si>
  <si>
    <t>Above-average season:</t>
  </si>
  <si>
    <t>Season had 3-4 TD more than TD average</t>
  </si>
  <si>
    <t>January 12</t>
  </si>
  <si>
    <t>Strong above-average season:</t>
  </si>
  <si>
    <t>Season had 5-6 TD more than TD average</t>
  </si>
  <si>
    <t>January 13</t>
  </si>
  <si>
    <t>Exceptionally above-average season:</t>
  </si>
  <si>
    <t>Season had &gt;=7 TD more than TD average</t>
  </si>
  <si>
    <t>January 14</t>
  </si>
  <si>
    <t>Season Tds:</t>
  </si>
  <si>
    <t>Classification:</t>
  </si>
  <si>
    <t>Points:</t>
  </si>
  <si>
    <t>January 15</t>
  </si>
  <si>
    <t>Season 1999:</t>
  </si>
  <si>
    <t>Exceptionally below-average season</t>
  </si>
  <si>
    <t>January 16</t>
  </si>
  <si>
    <t>Season 2000:</t>
  </si>
  <si>
    <t>Average season</t>
  </si>
  <si>
    <t>January 17</t>
  </si>
  <si>
    <t>Season 2001:</t>
  </si>
  <si>
    <t>Strong below-average season</t>
  </si>
  <si>
    <t>January 18</t>
  </si>
  <si>
    <t>Season 2002:</t>
  </si>
  <si>
    <t>January 19</t>
  </si>
  <si>
    <t>Season 2003:</t>
  </si>
  <si>
    <t xml:space="preserve">Average season </t>
  </si>
  <si>
    <t>January 20</t>
  </si>
  <si>
    <t>Season 2004:</t>
  </si>
  <si>
    <t>Strong above-average season</t>
  </si>
  <si>
    <t>January 21</t>
  </si>
  <si>
    <t>Season 2005:</t>
  </si>
  <si>
    <t>January 22</t>
  </si>
  <si>
    <t>Season 2006:</t>
  </si>
  <si>
    <t>Above-average season</t>
  </si>
  <si>
    <t>January 23</t>
  </si>
  <si>
    <t>Season 2007:</t>
  </si>
  <si>
    <t>January 24</t>
  </si>
  <si>
    <t>Season 2008:</t>
  </si>
  <si>
    <t>January 25</t>
  </si>
  <si>
    <t>Season 2009:</t>
  </si>
  <si>
    <t>January 26</t>
  </si>
  <si>
    <t>Season 2010:</t>
  </si>
  <si>
    <t>January 27</t>
  </si>
  <si>
    <t>Season 2011:</t>
  </si>
  <si>
    <t>January 28</t>
  </si>
  <si>
    <t>Season 2012:</t>
  </si>
  <si>
    <t>January 29</t>
  </si>
  <si>
    <t>Season 2013:</t>
  </si>
  <si>
    <t>January 30</t>
  </si>
  <si>
    <t>Season 2014:</t>
  </si>
  <si>
    <t>Exceptionally above-average season</t>
  </si>
  <si>
    <t>January 31</t>
  </si>
  <si>
    <t>Season 2015:</t>
  </si>
  <si>
    <t>February 1</t>
  </si>
  <si>
    <t>Season 2016:</t>
  </si>
  <si>
    <t>AVG</t>
  </si>
  <si>
    <t>February 2</t>
  </si>
  <si>
    <t>Season 2017:</t>
  </si>
  <si>
    <t>February 3</t>
  </si>
  <si>
    <t>Season 2018:</t>
  </si>
  <si>
    <t>February 4</t>
  </si>
  <si>
    <t>Season 2019:</t>
  </si>
  <si>
    <t>Below-average season</t>
  </si>
  <si>
    <t>February 5</t>
  </si>
  <si>
    <t>Season 2020:</t>
  </si>
  <si>
    <t>February 6</t>
  </si>
  <si>
    <t>min</t>
  </si>
  <si>
    <t>Season 2021:</t>
  </si>
  <si>
    <t>February 7</t>
  </si>
  <si>
    <t>max</t>
  </si>
  <si>
    <t>Season 2022:</t>
  </si>
  <si>
    <t>Events each month:</t>
  </si>
  <si>
    <t>Direct storms 0-6km:</t>
  </si>
  <si>
    <t>JAN</t>
  </si>
  <si>
    <t xml:space="preserve">FEB 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</si>
  <si>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</si>
  <si>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</si>
  <si>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</si>
  <si>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</si>
  <si>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</si>
  <si>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</si>
  <si>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</si>
  <si>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</si>
  <si>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</si>
  <si>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</si>
  <si>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February 8</t>
  </si>
  <si>
    <t>avg</t>
  </si>
  <si>
    <t>Season 2023:</t>
  </si>
  <si>
    <t>February 9</t>
  </si>
  <si>
    <t>Season 2024:</t>
  </si>
  <si>
    <t>February 10</t>
  </si>
  <si>
    <t>Season 2025:</t>
  </si>
  <si>
    <t>February 11</t>
  </si>
  <si>
    <t>Season 2026:</t>
  </si>
  <si>
    <t>Sum:</t>
  </si>
  <si>
    <t>February 12</t>
  </si>
  <si>
    <t>Season TD avg: 28,1 ~ 28</t>
  </si>
  <si>
    <t>February 13</t>
  </si>
  <si>
    <t>February 14</t>
  </si>
  <si>
    <t>February 15</t>
  </si>
  <si>
    <t>February 16</t>
  </si>
  <si>
    <t>February 17</t>
  </si>
  <si>
    <t>February 18</t>
  </si>
  <si>
    <t>February 19</t>
  </si>
  <si>
    <t>February 20</t>
  </si>
  <si>
    <t>February 21</t>
  </si>
  <si>
    <t>February 22</t>
  </si>
  <si>
    <t>February 23</t>
  </si>
  <si>
    <t>February 24</t>
  </si>
  <si>
    <t>February 25</t>
  </si>
  <si>
    <t>February 26</t>
  </si>
  <si>
    <t>February 27</t>
  </si>
  <si>
    <t>February 28</t>
  </si>
  <si>
    <t>February 29</t>
  </si>
  <si>
    <t>March 1</t>
  </si>
  <si>
    <t>March 2</t>
  </si>
  <si>
    <t>March 3</t>
  </si>
  <si>
    <t>March 4</t>
  </si>
  <si>
    <t>March 5</t>
  </si>
  <si>
    <t>March 6</t>
  </si>
  <si>
    <t>March 7</t>
  </si>
  <si>
    <t>March 8</t>
  </si>
  <si>
    <t>March 9</t>
  </si>
  <si>
    <t>WF</t>
  </si>
  <si>
    <t>Far</t>
  </si>
  <si>
    <t>STS</t>
  </si>
  <si>
    <t>March 10</t>
  </si>
  <si>
    <t>March 11</t>
  </si>
  <si>
    <t>March 12</t>
  </si>
  <si>
    <t>March 13</t>
  </si>
  <si>
    <t>March 14</t>
  </si>
  <si>
    <t>March 15</t>
  </si>
  <si>
    <t>March 16</t>
  </si>
  <si>
    <t>March 17</t>
  </si>
  <si>
    <t>March 18</t>
  </si>
  <si>
    <t>March 19</t>
  </si>
  <si>
    <t>March 20</t>
  </si>
  <si>
    <t>March 21</t>
  </si>
  <si>
    <t>March 22</t>
  </si>
  <si>
    <t>March 23</t>
  </si>
  <si>
    <t>March 24</t>
  </si>
  <si>
    <t>March 25</t>
  </si>
  <si>
    <t>March 26</t>
  </si>
  <si>
    <t>March 27</t>
  </si>
  <si>
    <t>March 28</t>
  </si>
  <si>
    <t>March 29</t>
  </si>
  <si>
    <t>March 30</t>
  </si>
  <si>
    <t>March 31</t>
  </si>
  <si>
    <t>April 1</t>
  </si>
  <si>
    <t>April 2</t>
  </si>
  <si>
    <t>April 3</t>
  </si>
  <si>
    <t>April 4</t>
  </si>
  <si>
    <t>April 5</t>
  </si>
  <si>
    <t>April 6</t>
  </si>
  <si>
    <t>April 7</t>
  </si>
  <si>
    <t>April 8</t>
  </si>
  <si>
    <t>April 9</t>
  </si>
  <si>
    <t>April 10</t>
  </si>
  <si>
    <t>April 11</t>
  </si>
  <si>
    <t>April 12</t>
  </si>
  <si>
    <t>April 13</t>
  </si>
  <si>
    <t>April 14</t>
  </si>
  <si>
    <t>April 15</t>
  </si>
  <si>
    <t>April 16</t>
  </si>
  <si>
    <t>April 17</t>
  </si>
  <si>
    <t>April 18</t>
  </si>
  <si>
    <t>April 19</t>
  </si>
  <si>
    <t>April 20</t>
  </si>
  <si>
    <t>April 21</t>
  </si>
  <si>
    <t>April 22</t>
  </si>
  <si>
    <t>April 23</t>
  </si>
  <si>
    <t>April 24</t>
  </si>
  <si>
    <t>April 25</t>
  </si>
  <si>
    <t>April 26</t>
  </si>
  <si>
    <t>April 27</t>
  </si>
  <si>
    <t>April 28</t>
  </si>
  <si>
    <t>April 29</t>
  </si>
  <si>
    <t>April 30</t>
  </si>
  <si>
    <t>May 1</t>
  </si>
  <si>
    <t>May 2</t>
  </si>
  <si>
    <t>May 3</t>
  </si>
  <si>
    <t>May 4</t>
  </si>
  <si>
    <t>May 5</t>
  </si>
  <si>
    <t>May 6</t>
  </si>
  <si>
    <t>May 7</t>
  </si>
  <si>
    <t>May 8</t>
  </si>
  <si>
    <t>May 9</t>
  </si>
  <si>
    <t>May 10</t>
  </si>
  <si>
    <t>May 11</t>
  </si>
  <si>
    <t>May 12</t>
  </si>
  <si>
    <t>May 13</t>
  </si>
  <si>
    <t>May 14</t>
  </si>
  <si>
    <t>May 15</t>
  </si>
  <si>
    <t>May 16</t>
  </si>
  <si>
    <t>May 17</t>
  </si>
  <si>
    <t>May 18</t>
  </si>
  <si>
    <t>May 19</t>
  </si>
  <si>
    <t>May 20</t>
  </si>
  <si>
    <t>May 21</t>
  </si>
  <si>
    <t>May 22</t>
  </si>
  <si>
    <t>May 23</t>
  </si>
  <si>
    <t>May 24</t>
  </si>
  <si>
    <t>May 25</t>
  </si>
  <si>
    <t>May 26</t>
  </si>
  <si>
    <t>May 27</t>
  </si>
  <si>
    <t>May 28</t>
  </si>
  <si>
    <t>May 29</t>
  </si>
  <si>
    <t>May 30</t>
  </si>
  <si>
    <t>May 31</t>
  </si>
  <si>
    <t>June 1</t>
  </si>
  <si>
    <t>June 2</t>
  </si>
  <si>
    <t>June 3</t>
  </si>
  <si>
    <t>June 4</t>
  </si>
  <si>
    <t>June 5</t>
  </si>
  <si>
    <t>June 6</t>
  </si>
  <si>
    <t>June 7</t>
  </si>
  <si>
    <t>June 8</t>
  </si>
  <si>
    <t>June 9</t>
  </si>
  <si>
    <t>June 10</t>
  </si>
  <si>
    <t>June 11</t>
  </si>
  <si>
    <t>June 12</t>
  </si>
  <si>
    <t>June 13</t>
  </si>
  <si>
    <t>June 14</t>
  </si>
  <si>
    <t>June 15</t>
  </si>
  <si>
    <t>June 16</t>
  </si>
  <si>
    <t>June 17</t>
  </si>
  <si>
    <t>June 18</t>
  </si>
  <si>
    <t>June 19</t>
  </si>
  <si>
    <t>June 20</t>
  </si>
  <si>
    <t>June 21</t>
  </si>
  <si>
    <t>June 22</t>
  </si>
  <si>
    <t>June 23</t>
  </si>
  <si>
    <t>June 24</t>
  </si>
  <si>
    <t>June 25</t>
  </si>
  <si>
    <t>June 26</t>
  </si>
  <si>
    <t>June 27</t>
  </si>
  <si>
    <t>June 28</t>
  </si>
  <si>
    <t>June 29</t>
  </si>
  <si>
    <t>June 30</t>
  </si>
  <si>
    <t>July 1</t>
  </si>
  <si>
    <t>July 2</t>
  </si>
  <si>
    <t>July 3</t>
  </si>
  <si>
    <t>July 4</t>
  </si>
  <si>
    <t>July 5</t>
  </si>
  <si>
    <t>July 6</t>
  </si>
  <si>
    <t>July 7</t>
  </si>
  <si>
    <t>July 8</t>
  </si>
  <si>
    <t>July 9</t>
  </si>
  <si>
    <t>July 10</t>
  </si>
  <si>
    <t>July 11</t>
  </si>
  <si>
    <t>July 12</t>
  </si>
  <si>
    <t>July 13</t>
  </si>
  <si>
    <t>July 14</t>
  </si>
  <si>
    <t>July 15</t>
  </si>
  <si>
    <t>July 16</t>
  </si>
  <si>
    <t>July 17</t>
  </si>
  <si>
    <t>July 18</t>
  </si>
  <si>
    <t>July 19</t>
  </si>
  <si>
    <t>July 20</t>
  </si>
  <si>
    <t>July 21</t>
  </si>
  <si>
    <t>July 22</t>
  </si>
  <si>
    <t>July 23</t>
  </si>
  <si>
    <t>July 24</t>
  </si>
  <si>
    <t>July 25</t>
  </si>
  <si>
    <t>July 26</t>
  </si>
  <si>
    <t>July 27</t>
  </si>
  <si>
    <t>July 28</t>
  </si>
  <si>
    <t>July 29</t>
  </si>
  <si>
    <t>July 30</t>
  </si>
  <si>
    <t>July 31</t>
  </si>
  <si>
    <t>August 1</t>
  </si>
  <si>
    <t>August 2</t>
  </si>
  <si>
    <t>August 3</t>
  </si>
  <si>
    <t>August 4</t>
  </si>
  <si>
    <t>August 5</t>
  </si>
  <si>
    <t>August 6</t>
  </si>
  <si>
    <t>August 7</t>
  </si>
  <si>
    <t>August 8</t>
  </si>
  <si>
    <t>August 9</t>
  </si>
  <si>
    <t>August 10</t>
  </si>
  <si>
    <t>August 11</t>
  </si>
  <si>
    <t>August 12</t>
  </si>
  <si>
    <t>August 13</t>
  </si>
  <si>
    <t>August 14</t>
  </si>
  <si>
    <t>August 15</t>
  </si>
  <si>
    <t>August 16</t>
  </si>
  <si>
    <t>August 17</t>
  </si>
  <si>
    <t>August 18</t>
  </si>
  <si>
    <t>August 19</t>
  </si>
  <si>
    <t>August 20</t>
  </si>
  <si>
    <t>August 21</t>
  </si>
  <si>
    <t>August 22</t>
  </si>
  <si>
    <t>August 23</t>
  </si>
  <si>
    <t>August 24</t>
  </si>
  <si>
    <t>August 25</t>
  </si>
  <si>
    <t>August 26</t>
  </si>
  <si>
    <t>August 27</t>
  </si>
  <si>
    <t>August 28</t>
  </si>
  <si>
    <t>August 29</t>
  </si>
  <si>
    <t>August 30</t>
  </si>
  <si>
    <t>August 31</t>
  </si>
  <si>
    <t>September 1</t>
  </si>
  <si>
    <t>September 2</t>
  </si>
  <si>
    <t>September 3</t>
  </si>
  <si>
    <t>September 4</t>
  </si>
  <si>
    <t>September 5</t>
  </si>
  <si>
    <t>September 6</t>
  </si>
  <si>
    <t>September 7</t>
  </si>
  <si>
    <t>September 8</t>
  </si>
  <si>
    <t>September 9</t>
  </si>
  <si>
    <t>September 10</t>
  </si>
  <si>
    <t>September 11</t>
  </si>
  <si>
    <t>September 12</t>
  </si>
  <si>
    <t>September 13</t>
  </si>
  <si>
    <t>September 14</t>
  </si>
  <si>
    <t>September 15</t>
  </si>
  <si>
    <t>September 16</t>
  </si>
  <si>
    <t>September 17</t>
  </si>
  <si>
    <t>September 18</t>
  </si>
  <si>
    <t>September 19</t>
  </si>
  <si>
    <t>September 20</t>
  </si>
  <si>
    <t>September 21</t>
  </si>
  <si>
    <t>September 22</t>
  </si>
  <si>
    <t>September 23</t>
  </si>
  <si>
    <t>September 24</t>
  </si>
  <si>
    <t>September 25</t>
  </si>
  <si>
    <t>September 26</t>
  </si>
  <si>
    <t>September 27</t>
  </si>
  <si>
    <t>September 28</t>
  </si>
  <si>
    <t>September 29</t>
  </si>
  <si>
    <t>September 30</t>
  </si>
  <si>
    <t>October 1</t>
  </si>
  <si>
    <t>October 2</t>
  </si>
  <si>
    <t>October 3</t>
  </si>
  <si>
    <t>October 4</t>
  </si>
  <si>
    <t>October 5</t>
  </si>
  <si>
    <t>October 6</t>
  </si>
  <si>
    <t>October 7</t>
  </si>
  <si>
    <t>October 8</t>
  </si>
  <si>
    <t>October 9</t>
  </si>
  <si>
    <t>October 10</t>
  </si>
  <si>
    <t>October 11</t>
  </si>
  <si>
    <t>October 12</t>
  </si>
  <si>
    <t>October 13</t>
  </si>
  <si>
    <t>October 14</t>
  </si>
  <si>
    <t>October 15</t>
  </si>
  <si>
    <t>October 16</t>
  </si>
  <si>
    <t>October 17</t>
  </si>
  <si>
    <t>October 18</t>
  </si>
  <si>
    <t>October 19</t>
  </si>
  <si>
    <t>October 20</t>
  </si>
  <si>
    <t>October 21</t>
  </si>
  <si>
    <t>October 22</t>
  </si>
  <si>
    <t>October 23</t>
  </si>
  <si>
    <t>October 24</t>
  </si>
  <si>
    <t>October 25</t>
  </si>
  <si>
    <t>October 26</t>
  </si>
  <si>
    <t>October 27</t>
  </si>
  <si>
    <t>October 28</t>
  </si>
  <si>
    <t>October 29</t>
  </si>
  <si>
    <t>October 30</t>
  </si>
  <si>
    <t>October 31</t>
  </si>
  <si>
    <t>November 1</t>
  </si>
  <si>
    <t>November 2</t>
  </si>
  <si>
    <t>November 3</t>
  </si>
  <si>
    <t>November 4</t>
  </si>
  <si>
    <t>November 5</t>
  </si>
  <si>
    <t>November 6</t>
  </si>
  <si>
    <t>November 7</t>
  </si>
  <si>
    <t>November 8</t>
  </si>
  <si>
    <t>November 9</t>
  </si>
  <si>
    <t>November 10</t>
  </si>
  <si>
    <t>November 11</t>
  </si>
  <si>
    <t>November 12</t>
  </si>
  <si>
    <t>November 13</t>
  </si>
  <si>
    <t>November 14</t>
  </si>
  <si>
    <t>November 15</t>
  </si>
  <si>
    <t>November 16</t>
  </si>
  <si>
    <t>November 17</t>
  </si>
  <si>
    <t>November 18</t>
  </si>
  <si>
    <t>November 19</t>
  </si>
  <si>
    <t>November 20</t>
  </si>
  <si>
    <t>November 21</t>
  </si>
  <si>
    <t>November 22</t>
  </si>
  <si>
    <t>November 23</t>
  </si>
  <si>
    <t>November 24</t>
  </si>
  <si>
    <t>November 25</t>
  </si>
  <si>
    <t>November 26</t>
  </si>
  <si>
    <t>November 27</t>
  </si>
  <si>
    <t>November 28</t>
  </si>
  <si>
    <t>November 29</t>
  </si>
  <si>
    <t>November 30</t>
  </si>
  <si>
    <t>December 1</t>
  </si>
  <si>
    <t>December 2</t>
  </si>
  <si>
    <t>December 3</t>
  </si>
  <si>
    <t>December 4</t>
  </si>
  <si>
    <t>December 5</t>
  </si>
  <si>
    <t>December 6</t>
  </si>
  <si>
    <t>December 7</t>
  </si>
  <si>
    <t>December 8</t>
  </si>
  <si>
    <t>December 9</t>
  </si>
  <si>
    <t>December 10</t>
  </si>
  <si>
    <t>December 11</t>
  </si>
  <si>
    <t>December 12</t>
  </si>
  <si>
    <t>December 13</t>
  </si>
  <si>
    <t>December 14</t>
  </si>
  <si>
    <t>December 15</t>
  </si>
  <si>
    <t>December 16</t>
  </si>
  <si>
    <t>December 17</t>
  </si>
  <si>
    <t>December 18</t>
  </si>
  <si>
    <t>December 19</t>
  </si>
  <si>
    <t>December 20</t>
  </si>
  <si>
    <t>December 21</t>
  </si>
  <si>
    <t>December 22</t>
  </si>
  <si>
    <t>December 23</t>
  </si>
  <si>
    <t>December 24</t>
  </si>
  <si>
    <t>December 25</t>
  </si>
  <si>
    <t>December 26</t>
  </si>
  <si>
    <t>December 27</t>
  </si>
  <si>
    <t>December 28</t>
  </si>
  <si>
    <t>December 29</t>
  </si>
  <si>
    <t>December 30</t>
  </si>
  <si>
    <t>December 31</t>
  </si>
  <si>
    <t>DIRECT/NEAR STORMS EVERY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</si>
</sst>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\ [$Kč-405];[Red]\-#,##0.00\ [$Kč-405]"/>
  </numFmts>
  <fonts count="15">
    <font>
      <sz val="10"/>
      <color theme="1"/>
      <name val="Arial"/>
      <charset val="238"/>
    </font>
    <font>
      <b/>
      <sz val="10"/>
      <color theme="1"/>
      <name val="Liberation Sans1"/>
      <charset val="238"/>
    </font>
    <font>
      <sz val="10"/>
      <color theme="1"/>
      <name val="Liberation Sans1"/>
      <charset val="238"/>
    </font>
    <font>
      <i/>
      <sz val="10"/>
      <color theme="1"/>
      <name val="Liberation Sans1"/>
      <charset val="238"/>
    </font>
    <font>
      <b/>
      <sz val="24"/>
      <color theme="1"/>
      <name val="Liberation Sans1"/>
      <charset val="238"/>
    </font>
    <font>
      <u/>
      <sz val="10"/>
      <color theme="1"/>
      <name val="Liberation Sans1"/>
      <charset val="238"/>
    </font>
    <font>
      <b/>
      <i/>
      <u/>
      <sz val="10"/>
      <color theme="1"/>
      <name val="Liberation Sans1"/>
      <charset val="238"/>
    </font>
    <font>
      <b/>
      <sz val="28"/>
      <color theme="1"/>
      <name val="Arial"/>
      <charset val="238"/>
    </font>
    <font>
      <sz val="12"/>
      <color rgb="FF000000"/>
      <name val="Liberation Sans1"/>
      <charset val="238"/>
    </font>
    <font>
      <b/>
      <sz val="12"/>
      <color rgb="FF000000"/>
      <name val="Liberation Sans1"/>
      <charset val="238"/>
    </font>
    <font>
      <b/>
      <sz val="16"/>
      <color rgb="FF000000"/>
      <name val="Liberation Sans1"/>
      <charset val="238"/>
    </font>
    <font>
      <sz val="16"/>
      <color rgb="FF000000"/>
      <name val="Liberation Sans1"/>
      <charset val="238"/>
    </font>
    <font>
      <b/>
      <sz val="9"/>
      <color theme="1"/>
      <name val="Liberation Sans1"/>
      <charset val="238"/>
    </font>
    <font>
      <b/>
      <sz val="10"/>
      <color theme="1"/>
      <name val="Arial"/>
      <charset val="238"/>
    </font>
    <font>
      <b/>
      <sz val="32"/>
      <color theme="1"/>
      <name val="Liberation Sans1"/>
      <charset val="238"/>
    </font>
  </fonts>
  <fills count="11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CCFFFF"/>
      </patternFill>
    </fill>
    <fill>
      <patternFill patternType="solid">
        <fgColor rgb="FFCC0000"/>
        <bgColor rgb="FFBF0041"/>
      </patternFill>
    </fill>
    <fill>
      <patternFill patternType="solid">
        <fgColor rgb="FF24B1F7"/>
        <bgColor rgb="FF00CCFF"/>
      </patternFill>
    </fill>
    <fill>
      <patternFill patternType="solid">
        <fgColor rgb="FFFF0000"/>
        <bgColor rgb="FFFF0000"/>
      </patternFill>
    </fill>
    <fill>
      <patternFill patternType="solid">
        <fgColor rgb="FFFF8000"/>
        <bgColor rgb="FFFF8000"/>
      </patternFill>
    </fill>
    <fill>
      <patternFill patternType="solid">
        <fgColor rgb="FFFFFF00"/>
        <bgColor rgb="FFFFFF00"/>
      </patternFill>
    </fill>
    <fill>
      <patternFill patternType="solid">
        <fgColor theme="5"/>
        <bgColor rgb="FFFF8000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double">
        <color auto="1"/>
      </left>
      <right/>
      <top/>
      <bottom style="double">
        <color rgb="FF505050"/>
      </bottom>
      <diagonal/>
    </border>
    <border>
      <left/>
      <right/>
      <top/>
      <bottom style="double">
        <color rgb="FF505050"/>
      </bottom>
      <diagonal/>
    </border>
    <border>
      <left/>
      <right style="double">
        <color auto="1"/>
      </right>
      <top/>
      <bottom style="double">
        <color rgb="FF505050"/>
      </bottom>
      <diagonal/>
    </border>
    <border>
      <left style="thin">
        <color auto="1"/>
      </left>
      <right style="thin">
        <color auto="1"/>
      </right>
      <top/>
      <bottom style="thin">
        <color rgb="FF505050"/>
      </bottom>
      <diagonal/>
    </border>
    <border>
      <left/>
      <right/>
      <top/>
      <bottom style="thin">
        <color rgb="FF505050"/>
      </bottom>
      <diagonal/>
    </border>
  </borders>
  <cellStyleXfs count="14">
    <xf numFmtId="0" fontId="0" fillId="0" borderId="0"/>
    <xf numFmtId="0" fontId="1" fillId="2" borderId="0" applyBorder="0" applyProtection="0"/>
    <xf numFmtId="0" fontId="1" fillId="3" borderId="0" applyBorder="0" applyProtection="0"/>
    <xf numFmtId="0" fontId="1" fillId="4" borderId="0" applyBorder="0" applyProtection="0"/>
    <xf numFmtId="0" fontId="1" fillId="0" borderId="0" applyBorder="0" applyProtection="0"/>
    <xf numFmtId="0" fontId="2" fillId="0" borderId="0" applyBorder="0" applyProtection="0"/>
    <xf numFmtId="0" fontId="1" fillId="5" borderId="0" applyBorder="0" applyProtection="0"/>
    <xf numFmtId="0" fontId="3" fillId="0" borderId="0" applyBorder="0" applyProtection="0"/>
    <xf numFmtId="0" fontId="4" fillId="0" borderId="0" applyBorder="0" applyProtection="0"/>
    <xf numFmtId="0" fontId="5" fillId="0" borderId="0" applyBorder="0" applyProtection="0"/>
    <xf numFmtId="0" fontId="6" fillId="0" borderId="0" applyBorder="0" applyProtection="0"/>
    <xf numFmtId="0" fontId="2" fillId="0" borderId="0" applyBorder="0" applyProtection="0"/>
    <xf numFmtId="0" fontId="2" fillId="0" borderId="0" applyBorder="0" applyProtection="0"/>
    <xf numFmtId="0" fontId="2" fillId="0" borderId="0" applyBorder="0" applyProtection="0"/>
  </cellStyleXfs>
  <cellXfs count="144">
    <xf numFmtId="0" fontId="0" fillId="0" borderId="0" xfId="0"/>
    <xf numFmtId="0" fontId="2" fillId="0" borderId="0" xfId="5" applyFont="1" applyBorder="1" applyAlignment="1" applyProtection="1"/>
    <xf numFmtId="0" fontId="2" fillId="0" borderId="0" xfId="5" applyFont="1" applyBorder="1" applyAlignment="1" applyProtection="1">
      <alignment horizontal="center"/>
    </xf>
    <xf numFmtId="0" fontId="0" fillId="0" borderId="0" xfId="0" applyAlignment="1" applyProtection="1"/>
    <xf numFmtId="0" fontId="1" fillId="0" borderId="1" xfId="5" applyFont="1" applyBorder="1" applyAlignment="1" applyProtection="1"/>
    <xf numFmtId="0" fontId="1" fillId="0" borderId="5" xfId="5" applyFont="1" applyBorder="1" applyAlignment="1" applyProtection="1">
      <alignment horizontal="center"/>
    </xf>
    <xf numFmtId="0" fontId="1" fillId="0" borderId="6" xfId="5" applyFont="1" applyBorder="1" applyAlignment="1" applyProtection="1">
      <alignment horizontal="center"/>
    </xf>
    <xf numFmtId="0" fontId="1" fillId="0" borderId="7" xfId="5" applyFont="1" applyBorder="1" applyAlignment="1" applyProtection="1">
      <alignment horizontal="center"/>
    </xf>
    <xf numFmtId="0" fontId="1" fillId="0" borderId="1" xfId="5" applyFont="1" applyBorder="1" applyAlignment="1" applyProtection="1">
      <alignment horizontal="center"/>
    </xf>
    <xf numFmtId="0" fontId="2" fillId="0" borderId="8" xfId="5" applyFont="1" applyBorder="1" applyAlignment="1" applyProtection="1">
      <alignment horizontal="center" vertical="center"/>
    </xf>
    <xf numFmtId="0" fontId="2" fillId="0" borderId="9" xfId="5" applyFont="1" applyBorder="1" applyAlignment="1" applyProtection="1"/>
    <xf numFmtId="164" fontId="2" fillId="0" borderId="10" xfId="5" applyNumberFormat="1" applyFont="1" applyBorder="1" applyAlignment="1" applyProtection="1">
      <alignment horizontal="center"/>
    </xf>
    <xf numFmtId="0" fontId="2" fillId="0" borderId="11" xfId="5" applyFont="1" applyBorder="1" applyAlignment="1" applyProtection="1">
      <alignment horizontal="center"/>
    </xf>
    <xf numFmtId="0" fontId="2" fillId="0" borderId="9" xfId="5" applyFont="1" applyBorder="1" applyAlignment="1" applyProtection="1">
      <alignment horizontal="center"/>
    </xf>
    <xf numFmtId="0" fontId="2" fillId="6" borderId="9" xfId="5" applyFont="1" applyFill="1" applyBorder="1" applyAlignment="1" applyProtection="1">
      <alignment horizontal="center"/>
    </xf>
    <xf numFmtId="0" fontId="1" fillId="0" borderId="1" xfId="5" applyFont="1" applyBorder="1" applyAlignment="1" applyProtection="1">
      <alignment horizontal="right"/>
    </xf>
    <xf numFmtId="0" fontId="2" fillId="7" borderId="1" xfId="5" applyFont="1" applyFill="1" applyBorder="1" applyAlignment="1" applyProtection="1">
      <alignment horizontal="center"/>
    </xf>
    <xf numFmtId="0" fontId="2" fillId="8" borderId="1" xfId="5" applyFont="1" applyFill="1" applyBorder="1" applyAlignment="1" applyProtection="1">
      <alignment horizontal="center"/>
    </xf>
    <xf numFmtId="0" fontId="2" fillId="6" borderId="1" xfId="5" applyFont="1" applyFill="1" applyBorder="1" applyAlignment="1" applyProtection="1"/>
    <xf numFmtId="0" fontId="2" fillId="9" borderId="1" xfId="5" applyFont="1" applyFill="1" applyBorder="1" applyAlignment="1" applyProtection="1"/>
    <xf numFmtId="0" fontId="2" fillId="2" borderId="3" xfId="5" applyFont="1" applyFill="1" applyBorder="1" applyAlignment="1" applyProtection="1">
      <alignment horizontal="center"/>
    </xf>
    <xf numFmtId="0" fontId="2" fillId="9" borderId="9" xfId="5" applyFont="1" applyFill="1" applyBorder="1" applyAlignment="1" applyProtection="1">
      <alignment horizontal="center"/>
    </xf>
    <xf numFmtId="165" fontId="2" fillId="0" borderId="0" xfId="5" applyNumberFormat="1" applyFont="1" applyBorder="1" applyAlignment="1" applyProtection="1"/>
    <xf numFmtId="0" fontId="1" fillId="0" borderId="9" xfId="5" applyFont="1" applyBorder="1" applyAlignment="1" applyProtection="1">
      <alignment horizontal="center" vertical="center"/>
    </xf>
    <xf numFmtId="0" fontId="2" fillId="2" borderId="2" xfId="5" applyFont="1" applyFill="1" applyBorder="1" applyAlignment="1" applyProtection="1"/>
    <xf numFmtId="0" fontId="2" fillId="2" borderId="1" xfId="5" applyFont="1" applyFill="1" applyBorder="1" applyAlignment="1" applyProtection="1"/>
    <xf numFmtId="0" fontId="2" fillId="8" borderId="1" xfId="5" applyFont="1" applyFill="1" applyBorder="1" applyAlignment="1" applyProtection="1"/>
    <xf numFmtId="0" fontId="2" fillId="6" borderId="13" xfId="5" applyFont="1" applyFill="1" applyBorder="1" applyAlignment="1" applyProtection="1"/>
    <xf numFmtId="0" fontId="13" fillId="0" borderId="1" xfId="0" applyFont="1" applyBorder="1" applyAlignment="1" applyProtection="1"/>
    <xf numFmtId="0" fontId="0" fillId="2" borderId="2" xfId="0" applyFill="1" applyBorder="1" applyAlignment="1" applyProtection="1"/>
    <xf numFmtId="0" fontId="0" fillId="0" borderId="2" xfId="0" applyBorder="1" applyAlignment="1" applyProtection="1">
      <alignment horizontal="center"/>
    </xf>
    <xf numFmtId="0" fontId="0" fillId="2" borderId="0" xfId="0" applyFill="1" applyAlignment="1" applyProtection="1"/>
    <xf numFmtId="0" fontId="2" fillId="2" borderId="0" xfId="5" applyFont="1" applyFill="1" applyBorder="1" applyAlignment="1" applyProtection="1"/>
    <xf numFmtId="0" fontId="1" fillId="0" borderId="2" xfId="5" applyFont="1" applyBorder="1" applyAlignment="1" applyProtection="1">
      <alignment horizontal="center" vertical="center"/>
    </xf>
    <xf numFmtId="0" fontId="2" fillId="0" borderId="2" xfId="5" applyFont="1" applyBorder="1" applyAlignment="1" applyProtection="1">
      <alignment horizontal="center"/>
    </xf>
    <xf numFmtId="0" fontId="13" fillId="0" borderId="9" xfId="0" applyFont="1" applyBorder="1" applyAlignment="1" applyProtection="1">
      <alignment horizontal="center"/>
    </xf>
    <xf numFmtId="0" fontId="0" fillId="0" borderId="9" xfId="0" applyBorder="1" applyAlignment="1" applyProtection="1">
      <alignment horizontal="center" vertical="center"/>
    </xf>
    <xf numFmtId="0" fontId="0" fillId="0" borderId="9" xfId="0" applyBorder="1" applyAlignment="1" applyProtection="1">
      <alignment horizontal="center"/>
    </xf>
    <xf numFmtId="0" fontId="13" fillId="0" borderId="2" xfId="0" applyFont="1" applyBorder="1" applyAlignment="1" applyProtection="1">
      <alignment horizontal="center" vertical="center"/>
    </xf>
    <xf numFmtId="2" fontId="2" fillId="0" borderId="9" xfId="5" applyNumberFormat="1" applyFont="1" applyBorder="1" applyAlignment="1" applyProtection="1">
      <alignment horizontal="center" vertical="center"/>
    </xf>
    <xf numFmtId="2" fontId="2" fillId="0" borderId="2" xfId="5" applyNumberFormat="1" applyFont="1" applyBorder="1" applyAlignment="1" applyProtection="1">
      <alignment horizontal="center"/>
    </xf>
    <xf numFmtId="0" fontId="13" fillId="0" borderId="9" xfId="0" applyFont="1" applyBorder="1" applyAlignment="1" applyProtection="1">
      <alignment horizontal="center" vertical="center"/>
    </xf>
    <xf numFmtId="2" fontId="2" fillId="0" borderId="9" xfId="5" applyNumberFormat="1" applyFont="1" applyBorder="1" applyAlignment="1" applyProtection="1">
      <alignment horizontal="center"/>
    </xf>
    <xf numFmtId="0" fontId="13" fillId="0" borderId="12" xfId="0" applyFont="1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13" fillId="0" borderId="2" xfId="0" applyFont="1" applyBorder="1" applyAlignment="1" applyProtection="1"/>
    <xf numFmtId="0" fontId="0" fillId="0" borderId="0" xfId="0" applyFont="1" applyBorder="1" applyAlignment="1" applyProtection="1">
      <alignment horizontal="center" vertical="center"/>
    </xf>
    <xf numFmtId="0" fontId="2" fillId="7" borderId="9" xfId="5" applyFont="1" applyFill="1" applyBorder="1" applyAlignment="1" applyProtection="1">
      <alignment horizontal="center"/>
    </xf>
    <xf numFmtId="0" fontId="0" fillId="0" borderId="0" xfId="0" applyAlignment="1" applyProtection="1">
      <alignment horizontal="center" vertical="center"/>
    </xf>
    <xf numFmtId="0" fontId="1" fillId="0" borderId="14" xfId="5" applyFont="1" applyBorder="1" applyAlignment="1" applyProtection="1">
      <alignment horizontal="center" vertical="center"/>
    </xf>
    <xf numFmtId="0" fontId="2" fillId="0" borderId="14" xfId="5" applyFont="1" applyBorder="1" applyAlignment="1" applyProtection="1">
      <alignment horizontal="center"/>
    </xf>
    <xf numFmtId="0" fontId="2" fillId="0" borderId="8" xfId="5" applyFont="1" applyBorder="1" applyAlignment="1" applyProtection="1">
      <alignment horizontal="center"/>
    </xf>
    <xf numFmtId="0" fontId="1" fillId="0" borderId="4" xfId="5" applyFont="1" applyBorder="1" applyAlignment="1" applyProtection="1">
      <alignment horizontal="center" vertical="center"/>
    </xf>
    <xf numFmtId="2" fontId="2" fillId="0" borderId="4" xfId="5" applyNumberFormat="1" applyFont="1" applyBorder="1" applyAlignment="1" applyProtection="1">
      <alignment horizontal="center" vertical="center"/>
    </xf>
    <xf numFmtId="2" fontId="2" fillId="0" borderId="0" xfId="5" applyNumberFormat="1" applyFont="1" applyBorder="1" applyAlignment="1" applyProtection="1">
      <alignment horizontal="center"/>
    </xf>
    <xf numFmtId="0" fontId="1" fillId="0" borderId="1" xfId="5" applyFont="1" applyBorder="1" applyAlignment="1" applyProtection="1">
      <alignment horizontal="center" vertical="center"/>
    </xf>
    <xf numFmtId="0" fontId="2" fillId="0" borderId="1" xfId="5" applyFont="1" applyBorder="1" applyAlignment="1" applyProtection="1">
      <alignment horizontal="center" vertical="center"/>
    </xf>
    <xf numFmtId="0" fontId="2" fillId="0" borderId="9" xfId="5" applyFont="1" applyBorder="1" applyAlignment="1" applyProtection="1">
      <alignment horizontal="center" vertical="center"/>
    </xf>
    <xf numFmtId="0" fontId="1" fillId="0" borderId="15" xfId="5" applyFont="1" applyBorder="1" applyAlignment="1" applyProtection="1">
      <alignment horizontal="center" vertical="center"/>
    </xf>
    <xf numFmtId="0" fontId="2" fillId="0" borderId="15" xfId="5" applyFont="1" applyBorder="1" applyAlignment="1" applyProtection="1">
      <alignment horizontal="center"/>
    </xf>
    <xf numFmtId="0" fontId="2" fillId="0" borderId="12" xfId="5" applyFont="1" applyBorder="1" applyAlignment="1" applyProtection="1">
      <alignment horizontal="center"/>
    </xf>
    <xf numFmtId="0" fontId="2" fillId="0" borderId="16" xfId="5" applyFont="1" applyBorder="1" applyAlignment="1" applyProtection="1">
      <alignment horizontal="center"/>
    </xf>
    <xf numFmtId="0" fontId="0" fillId="0" borderId="12" xfId="0" applyBorder="1" applyAlignment="1" applyProtection="1">
      <alignment horizontal="center" vertical="center"/>
    </xf>
    <xf numFmtId="0" fontId="13" fillId="0" borderId="12" xfId="0" applyFont="1" applyBorder="1" applyAlignment="1" applyProtection="1">
      <alignment horizontal="center" vertical="center"/>
    </xf>
    <xf numFmtId="0" fontId="2" fillId="0" borderId="12" xfId="5" applyFont="1" applyBorder="1" applyAlignment="1" applyProtection="1">
      <alignment horizontal="center" vertical="center"/>
    </xf>
    <xf numFmtId="0" fontId="2" fillId="0" borderId="12" xfId="5" applyFont="1" applyBorder="1" applyAlignment="1" applyProtection="1"/>
    <xf numFmtId="0" fontId="2" fillId="2" borderId="2" xfId="5" applyFont="1" applyFill="1" applyBorder="1" applyAlignment="1" applyProtection="1">
      <alignment horizontal="center" vertical="center"/>
    </xf>
    <xf numFmtId="0" fontId="13" fillId="0" borderId="17" xfId="0" applyFont="1" applyBorder="1" applyAlignment="1" applyProtection="1">
      <alignment horizontal="center" vertical="center"/>
    </xf>
    <xf numFmtId="0" fontId="13" fillId="0" borderId="6" xfId="0" applyFont="1" applyBorder="1" applyAlignment="1" applyProtection="1">
      <alignment horizontal="center" vertical="center"/>
    </xf>
    <xf numFmtId="0" fontId="1" fillId="0" borderId="6" xfId="5" applyFont="1" applyBorder="1" applyAlignment="1" applyProtection="1">
      <alignment horizontal="center" vertical="center"/>
    </xf>
    <xf numFmtId="0" fontId="1" fillId="0" borderId="13" xfId="5" applyFont="1" applyBorder="1" applyAlignment="1" applyProtection="1">
      <alignment horizontal="center" vertical="center"/>
    </xf>
    <xf numFmtId="0" fontId="1" fillId="0" borderId="12" xfId="5" applyFont="1" applyBorder="1" applyAlignment="1" applyProtection="1">
      <alignment horizontal="center" vertical="center"/>
    </xf>
    <xf numFmtId="0" fontId="2" fillId="0" borderId="0" xfId="5" applyFont="1" applyBorder="1" applyAlignment="1" applyProtection="1">
      <alignment horizontal="center" vertical="center"/>
    </xf>
    <xf numFmtId="0" fontId="2" fillId="0" borderId="18" xfId="5" applyFont="1" applyBorder="1" applyAlignment="1" applyProtection="1">
      <alignment horizontal="center" vertical="center"/>
    </xf>
    <xf numFmtId="0" fontId="2" fillId="0" borderId="19" xfId="5" applyFont="1" applyBorder="1" applyAlignment="1" applyProtection="1">
      <alignment horizontal="center" vertical="center"/>
    </xf>
    <xf numFmtId="0" fontId="2" fillId="0" borderId="3" xfId="5" applyFont="1" applyBorder="1" applyAlignment="1" applyProtection="1">
      <alignment horizontal="center" vertical="center"/>
    </xf>
    <xf numFmtId="0" fontId="13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/>
    </xf>
    <xf numFmtId="0" fontId="2" fillId="0" borderId="14" xfId="5" applyFont="1" applyBorder="1" applyAlignment="1" applyProtection="1">
      <alignment horizontal="center" vertical="center"/>
    </xf>
    <xf numFmtId="0" fontId="0" fillId="0" borderId="0" xfId="0" applyFont="1" applyAlignment="1" applyProtection="1">
      <alignment horizontal="center" vertical="center"/>
    </xf>
    <xf numFmtId="0" fontId="2" fillId="0" borderId="20" xfId="5" applyFont="1" applyBorder="1" applyAlignment="1" applyProtection="1"/>
    <xf numFmtId="0" fontId="2" fillId="0" borderId="16" xfId="5" applyFont="1" applyBorder="1" applyAlignment="1" applyProtection="1"/>
    <xf numFmtId="0" fontId="1" fillId="0" borderId="17" xfId="5" applyFont="1" applyBorder="1" applyAlignment="1" applyProtection="1">
      <alignment horizontal="center"/>
    </xf>
    <xf numFmtId="0" fontId="0" fillId="0" borderId="13" xfId="0" applyBorder="1" applyAlignment="1" applyProtection="1"/>
    <xf numFmtId="0" fontId="0" fillId="0" borderId="14" xfId="0" applyFont="1" applyBorder="1" applyAlignment="1" applyProtection="1">
      <alignment horizontal="center" vertical="center"/>
    </xf>
    <xf numFmtId="0" fontId="0" fillId="0" borderId="15" xfId="0" applyFont="1" applyBorder="1" applyAlignment="1" applyProtection="1">
      <alignment horizontal="center" vertical="center"/>
    </xf>
    <xf numFmtId="0" fontId="0" fillId="0" borderId="20" xfId="0" applyFont="1" applyBorder="1" applyAlignment="1" applyProtection="1">
      <alignment horizontal="center" vertical="center"/>
    </xf>
    <xf numFmtId="0" fontId="2" fillId="0" borderId="20" xfId="5" applyFont="1" applyBorder="1" applyAlignment="1" applyProtection="1">
      <alignment horizontal="center" vertical="center"/>
    </xf>
    <xf numFmtId="0" fontId="2" fillId="0" borderId="16" xfId="5" applyFont="1" applyBorder="1" applyAlignment="1" applyProtection="1">
      <alignment horizontal="center" vertical="center"/>
    </xf>
    <xf numFmtId="0" fontId="2" fillId="0" borderId="2" xfId="5" applyFont="1" applyBorder="1" applyAlignment="1" applyProtection="1">
      <alignment horizontal="center" vertical="center"/>
    </xf>
    <xf numFmtId="4" fontId="2" fillId="0" borderId="15" xfId="5" applyNumberFormat="1" applyFont="1" applyBorder="1" applyAlignment="1" applyProtection="1">
      <alignment horizontal="center" vertical="center"/>
    </xf>
    <xf numFmtId="4" fontId="2" fillId="0" borderId="12" xfId="5" applyNumberFormat="1" applyFont="1" applyBorder="1" applyAlignment="1" applyProtection="1">
      <alignment horizontal="center" vertical="center"/>
    </xf>
    <xf numFmtId="4" fontId="0" fillId="0" borderId="0" xfId="0" applyNumberFormat="1" applyAlignment="1" applyProtection="1">
      <alignment horizontal="center"/>
    </xf>
    <xf numFmtId="0" fontId="1" fillId="6" borderId="1" xfId="5" applyFont="1" applyFill="1" applyBorder="1" applyAlignment="1" applyProtection="1">
      <alignment horizontal="center"/>
    </xf>
    <xf numFmtId="0" fontId="1" fillId="9" borderId="1" xfId="5" applyFont="1" applyFill="1" applyBorder="1" applyAlignment="1" applyProtection="1">
      <alignment horizontal="center"/>
    </xf>
    <xf numFmtId="0" fontId="1" fillId="8" borderId="1" xfId="5" applyFont="1" applyFill="1" applyBorder="1" applyAlignment="1" applyProtection="1">
      <alignment horizontal="center"/>
    </xf>
    <xf numFmtId="0" fontId="1" fillId="7" borderId="1" xfId="5" applyFont="1" applyFill="1" applyBorder="1" applyAlignment="1" applyProtection="1">
      <alignment horizontal="center"/>
    </xf>
    <xf numFmtId="0" fontId="2" fillId="7" borderId="0" xfId="5" applyFont="1" applyFill="1" applyBorder="1" applyAlignment="1" applyProtection="1">
      <alignment horizontal="center"/>
    </xf>
    <xf numFmtId="0" fontId="2" fillId="8" borderId="9" xfId="5" applyFont="1" applyFill="1" applyBorder="1" applyAlignment="1" applyProtection="1">
      <alignment horizontal="center"/>
    </xf>
    <xf numFmtId="0" fontId="2" fillId="10" borderId="9" xfId="5" applyFont="1" applyFill="1" applyBorder="1" applyAlignment="1" applyProtection="1">
      <alignment horizontal="center"/>
    </xf>
    <xf numFmtId="1" fontId="0" fillId="9" borderId="0" xfId="0" applyNumberFormat="1" applyFill="1" applyAlignment="1" applyProtection="1">
      <alignment horizontal="center"/>
    </xf>
    <xf numFmtId="0" fontId="2" fillId="9" borderId="0" xfId="5" applyFont="1" applyFill="1" applyBorder="1" applyAlignment="1" applyProtection="1">
      <alignment horizontal="center"/>
    </xf>
    <xf numFmtId="0" fontId="2" fillId="8" borderId="0" xfId="5" applyFont="1" applyFill="1" applyBorder="1" applyAlignment="1" applyProtection="1">
      <alignment horizontal="center"/>
    </xf>
    <xf numFmtId="164" fontId="2" fillId="0" borderId="21" xfId="5" applyNumberFormat="1" applyFont="1" applyBorder="1" applyAlignment="1" applyProtection="1">
      <alignment horizontal="center"/>
    </xf>
    <xf numFmtId="0" fontId="2" fillId="0" borderId="22" xfId="5" applyFont="1" applyBorder="1" applyAlignment="1" applyProtection="1">
      <alignment horizontal="center"/>
    </xf>
    <xf numFmtId="0" fontId="2" fillId="0" borderId="23" xfId="5" applyFont="1" applyBorder="1" applyAlignment="1" applyProtection="1">
      <alignment horizontal="center"/>
    </xf>
    <xf numFmtId="0" fontId="2" fillId="0" borderId="24" xfId="5" applyFont="1" applyBorder="1" applyAlignment="1" applyProtection="1">
      <alignment horizontal="center"/>
    </xf>
    <xf numFmtId="0" fontId="2" fillId="0" borderId="25" xfId="5" applyFont="1" applyBorder="1" applyAlignment="1" applyProtection="1">
      <alignment horizontal="center"/>
    </xf>
    <xf numFmtId="0" fontId="2" fillId="2" borderId="0" xfId="5" applyFont="1" applyFill="1" applyBorder="1" applyAlignment="1" applyProtection="1">
      <alignment horizontal="center"/>
    </xf>
    <xf numFmtId="0" fontId="2" fillId="0" borderId="9" xfId="5" applyFont="1" applyBorder="1" applyAlignment="1" applyProtection="1">
      <alignment horizontal="center"/>
    </xf>
    <xf numFmtId="0" fontId="2" fillId="0" borderId="0" xfId="5" applyFont="1" applyBorder="1" applyAlignment="1" applyProtection="1">
      <alignment horizontal="center"/>
    </xf>
    <xf numFmtId="1" fontId="0" fillId="0" borderId="0" xfId="0" applyNumberFormat="1" applyAlignment="1" applyProtection="1">
      <alignment horizontal="center"/>
    </xf>
    <xf numFmtId="0" fontId="13" fillId="0" borderId="14" xfId="0" applyFont="1" applyBorder="1" applyAlignment="1" applyProtection="1">
      <alignment horizontal="center"/>
    </xf>
    <xf numFmtId="0" fontId="2" fillId="0" borderId="8" xfId="5" applyFont="1" applyBorder="1" applyAlignment="1" applyProtection="1">
      <alignment horizontal="center"/>
    </xf>
    <xf numFmtId="0" fontId="13" fillId="0" borderId="15" xfId="0" applyFont="1" applyBorder="1" applyAlignment="1" applyProtection="1">
      <alignment horizontal="center"/>
    </xf>
    <xf numFmtId="0" fontId="1" fillId="0" borderId="1" xfId="5" applyFont="1" applyBorder="1" applyAlignment="1" applyProtection="1">
      <alignment horizontal="center"/>
    </xf>
    <xf numFmtId="0" fontId="14" fillId="0" borderId="1" xfId="5" applyFont="1" applyBorder="1" applyAlignment="1" applyProtection="1">
      <alignment horizontal="center" vertical="center"/>
    </xf>
    <xf numFmtId="0" fontId="1" fillId="0" borderId="1" xfId="5" applyFont="1" applyBorder="1" applyAlignment="1" applyProtection="1">
      <alignment horizontal="center" vertical="center"/>
    </xf>
    <xf numFmtId="0" fontId="13" fillId="0" borderId="1" xfId="0" applyFont="1" applyBorder="1" applyAlignment="1" applyProtection="1">
      <alignment horizontal="center" vertical="center"/>
    </xf>
    <xf numFmtId="0" fontId="0" fillId="0" borderId="8" xfId="0" applyFont="1" applyBorder="1" applyAlignment="1" applyProtection="1">
      <alignment horizontal="center"/>
    </xf>
    <xf numFmtId="0" fontId="0" fillId="0" borderId="9" xfId="0" applyFont="1" applyBorder="1" applyAlignment="1" applyProtection="1">
      <alignment horizontal="center"/>
    </xf>
    <xf numFmtId="0" fontId="13" fillId="0" borderId="9" xfId="0" applyFont="1" applyBorder="1" applyAlignment="1" applyProtection="1">
      <alignment horizontal="left"/>
    </xf>
    <xf numFmtId="0" fontId="13" fillId="0" borderId="8" xfId="0" applyFont="1" applyBorder="1" applyAlignment="1" applyProtection="1"/>
    <xf numFmtId="0" fontId="13" fillId="0" borderId="14" xfId="0" applyFont="1" applyBorder="1" applyAlignment="1" applyProtection="1">
      <alignment horizontal="center" vertical="center"/>
    </xf>
    <xf numFmtId="0" fontId="0" fillId="0" borderId="9" xfId="0" applyFont="1" applyBorder="1" applyAlignment="1" applyProtection="1">
      <alignment horizontal="center" vertical="center"/>
    </xf>
    <xf numFmtId="0" fontId="0" fillId="0" borderId="0" xfId="0" applyFont="1" applyBorder="1" applyAlignment="1" applyProtection="1">
      <alignment horizontal="center" vertical="center"/>
    </xf>
    <xf numFmtId="0" fontId="13" fillId="0" borderId="9" xfId="0" applyFont="1" applyBorder="1" applyAlignment="1" applyProtection="1">
      <alignment horizontal="center"/>
    </xf>
    <xf numFmtId="0" fontId="13" fillId="0" borderId="9" xfId="0" applyFont="1" applyBorder="1" applyAlignment="1" applyProtection="1"/>
    <xf numFmtId="0" fontId="0" fillId="0" borderId="9" xfId="0" applyBorder="1" applyAlignment="1" applyProtection="1"/>
    <xf numFmtId="0" fontId="13" fillId="0" borderId="12" xfId="0" applyFont="1" applyBorder="1" applyAlignment="1" applyProtection="1">
      <alignment horizontal="center"/>
    </xf>
    <xf numFmtId="0" fontId="0" fillId="0" borderId="12" xfId="0" applyFont="1" applyBorder="1" applyAlignment="1" applyProtection="1">
      <alignment horizontal="center"/>
    </xf>
    <xf numFmtId="0" fontId="1" fillId="0" borderId="4" xfId="5" applyFont="1" applyBorder="1" applyAlignment="1" applyProtection="1">
      <alignment horizontal="center"/>
    </xf>
    <xf numFmtId="0" fontId="13" fillId="0" borderId="2" xfId="0" applyFont="1" applyBorder="1" applyAlignment="1" applyProtection="1">
      <alignment horizontal="center"/>
    </xf>
    <xf numFmtId="0" fontId="0" fillId="0" borderId="2" xfId="0" applyFont="1" applyBorder="1" applyAlignment="1" applyProtection="1">
      <alignment horizontal="center"/>
    </xf>
    <xf numFmtId="0" fontId="13" fillId="0" borderId="1" xfId="0" applyFont="1" applyBorder="1" applyAlignment="1" applyProtection="1">
      <alignment horizontal="right"/>
    </xf>
    <xf numFmtId="0" fontId="7" fillId="0" borderId="1" xfId="0" applyFont="1" applyBorder="1" applyAlignment="1">
      <alignment horizontal="center" vertical="center"/>
    </xf>
    <xf numFmtId="0" fontId="8" fillId="0" borderId="1" xfId="5" applyFont="1" applyBorder="1" applyAlignment="1" applyProtection="1">
      <alignment horizontal="center" vertical="center"/>
    </xf>
    <xf numFmtId="0" fontId="10" fillId="0" borderId="2" xfId="5" applyFont="1" applyBorder="1" applyAlignment="1" applyProtection="1">
      <alignment horizontal="center" vertical="center"/>
    </xf>
    <xf numFmtId="0" fontId="1" fillId="0" borderId="1" xfId="5" applyFont="1" applyBorder="1" applyAlignment="1" applyProtection="1">
      <alignment horizontal="right" vertical="top"/>
    </xf>
    <xf numFmtId="0" fontId="1" fillId="0" borderId="3" xfId="5" applyFont="1" applyBorder="1" applyAlignment="1" applyProtection="1">
      <alignment horizontal="center" vertical="center"/>
    </xf>
    <xf numFmtId="0" fontId="10" fillId="0" borderId="4" xfId="5" applyFont="1" applyBorder="1" applyAlignment="1" applyProtection="1">
      <alignment horizontal="center" vertical="center"/>
    </xf>
    <xf numFmtId="0" fontId="2" fillId="0" borderId="8" xfId="5" applyFont="1" applyBorder="1" applyAlignment="1" applyProtection="1">
      <alignment horizontal="center" vertical="center"/>
    </xf>
    <xf numFmtId="0" fontId="12" fillId="0" borderId="12" xfId="5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center"/>
    </xf>
  </cellXfs>
  <cellStyles count="14">
    <cellStyle name="Accent 1 5" xfId="1" xr:uid="{00000000-0005-0000-0000-000006000000}"/>
    <cellStyle name="Accent 2 6" xfId="2" xr:uid="{00000000-0005-0000-0000-000007000000}"/>
    <cellStyle name="Accent 3 7" xfId="3" xr:uid="{00000000-0005-0000-0000-000008000000}"/>
    <cellStyle name="Accent 4" xfId="4" xr:uid="{00000000-0005-0000-0000-000009000000}"/>
    <cellStyle name="Default 8" xfId="5" xr:uid="{00000000-0005-0000-0000-00000A000000}"/>
    <cellStyle name="Error 9" xfId="6" xr:uid="{00000000-0005-0000-0000-00000B000000}"/>
    <cellStyle name="Footnote 10" xfId="7" xr:uid="{00000000-0005-0000-0000-00000C000000}"/>
    <cellStyle name="Heading 11" xfId="8" xr:uid="{00000000-0005-0000-0000-00000D000000}"/>
    <cellStyle name="Hyperlink 12" xfId="9" xr:uid="{00000000-0005-0000-0000-00000E000000}"/>
    <cellStyle name="Normální" xfId="0" builtinId="0"/>
    <cellStyle name="Result 13" xfId="10" xr:uid="{00000000-0005-0000-0000-00000F000000}"/>
    <cellStyle name="Status 14" xfId="11" xr:uid="{00000000-0005-0000-0000-000010000000}"/>
    <cellStyle name="Text 15" xfId="12" xr:uid="{00000000-0005-0000-0000-000011000000}"/>
    <cellStyle name="Warning 16" xfId="13" xr:uid="{00000000-0005-0000-0000-00001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8000A933"/>
      <rgbColor rgb="FF0000FF"/>
      <rgbColor rgb="FFFFFF00"/>
      <rgbColor rgb="80FC22FF"/>
      <rgbColor rgb="FF00FFFF"/>
      <rgbColor rgb="80BF0041"/>
      <rgbColor rgb="9900A933"/>
      <rgbColor rgb="992A6099"/>
      <rgbColor rgb="99808080"/>
      <rgbColor rgb="99800080"/>
      <rgbColor rgb="99158466"/>
      <rgbColor rgb="FFB3B3B3"/>
      <rgbColor rgb="FF808080"/>
      <rgbColor rgb="FF9999FF"/>
      <rgbColor rgb="8055308D"/>
      <rgbColor rgb="FFFFFFCC"/>
      <rgbColor rgb="FFCCFFFF"/>
      <rgbColor rgb="FF660066"/>
      <rgbColor rgb="FFED7D31"/>
      <rgbColor rgb="FF0084D1"/>
      <rgbColor rgb="FFDDDDDD"/>
      <rgbColor rgb="802A6099"/>
      <rgbColor rgb="80FF0000"/>
      <rgbColor rgb="80FFFF00"/>
      <rgbColor rgb="FF00FFFF"/>
      <rgbColor rgb="80800080"/>
      <rgbColor rgb="FFCC0000"/>
      <rgbColor rgb="80158466"/>
      <rgbColor rgb="FF0000FF"/>
      <rgbColor rgb="FF00CCFF"/>
      <rgbColor rgb="FFCCFFFF"/>
      <rgbColor rgb="8081D41A"/>
      <rgbColor rgb="FFE6E905"/>
      <rgbColor rgb="FF83CAFF"/>
      <rgbColor rgb="FFFF99CC"/>
      <rgbColor rgb="FFCC99FF"/>
      <rgbColor rgb="FFFFD428"/>
      <rgbColor rgb="FF2A6099"/>
      <rgbColor rgb="FF24B1F7"/>
      <rgbColor rgb="9981D41A"/>
      <rgbColor rgb="80FFBF00"/>
      <rgbColor rgb="FFFF8000"/>
      <rgbColor rgb="80FF8000"/>
      <rgbColor rgb="FF5983B0"/>
      <rgbColor rgb="FF999999"/>
      <rgbColor rgb="FF004586"/>
      <rgbColor rgb="80579D1C"/>
      <rgbColor rgb="80000000"/>
      <rgbColor rgb="FF505050"/>
      <rgbColor rgb="80FF4000"/>
      <rgbColor rgb="FFFF420E"/>
      <rgbColor rgb="9955308D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300" b="0" u="none" strike="noStrike">
                <a:solidFill>
                  <a:srgbClr val="000000"/>
                </a:solidFill>
                <a:uFillTx/>
                <a:latin typeface="Calibri"/>
                <a:ea typeface="DejaVu Sans"/>
              </a:rPr>
              <a:t>Number of thunderstorm days throughout the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668711656441703E-2"/>
          <c:y val="8.4987767216139307E-2"/>
          <c:w val="0.87035495179667"/>
          <c:h val="0.86973087875506405"/>
        </c:manualLayout>
      </c:layout>
      <c:lineChart>
        <c:grouping val="standard"/>
        <c:varyColors val="0"/>
        <c:ser>
          <c:idx val="0"/>
          <c:order val="0"/>
          <c:tx>
            <c:strRef>
              <c:f>List1!$E$4</c:f>
              <c:strCache>
                <c:ptCount val="1"/>
                <c:pt idx="0">
                  <c:v>1999</c:v>
                </c:pt>
              </c:strCache>
            </c:strRef>
          </c:tx>
          <c:spPr>
            <a:ln w="28800" cap="rnd">
              <a:solidFill>
                <a:srgbClr val="FC22FF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List1!$E$5:$E$370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2</c:v>
                </c:pt>
                <c:pt idx="137">
                  <c:v>2</c:v>
                </c:pt>
                <c:pt idx="138">
                  <c:v>2</c:v>
                </c:pt>
                <c:pt idx="139">
                  <c:v>2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5</c:v>
                </c:pt>
                <c:pt idx="150">
                  <c:v>6</c:v>
                </c:pt>
                <c:pt idx="151">
                  <c:v>7</c:v>
                </c:pt>
                <c:pt idx="152">
                  <c:v>7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9</c:v>
                </c:pt>
                <c:pt idx="158">
                  <c:v>9</c:v>
                </c:pt>
                <c:pt idx="159">
                  <c:v>9</c:v>
                </c:pt>
                <c:pt idx="160">
                  <c:v>9</c:v>
                </c:pt>
                <c:pt idx="161">
                  <c:v>9</c:v>
                </c:pt>
                <c:pt idx="162">
                  <c:v>9</c:v>
                </c:pt>
                <c:pt idx="163">
                  <c:v>9</c:v>
                </c:pt>
                <c:pt idx="164">
                  <c:v>9</c:v>
                </c:pt>
                <c:pt idx="165">
                  <c:v>9</c:v>
                </c:pt>
                <c:pt idx="166">
                  <c:v>9</c:v>
                </c:pt>
                <c:pt idx="167">
                  <c:v>9</c:v>
                </c:pt>
                <c:pt idx="168">
                  <c:v>9</c:v>
                </c:pt>
                <c:pt idx="169">
                  <c:v>9</c:v>
                </c:pt>
                <c:pt idx="170">
                  <c:v>9</c:v>
                </c:pt>
                <c:pt idx="171">
                  <c:v>9</c:v>
                </c:pt>
                <c:pt idx="172">
                  <c:v>9</c:v>
                </c:pt>
                <c:pt idx="173">
                  <c:v>9</c:v>
                </c:pt>
                <c:pt idx="174">
                  <c:v>9</c:v>
                </c:pt>
                <c:pt idx="175">
                  <c:v>9</c:v>
                </c:pt>
                <c:pt idx="176">
                  <c:v>9</c:v>
                </c:pt>
                <c:pt idx="177">
                  <c:v>9</c:v>
                </c:pt>
                <c:pt idx="178">
                  <c:v>10</c:v>
                </c:pt>
                <c:pt idx="179">
                  <c:v>10</c:v>
                </c:pt>
                <c:pt idx="180">
                  <c:v>10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12</c:v>
                </c:pt>
                <c:pt idx="187">
                  <c:v>13</c:v>
                </c:pt>
                <c:pt idx="188">
                  <c:v>13</c:v>
                </c:pt>
                <c:pt idx="189">
                  <c:v>13</c:v>
                </c:pt>
                <c:pt idx="190">
                  <c:v>13</c:v>
                </c:pt>
                <c:pt idx="191">
                  <c:v>13</c:v>
                </c:pt>
                <c:pt idx="192">
                  <c:v>13</c:v>
                </c:pt>
                <c:pt idx="193">
                  <c:v>13</c:v>
                </c:pt>
                <c:pt idx="194">
                  <c:v>14</c:v>
                </c:pt>
                <c:pt idx="195">
                  <c:v>15</c:v>
                </c:pt>
                <c:pt idx="196">
                  <c:v>15</c:v>
                </c:pt>
                <c:pt idx="197">
                  <c:v>15</c:v>
                </c:pt>
                <c:pt idx="198">
                  <c:v>15</c:v>
                </c:pt>
                <c:pt idx="199">
                  <c:v>15</c:v>
                </c:pt>
                <c:pt idx="200">
                  <c:v>15</c:v>
                </c:pt>
                <c:pt idx="201">
                  <c:v>16</c:v>
                </c:pt>
                <c:pt idx="202">
                  <c:v>16</c:v>
                </c:pt>
                <c:pt idx="203">
                  <c:v>16</c:v>
                </c:pt>
                <c:pt idx="204">
                  <c:v>16</c:v>
                </c:pt>
                <c:pt idx="205">
                  <c:v>16</c:v>
                </c:pt>
                <c:pt idx="206">
                  <c:v>16</c:v>
                </c:pt>
                <c:pt idx="207">
                  <c:v>16</c:v>
                </c:pt>
                <c:pt idx="208">
                  <c:v>16</c:v>
                </c:pt>
                <c:pt idx="209">
                  <c:v>16</c:v>
                </c:pt>
                <c:pt idx="210">
                  <c:v>16</c:v>
                </c:pt>
                <c:pt idx="211">
                  <c:v>16</c:v>
                </c:pt>
                <c:pt idx="212">
                  <c:v>16</c:v>
                </c:pt>
                <c:pt idx="213">
                  <c:v>16</c:v>
                </c:pt>
                <c:pt idx="214">
                  <c:v>16</c:v>
                </c:pt>
                <c:pt idx="215">
                  <c:v>16</c:v>
                </c:pt>
                <c:pt idx="216">
                  <c:v>16</c:v>
                </c:pt>
                <c:pt idx="217">
                  <c:v>16</c:v>
                </c:pt>
                <c:pt idx="218">
                  <c:v>16</c:v>
                </c:pt>
                <c:pt idx="219">
                  <c:v>16</c:v>
                </c:pt>
                <c:pt idx="220">
                  <c:v>16</c:v>
                </c:pt>
                <c:pt idx="221">
                  <c:v>16</c:v>
                </c:pt>
                <c:pt idx="222">
                  <c:v>17</c:v>
                </c:pt>
                <c:pt idx="223">
                  <c:v>17</c:v>
                </c:pt>
                <c:pt idx="224">
                  <c:v>17</c:v>
                </c:pt>
                <c:pt idx="225">
                  <c:v>17</c:v>
                </c:pt>
                <c:pt idx="226">
                  <c:v>17</c:v>
                </c:pt>
                <c:pt idx="227">
                  <c:v>17</c:v>
                </c:pt>
                <c:pt idx="228">
                  <c:v>17</c:v>
                </c:pt>
                <c:pt idx="229">
                  <c:v>17</c:v>
                </c:pt>
                <c:pt idx="230">
                  <c:v>17</c:v>
                </c:pt>
                <c:pt idx="231">
                  <c:v>17</c:v>
                </c:pt>
                <c:pt idx="232">
                  <c:v>17</c:v>
                </c:pt>
                <c:pt idx="233">
                  <c:v>17</c:v>
                </c:pt>
                <c:pt idx="234">
                  <c:v>17</c:v>
                </c:pt>
                <c:pt idx="235">
                  <c:v>17</c:v>
                </c:pt>
                <c:pt idx="236">
                  <c:v>17</c:v>
                </c:pt>
                <c:pt idx="237">
                  <c:v>17</c:v>
                </c:pt>
                <c:pt idx="238">
                  <c:v>17</c:v>
                </c:pt>
                <c:pt idx="239">
                  <c:v>17</c:v>
                </c:pt>
                <c:pt idx="240">
                  <c:v>17</c:v>
                </c:pt>
                <c:pt idx="241">
                  <c:v>17</c:v>
                </c:pt>
                <c:pt idx="242">
                  <c:v>17</c:v>
                </c:pt>
                <c:pt idx="243">
                  <c:v>17</c:v>
                </c:pt>
                <c:pt idx="244">
                  <c:v>17</c:v>
                </c:pt>
                <c:pt idx="245">
                  <c:v>17</c:v>
                </c:pt>
                <c:pt idx="246">
                  <c:v>17</c:v>
                </c:pt>
                <c:pt idx="247">
                  <c:v>17</c:v>
                </c:pt>
                <c:pt idx="248">
                  <c:v>17</c:v>
                </c:pt>
                <c:pt idx="249">
                  <c:v>17</c:v>
                </c:pt>
                <c:pt idx="250">
                  <c:v>17</c:v>
                </c:pt>
                <c:pt idx="251">
                  <c:v>17</c:v>
                </c:pt>
                <c:pt idx="252">
                  <c:v>17</c:v>
                </c:pt>
                <c:pt idx="253">
                  <c:v>17</c:v>
                </c:pt>
                <c:pt idx="254">
                  <c:v>17</c:v>
                </c:pt>
                <c:pt idx="255">
                  <c:v>17</c:v>
                </c:pt>
                <c:pt idx="256">
                  <c:v>17</c:v>
                </c:pt>
                <c:pt idx="257">
                  <c:v>17</c:v>
                </c:pt>
                <c:pt idx="258">
                  <c:v>17</c:v>
                </c:pt>
                <c:pt idx="259">
                  <c:v>17</c:v>
                </c:pt>
                <c:pt idx="260">
                  <c:v>18</c:v>
                </c:pt>
                <c:pt idx="261">
                  <c:v>19</c:v>
                </c:pt>
                <c:pt idx="262">
                  <c:v>19</c:v>
                </c:pt>
                <c:pt idx="263">
                  <c:v>19</c:v>
                </c:pt>
                <c:pt idx="264">
                  <c:v>19</c:v>
                </c:pt>
                <c:pt idx="265">
                  <c:v>19</c:v>
                </c:pt>
                <c:pt idx="266">
                  <c:v>20</c:v>
                </c:pt>
                <c:pt idx="267">
                  <c:v>20</c:v>
                </c:pt>
                <c:pt idx="268">
                  <c:v>20</c:v>
                </c:pt>
                <c:pt idx="269">
                  <c:v>20</c:v>
                </c:pt>
                <c:pt idx="270">
                  <c:v>20</c:v>
                </c:pt>
                <c:pt idx="271">
                  <c:v>20</c:v>
                </c:pt>
                <c:pt idx="272">
                  <c:v>20</c:v>
                </c:pt>
                <c:pt idx="273">
                  <c:v>20</c:v>
                </c:pt>
                <c:pt idx="274">
                  <c:v>20</c:v>
                </c:pt>
                <c:pt idx="275">
                  <c:v>20</c:v>
                </c:pt>
                <c:pt idx="276">
                  <c:v>20</c:v>
                </c:pt>
                <c:pt idx="277">
                  <c:v>20</c:v>
                </c:pt>
                <c:pt idx="278">
                  <c:v>20</c:v>
                </c:pt>
                <c:pt idx="279">
                  <c:v>20</c:v>
                </c:pt>
                <c:pt idx="280">
                  <c:v>20</c:v>
                </c:pt>
                <c:pt idx="281">
                  <c:v>20</c:v>
                </c:pt>
                <c:pt idx="282">
                  <c:v>20</c:v>
                </c:pt>
                <c:pt idx="283">
                  <c:v>20</c:v>
                </c:pt>
                <c:pt idx="284">
                  <c:v>20</c:v>
                </c:pt>
                <c:pt idx="285">
                  <c:v>20</c:v>
                </c:pt>
                <c:pt idx="286">
                  <c:v>20</c:v>
                </c:pt>
                <c:pt idx="287">
                  <c:v>20</c:v>
                </c:pt>
                <c:pt idx="288">
                  <c:v>20</c:v>
                </c:pt>
                <c:pt idx="289">
                  <c:v>20</c:v>
                </c:pt>
                <c:pt idx="290">
                  <c:v>20</c:v>
                </c:pt>
                <c:pt idx="291">
                  <c:v>20</c:v>
                </c:pt>
                <c:pt idx="292">
                  <c:v>20</c:v>
                </c:pt>
                <c:pt idx="293">
                  <c:v>20</c:v>
                </c:pt>
                <c:pt idx="294">
                  <c:v>20</c:v>
                </c:pt>
                <c:pt idx="295">
                  <c:v>20</c:v>
                </c:pt>
                <c:pt idx="296">
                  <c:v>20</c:v>
                </c:pt>
                <c:pt idx="297">
                  <c:v>20</c:v>
                </c:pt>
                <c:pt idx="298">
                  <c:v>20</c:v>
                </c:pt>
                <c:pt idx="299">
                  <c:v>20</c:v>
                </c:pt>
                <c:pt idx="300">
                  <c:v>20</c:v>
                </c:pt>
                <c:pt idx="301">
                  <c:v>20</c:v>
                </c:pt>
                <c:pt idx="302">
                  <c:v>20</c:v>
                </c:pt>
                <c:pt idx="303">
                  <c:v>20</c:v>
                </c:pt>
                <c:pt idx="304">
                  <c:v>20</c:v>
                </c:pt>
                <c:pt idx="305">
                  <c:v>20</c:v>
                </c:pt>
                <c:pt idx="306">
                  <c:v>20</c:v>
                </c:pt>
                <c:pt idx="307">
                  <c:v>20</c:v>
                </c:pt>
                <c:pt idx="308">
                  <c:v>20</c:v>
                </c:pt>
                <c:pt idx="309">
                  <c:v>20</c:v>
                </c:pt>
                <c:pt idx="310">
                  <c:v>20</c:v>
                </c:pt>
                <c:pt idx="311">
                  <c:v>20</c:v>
                </c:pt>
                <c:pt idx="312">
                  <c:v>20</c:v>
                </c:pt>
                <c:pt idx="313">
                  <c:v>20</c:v>
                </c:pt>
                <c:pt idx="314">
                  <c:v>20</c:v>
                </c:pt>
                <c:pt idx="315">
                  <c:v>20</c:v>
                </c:pt>
                <c:pt idx="316">
                  <c:v>20</c:v>
                </c:pt>
                <c:pt idx="317">
                  <c:v>20</c:v>
                </c:pt>
                <c:pt idx="318">
                  <c:v>20</c:v>
                </c:pt>
                <c:pt idx="319">
                  <c:v>20</c:v>
                </c:pt>
                <c:pt idx="320">
                  <c:v>20</c:v>
                </c:pt>
                <c:pt idx="321">
                  <c:v>20</c:v>
                </c:pt>
                <c:pt idx="322">
                  <c:v>20</c:v>
                </c:pt>
                <c:pt idx="323">
                  <c:v>20</c:v>
                </c:pt>
                <c:pt idx="324">
                  <c:v>20</c:v>
                </c:pt>
                <c:pt idx="325">
                  <c:v>20</c:v>
                </c:pt>
                <c:pt idx="326">
                  <c:v>20</c:v>
                </c:pt>
                <c:pt idx="327">
                  <c:v>20</c:v>
                </c:pt>
                <c:pt idx="328">
                  <c:v>20</c:v>
                </c:pt>
                <c:pt idx="329">
                  <c:v>20</c:v>
                </c:pt>
                <c:pt idx="330">
                  <c:v>20</c:v>
                </c:pt>
                <c:pt idx="331">
                  <c:v>20</c:v>
                </c:pt>
                <c:pt idx="332">
                  <c:v>20</c:v>
                </c:pt>
                <c:pt idx="333">
                  <c:v>20</c:v>
                </c:pt>
                <c:pt idx="334">
                  <c:v>20</c:v>
                </c:pt>
                <c:pt idx="335">
                  <c:v>20</c:v>
                </c:pt>
                <c:pt idx="336">
                  <c:v>20</c:v>
                </c:pt>
                <c:pt idx="337">
                  <c:v>20</c:v>
                </c:pt>
                <c:pt idx="338">
                  <c:v>20</c:v>
                </c:pt>
                <c:pt idx="339">
                  <c:v>20</c:v>
                </c:pt>
                <c:pt idx="340">
                  <c:v>20</c:v>
                </c:pt>
                <c:pt idx="341">
                  <c:v>20</c:v>
                </c:pt>
                <c:pt idx="342">
                  <c:v>20</c:v>
                </c:pt>
                <c:pt idx="343">
                  <c:v>20</c:v>
                </c:pt>
                <c:pt idx="344">
                  <c:v>20</c:v>
                </c:pt>
                <c:pt idx="345">
                  <c:v>20</c:v>
                </c:pt>
                <c:pt idx="346">
                  <c:v>20</c:v>
                </c:pt>
                <c:pt idx="347">
                  <c:v>20</c:v>
                </c:pt>
                <c:pt idx="348">
                  <c:v>20</c:v>
                </c:pt>
                <c:pt idx="349">
                  <c:v>20</c:v>
                </c:pt>
                <c:pt idx="350">
                  <c:v>20</c:v>
                </c:pt>
                <c:pt idx="351">
                  <c:v>20</c:v>
                </c:pt>
                <c:pt idx="352">
                  <c:v>20</c:v>
                </c:pt>
                <c:pt idx="353">
                  <c:v>20</c:v>
                </c:pt>
                <c:pt idx="354">
                  <c:v>20</c:v>
                </c:pt>
                <c:pt idx="355">
                  <c:v>20</c:v>
                </c:pt>
                <c:pt idx="356">
                  <c:v>20</c:v>
                </c:pt>
                <c:pt idx="357">
                  <c:v>20</c:v>
                </c:pt>
                <c:pt idx="358">
                  <c:v>20</c:v>
                </c:pt>
                <c:pt idx="359">
                  <c:v>20</c:v>
                </c:pt>
                <c:pt idx="360">
                  <c:v>20</c:v>
                </c:pt>
                <c:pt idx="361">
                  <c:v>20</c:v>
                </c:pt>
                <c:pt idx="362">
                  <c:v>20</c:v>
                </c:pt>
                <c:pt idx="363">
                  <c:v>20</c:v>
                </c:pt>
                <c:pt idx="364">
                  <c:v>20</c:v>
                </c:pt>
                <c:pt idx="365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11-0844-8364-DA0F5B1CFBCA}"/>
            </c:ext>
          </c:extLst>
        </c:ser>
        <c:ser>
          <c:idx val="1"/>
          <c:order val="1"/>
          <c:tx>
            <c:strRef>
              <c:f>List1!$F$4</c:f>
              <c:strCache>
                <c:ptCount val="1"/>
                <c:pt idx="0">
                  <c:v>2000</c:v>
                </c:pt>
              </c:strCache>
            </c:strRef>
          </c:tx>
          <c:spPr>
            <a:ln w="28800">
              <a:solidFill>
                <a:srgbClr val="000000">
                  <a:alpha val="5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List1!$F$5:$F$370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4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6</c:v>
                </c:pt>
                <c:pt idx="129">
                  <c:v>7</c:v>
                </c:pt>
                <c:pt idx="130">
                  <c:v>7</c:v>
                </c:pt>
                <c:pt idx="131">
                  <c:v>7</c:v>
                </c:pt>
                <c:pt idx="132">
                  <c:v>7</c:v>
                </c:pt>
                <c:pt idx="133">
                  <c:v>7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8</c:v>
                </c:pt>
                <c:pt idx="138">
                  <c:v>8</c:v>
                </c:pt>
                <c:pt idx="139">
                  <c:v>8</c:v>
                </c:pt>
                <c:pt idx="140">
                  <c:v>9</c:v>
                </c:pt>
                <c:pt idx="141">
                  <c:v>9</c:v>
                </c:pt>
                <c:pt idx="142">
                  <c:v>9</c:v>
                </c:pt>
                <c:pt idx="143">
                  <c:v>9</c:v>
                </c:pt>
                <c:pt idx="144">
                  <c:v>9</c:v>
                </c:pt>
                <c:pt idx="145">
                  <c:v>10</c:v>
                </c:pt>
                <c:pt idx="146">
                  <c:v>10</c:v>
                </c:pt>
                <c:pt idx="147">
                  <c:v>10</c:v>
                </c:pt>
                <c:pt idx="148">
                  <c:v>10</c:v>
                </c:pt>
                <c:pt idx="149">
                  <c:v>10</c:v>
                </c:pt>
                <c:pt idx="150">
                  <c:v>10</c:v>
                </c:pt>
                <c:pt idx="151">
                  <c:v>10</c:v>
                </c:pt>
                <c:pt idx="152">
                  <c:v>10</c:v>
                </c:pt>
                <c:pt idx="153">
                  <c:v>10</c:v>
                </c:pt>
                <c:pt idx="154">
                  <c:v>10</c:v>
                </c:pt>
                <c:pt idx="155">
                  <c:v>11</c:v>
                </c:pt>
                <c:pt idx="156">
                  <c:v>12</c:v>
                </c:pt>
                <c:pt idx="157">
                  <c:v>12</c:v>
                </c:pt>
                <c:pt idx="158">
                  <c:v>13</c:v>
                </c:pt>
                <c:pt idx="159">
                  <c:v>13</c:v>
                </c:pt>
                <c:pt idx="160">
                  <c:v>13</c:v>
                </c:pt>
                <c:pt idx="161">
                  <c:v>13</c:v>
                </c:pt>
                <c:pt idx="162" formatCode="0">
                  <c:v>14</c:v>
                </c:pt>
                <c:pt idx="163">
                  <c:v>14</c:v>
                </c:pt>
                <c:pt idx="164">
                  <c:v>15</c:v>
                </c:pt>
                <c:pt idx="165">
                  <c:v>16</c:v>
                </c:pt>
                <c:pt idx="166">
                  <c:v>16</c:v>
                </c:pt>
                <c:pt idx="167">
                  <c:v>16</c:v>
                </c:pt>
                <c:pt idx="168">
                  <c:v>16</c:v>
                </c:pt>
                <c:pt idx="169">
                  <c:v>16</c:v>
                </c:pt>
                <c:pt idx="170">
                  <c:v>16</c:v>
                </c:pt>
                <c:pt idx="171">
                  <c:v>16</c:v>
                </c:pt>
                <c:pt idx="172">
                  <c:v>16</c:v>
                </c:pt>
                <c:pt idx="173">
                  <c:v>16</c:v>
                </c:pt>
                <c:pt idx="174">
                  <c:v>16</c:v>
                </c:pt>
                <c:pt idx="175">
                  <c:v>17</c:v>
                </c:pt>
                <c:pt idx="176">
                  <c:v>17</c:v>
                </c:pt>
                <c:pt idx="177">
                  <c:v>17</c:v>
                </c:pt>
                <c:pt idx="178">
                  <c:v>17</c:v>
                </c:pt>
                <c:pt idx="179">
                  <c:v>17</c:v>
                </c:pt>
                <c:pt idx="180">
                  <c:v>17</c:v>
                </c:pt>
                <c:pt idx="181">
                  <c:v>17</c:v>
                </c:pt>
                <c:pt idx="182">
                  <c:v>18</c:v>
                </c:pt>
                <c:pt idx="183">
                  <c:v>19</c:v>
                </c:pt>
                <c:pt idx="184">
                  <c:v>19</c:v>
                </c:pt>
                <c:pt idx="185">
                  <c:v>20</c:v>
                </c:pt>
                <c:pt idx="186">
                  <c:v>20</c:v>
                </c:pt>
                <c:pt idx="187">
                  <c:v>20</c:v>
                </c:pt>
                <c:pt idx="188">
                  <c:v>20</c:v>
                </c:pt>
                <c:pt idx="189">
                  <c:v>20</c:v>
                </c:pt>
                <c:pt idx="190">
                  <c:v>20</c:v>
                </c:pt>
                <c:pt idx="191">
                  <c:v>20</c:v>
                </c:pt>
                <c:pt idx="192">
                  <c:v>20</c:v>
                </c:pt>
                <c:pt idx="193">
                  <c:v>20</c:v>
                </c:pt>
                <c:pt idx="194">
                  <c:v>20</c:v>
                </c:pt>
                <c:pt idx="195">
                  <c:v>21</c:v>
                </c:pt>
                <c:pt idx="196">
                  <c:v>21</c:v>
                </c:pt>
                <c:pt idx="197">
                  <c:v>21</c:v>
                </c:pt>
                <c:pt idx="198">
                  <c:v>21</c:v>
                </c:pt>
                <c:pt idx="199">
                  <c:v>21</c:v>
                </c:pt>
                <c:pt idx="200">
                  <c:v>21</c:v>
                </c:pt>
                <c:pt idx="201">
                  <c:v>21</c:v>
                </c:pt>
                <c:pt idx="202">
                  <c:v>21</c:v>
                </c:pt>
                <c:pt idx="203">
                  <c:v>21</c:v>
                </c:pt>
                <c:pt idx="204">
                  <c:v>21</c:v>
                </c:pt>
                <c:pt idx="205">
                  <c:v>21</c:v>
                </c:pt>
                <c:pt idx="206">
                  <c:v>21</c:v>
                </c:pt>
                <c:pt idx="207">
                  <c:v>22</c:v>
                </c:pt>
                <c:pt idx="208">
                  <c:v>22</c:v>
                </c:pt>
                <c:pt idx="209">
                  <c:v>23</c:v>
                </c:pt>
                <c:pt idx="210">
                  <c:v>23</c:v>
                </c:pt>
                <c:pt idx="211">
                  <c:v>23</c:v>
                </c:pt>
                <c:pt idx="212">
                  <c:v>23</c:v>
                </c:pt>
                <c:pt idx="213">
                  <c:v>23</c:v>
                </c:pt>
                <c:pt idx="214">
                  <c:v>23</c:v>
                </c:pt>
                <c:pt idx="215">
                  <c:v>23</c:v>
                </c:pt>
                <c:pt idx="216">
                  <c:v>23</c:v>
                </c:pt>
                <c:pt idx="217">
                  <c:v>23</c:v>
                </c:pt>
                <c:pt idx="218">
                  <c:v>23</c:v>
                </c:pt>
                <c:pt idx="219">
                  <c:v>23</c:v>
                </c:pt>
                <c:pt idx="220">
                  <c:v>23</c:v>
                </c:pt>
                <c:pt idx="221">
                  <c:v>23</c:v>
                </c:pt>
                <c:pt idx="222">
                  <c:v>23</c:v>
                </c:pt>
                <c:pt idx="223">
                  <c:v>23</c:v>
                </c:pt>
                <c:pt idx="224">
                  <c:v>23</c:v>
                </c:pt>
                <c:pt idx="225">
                  <c:v>23</c:v>
                </c:pt>
                <c:pt idx="226">
                  <c:v>23</c:v>
                </c:pt>
                <c:pt idx="227">
                  <c:v>23</c:v>
                </c:pt>
                <c:pt idx="228">
                  <c:v>23</c:v>
                </c:pt>
                <c:pt idx="229">
                  <c:v>23</c:v>
                </c:pt>
                <c:pt idx="230">
                  <c:v>24</c:v>
                </c:pt>
                <c:pt idx="231">
                  <c:v>25</c:v>
                </c:pt>
                <c:pt idx="232">
                  <c:v>25</c:v>
                </c:pt>
                <c:pt idx="233">
                  <c:v>26</c:v>
                </c:pt>
                <c:pt idx="234">
                  <c:v>26</c:v>
                </c:pt>
                <c:pt idx="235">
                  <c:v>26</c:v>
                </c:pt>
                <c:pt idx="236">
                  <c:v>26</c:v>
                </c:pt>
                <c:pt idx="237">
                  <c:v>26</c:v>
                </c:pt>
                <c:pt idx="238">
                  <c:v>26</c:v>
                </c:pt>
                <c:pt idx="239">
                  <c:v>26</c:v>
                </c:pt>
                <c:pt idx="240">
                  <c:v>26</c:v>
                </c:pt>
                <c:pt idx="241">
                  <c:v>26</c:v>
                </c:pt>
                <c:pt idx="242">
                  <c:v>26</c:v>
                </c:pt>
                <c:pt idx="243">
                  <c:v>27</c:v>
                </c:pt>
                <c:pt idx="244">
                  <c:v>27</c:v>
                </c:pt>
                <c:pt idx="245">
                  <c:v>27</c:v>
                </c:pt>
                <c:pt idx="246">
                  <c:v>27</c:v>
                </c:pt>
                <c:pt idx="247">
                  <c:v>27</c:v>
                </c:pt>
                <c:pt idx="248">
                  <c:v>27</c:v>
                </c:pt>
                <c:pt idx="249">
                  <c:v>27</c:v>
                </c:pt>
                <c:pt idx="250">
                  <c:v>27</c:v>
                </c:pt>
                <c:pt idx="251">
                  <c:v>27</c:v>
                </c:pt>
                <c:pt idx="252">
                  <c:v>27</c:v>
                </c:pt>
                <c:pt idx="253">
                  <c:v>27</c:v>
                </c:pt>
                <c:pt idx="254">
                  <c:v>27</c:v>
                </c:pt>
                <c:pt idx="255">
                  <c:v>27</c:v>
                </c:pt>
                <c:pt idx="256">
                  <c:v>27</c:v>
                </c:pt>
                <c:pt idx="257">
                  <c:v>27</c:v>
                </c:pt>
                <c:pt idx="258">
                  <c:v>27</c:v>
                </c:pt>
                <c:pt idx="259">
                  <c:v>27</c:v>
                </c:pt>
                <c:pt idx="260">
                  <c:v>27</c:v>
                </c:pt>
                <c:pt idx="261">
                  <c:v>27</c:v>
                </c:pt>
                <c:pt idx="262">
                  <c:v>27</c:v>
                </c:pt>
                <c:pt idx="263">
                  <c:v>27</c:v>
                </c:pt>
                <c:pt idx="264">
                  <c:v>27</c:v>
                </c:pt>
                <c:pt idx="265">
                  <c:v>27</c:v>
                </c:pt>
                <c:pt idx="266">
                  <c:v>27</c:v>
                </c:pt>
                <c:pt idx="267">
                  <c:v>27</c:v>
                </c:pt>
                <c:pt idx="268">
                  <c:v>27</c:v>
                </c:pt>
                <c:pt idx="269">
                  <c:v>27</c:v>
                </c:pt>
                <c:pt idx="270">
                  <c:v>27</c:v>
                </c:pt>
                <c:pt idx="271">
                  <c:v>27</c:v>
                </c:pt>
                <c:pt idx="272">
                  <c:v>27</c:v>
                </c:pt>
                <c:pt idx="273">
                  <c:v>27</c:v>
                </c:pt>
                <c:pt idx="274">
                  <c:v>27</c:v>
                </c:pt>
                <c:pt idx="275">
                  <c:v>27</c:v>
                </c:pt>
                <c:pt idx="276">
                  <c:v>27</c:v>
                </c:pt>
                <c:pt idx="277">
                  <c:v>27</c:v>
                </c:pt>
                <c:pt idx="278">
                  <c:v>27</c:v>
                </c:pt>
                <c:pt idx="279">
                  <c:v>27</c:v>
                </c:pt>
                <c:pt idx="280">
                  <c:v>27</c:v>
                </c:pt>
                <c:pt idx="281">
                  <c:v>27</c:v>
                </c:pt>
                <c:pt idx="282">
                  <c:v>27</c:v>
                </c:pt>
                <c:pt idx="283">
                  <c:v>27</c:v>
                </c:pt>
                <c:pt idx="284">
                  <c:v>27</c:v>
                </c:pt>
                <c:pt idx="285">
                  <c:v>27</c:v>
                </c:pt>
                <c:pt idx="286">
                  <c:v>27</c:v>
                </c:pt>
                <c:pt idx="287">
                  <c:v>27</c:v>
                </c:pt>
                <c:pt idx="288">
                  <c:v>27</c:v>
                </c:pt>
                <c:pt idx="289">
                  <c:v>27</c:v>
                </c:pt>
                <c:pt idx="290">
                  <c:v>27</c:v>
                </c:pt>
                <c:pt idx="291">
                  <c:v>27</c:v>
                </c:pt>
                <c:pt idx="292">
                  <c:v>27</c:v>
                </c:pt>
                <c:pt idx="293">
                  <c:v>27</c:v>
                </c:pt>
                <c:pt idx="294">
                  <c:v>27</c:v>
                </c:pt>
                <c:pt idx="295">
                  <c:v>27</c:v>
                </c:pt>
                <c:pt idx="296">
                  <c:v>27</c:v>
                </c:pt>
                <c:pt idx="297">
                  <c:v>27</c:v>
                </c:pt>
                <c:pt idx="298">
                  <c:v>27</c:v>
                </c:pt>
                <c:pt idx="299">
                  <c:v>27</c:v>
                </c:pt>
                <c:pt idx="300">
                  <c:v>27</c:v>
                </c:pt>
                <c:pt idx="301">
                  <c:v>27</c:v>
                </c:pt>
                <c:pt idx="302">
                  <c:v>27</c:v>
                </c:pt>
                <c:pt idx="303">
                  <c:v>27</c:v>
                </c:pt>
                <c:pt idx="304">
                  <c:v>27</c:v>
                </c:pt>
                <c:pt idx="305">
                  <c:v>27</c:v>
                </c:pt>
                <c:pt idx="306">
                  <c:v>27</c:v>
                </c:pt>
                <c:pt idx="307">
                  <c:v>27</c:v>
                </c:pt>
                <c:pt idx="308">
                  <c:v>27</c:v>
                </c:pt>
                <c:pt idx="309">
                  <c:v>27</c:v>
                </c:pt>
                <c:pt idx="310">
                  <c:v>27</c:v>
                </c:pt>
                <c:pt idx="311">
                  <c:v>27</c:v>
                </c:pt>
                <c:pt idx="312">
                  <c:v>28</c:v>
                </c:pt>
                <c:pt idx="313">
                  <c:v>28</c:v>
                </c:pt>
                <c:pt idx="314">
                  <c:v>28</c:v>
                </c:pt>
                <c:pt idx="315">
                  <c:v>28</c:v>
                </c:pt>
                <c:pt idx="316">
                  <c:v>28</c:v>
                </c:pt>
                <c:pt idx="317">
                  <c:v>28</c:v>
                </c:pt>
                <c:pt idx="318">
                  <c:v>28</c:v>
                </c:pt>
                <c:pt idx="319">
                  <c:v>28</c:v>
                </c:pt>
                <c:pt idx="320">
                  <c:v>28</c:v>
                </c:pt>
                <c:pt idx="321">
                  <c:v>28</c:v>
                </c:pt>
                <c:pt idx="322">
                  <c:v>28</c:v>
                </c:pt>
                <c:pt idx="323">
                  <c:v>28</c:v>
                </c:pt>
                <c:pt idx="324">
                  <c:v>28</c:v>
                </c:pt>
                <c:pt idx="325">
                  <c:v>28</c:v>
                </c:pt>
                <c:pt idx="326">
                  <c:v>28</c:v>
                </c:pt>
                <c:pt idx="327">
                  <c:v>28</c:v>
                </c:pt>
                <c:pt idx="328">
                  <c:v>28</c:v>
                </c:pt>
                <c:pt idx="329">
                  <c:v>28</c:v>
                </c:pt>
                <c:pt idx="330">
                  <c:v>28</c:v>
                </c:pt>
                <c:pt idx="331">
                  <c:v>28</c:v>
                </c:pt>
                <c:pt idx="332">
                  <c:v>28</c:v>
                </c:pt>
                <c:pt idx="333">
                  <c:v>28</c:v>
                </c:pt>
                <c:pt idx="334">
                  <c:v>28</c:v>
                </c:pt>
                <c:pt idx="335">
                  <c:v>28</c:v>
                </c:pt>
                <c:pt idx="336">
                  <c:v>28</c:v>
                </c:pt>
                <c:pt idx="337">
                  <c:v>28</c:v>
                </c:pt>
                <c:pt idx="338">
                  <c:v>28</c:v>
                </c:pt>
                <c:pt idx="339">
                  <c:v>28</c:v>
                </c:pt>
                <c:pt idx="340">
                  <c:v>28</c:v>
                </c:pt>
                <c:pt idx="341">
                  <c:v>28</c:v>
                </c:pt>
                <c:pt idx="342">
                  <c:v>28</c:v>
                </c:pt>
                <c:pt idx="343">
                  <c:v>28</c:v>
                </c:pt>
                <c:pt idx="344">
                  <c:v>28</c:v>
                </c:pt>
                <c:pt idx="345">
                  <c:v>28</c:v>
                </c:pt>
                <c:pt idx="346">
                  <c:v>28</c:v>
                </c:pt>
                <c:pt idx="347">
                  <c:v>28</c:v>
                </c:pt>
                <c:pt idx="348">
                  <c:v>28</c:v>
                </c:pt>
                <c:pt idx="349">
                  <c:v>28</c:v>
                </c:pt>
                <c:pt idx="350">
                  <c:v>28</c:v>
                </c:pt>
                <c:pt idx="351">
                  <c:v>28</c:v>
                </c:pt>
                <c:pt idx="352">
                  <c:v>28</c:v>
                </c:pt>
                <c:pt idx="353">
                  <c:v>28</c:v>
                </c:pt>
                <c:pt idx="354">
                  <c:v>28</c:v>
                </c:pt>
                <c:pt idx="355">
                  <c:v>28</c:v>
                </c:pt>
                <c:pt idx="356">
                  <c:v>28</c:v>
                </c:pt>
                <c:pt idx="357">
                  <c:v>28</c:v>
                </c:pt>
                <c:pt idx="358">
                  <c:v>28</c:v>
                </c:pt>
                <c:pt idx="359">
                  <c:v>28</c:v>
                </c:pt>
                <c:pt idx="360">
                  <c:v>28</c:v>
                </c:pt>
                <c:pt idx="361">
                  <c:v>28</c:v>
                </c:pt>
                <c:pt idx="362">
                  <c:v>28</c:v>
                </c:pt>
                <c:pt idx="363">
                  <c:v>28</c:v>
                </c:pt>
                <c:pt idx="364">
                  <c:v>28</c:v>
                </c:pt>
                <c:pt idx="365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11-0844-8364-DA0F5B1CFBCA}"/>
            </c:ext>
          </c:extLst>
        </c:ser>
        <c:ser>
          <c:idx val="2"/>
          <c:order val="2"/>
          <c:tx>
            <c:strRef>
              <c:f>List1!$G$4</c:f>
              <c:strCache>
                <c:ptCount val="1"/>
                <c:pt idx="0">
                  <c:v>2001</c:v>
                </c:pt>
              </c:strCache>
            </c:strRef>
          </c:tx>
          <c:spPr>
            <a:ln w="28800" cap="rnd">
              <a:solidFill>
                <a:srgbClr val="000000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List1!$G$5:$G$370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2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5</c:v>
                </c:pt>
                <c:pt idx="152">
                  <c:v>5</c:v>
                </c:pt>
                <c:pt idx="153">
                  <c:v>5</c:v>
                </c:pt>
                <c:pt idx="154">
                  <c:v>5</c:v>
                </c:pt>
                <c:pt idx="155">
                  <c:v>5</c:v>
                </c:pt>
                <c:pt idx="156">
                  <c:v>5</c:v>
                </c:pt>
                <c:pt idx="157">
                  <c:v>5</c:v>
                </c:pt>
                <c:pt idx="158">
                  <c:v>5</c:v>
                </c:pt>
                <c:pt idx="159">
                  <c:v>5</c:v>
                </c:pt>
                <c:pt idx="160">
                  <c:v>5</c:v>
                </c:pt>
                <c:pt idx="161">
                  <c:v>5</c:v>
                </c:pt>
                <c:pt idx="162">
                  <c:v>5</c:v>
                </c:pt>
                <c:pt idx="163">
                  <c:v>5</c:v>
                </c:pt>
                <c:pt idx="164">
                  <c:v>5</c:v>
                </c:pt>
                <c:pt idx="165">
                  <c:v>6</c:v>
                </c:pt>
                <c:pt idx="166">
                  <c:v>6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9</c:v>
                </c:pt>
                <c:pt idx="173">
                  <c:v>9</c:v>
                </c:pt>
                <c:pt idx="174">
                  <c:v>9</c:v>
                </c:pt>
                <c:pt idx="175">
                  <c:v>9</c:v>
                </c:pt>
                <c:pt idx="176">
                  <c:v>9</c:v>
                </c:pt>
                <c:pt idx="177">
                  <c:v>9</c:v>
                </c:pt>
                <c:pt idx="178">
                  <c:v>9</c:v>
                </c:pt>
                <c:pt idx="179">
                  <c:v>9</c:v>
                </c:pt>
                <c:pt idx="180">
                  <c:v>9</c:v>
                </c:pt>
                <c:pt idx="181">
                  <c:v>10</c:v>
                </c:pt>
                <c:pt idx="182">
                  <c:v>10</c:v>
                </c:pt>
                <c:pt idx="183">
                  <c:v>10</c:v>
                </c:pt>
                <c:pt idx="184">
                  <c:v>10</c:v>
                </c:pt>
                <c:pt idx="185">
                  <c:v>10</c:v>
                </c:pt>
                <c:pt idx="186">
                  <c:v>10</c:v>
                </c:pt>
                <c:pt idx="187">
                  <c:v>10</c:v>
                </c:pt>
                <c:pt idx="188">
                  <c:v>11</c:v>
                </c:pt>
                <c:pt idx="189">
                  <c:v>12</c:v>
                </c:pt>
                <c:pt idx="190">
                  <c:v>12</c:v>
                </c:pt>
                <c:pt idx="191">
                  <c:v>12</c:v>
                </c:pt>
                <c:pt idx="192">
                  <c:v>12</c:v>
                </c:pt>
                <c:pt idx="193">
                  <c:v>12</c:v>
                </c:pt>
                <c:pt idx="194">
                  <c:v>12</c:v>
                </c:pt>
                <c:pt idx="195">
                  <c:v>12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14</c:v>
                </c:pt>
                <c:pt idx="211">
                  <c:v>14</c:v>
                </c:pt>
                <c:pt idx="212">
                  <c:v>14</c:v>
                </c:pt>
                <c:pt idx="213">
                  <c:v>14</c:v>
                </c:pt>
                <c:pt idx="214">
                  <c:v>14</c:v>
                </c:pt>
                <c:pt idx="215">
                  <c:v>14</c:v>
                </c:pt>
                <c:pt idx="216">
                  <c:v>14</c:v>
                </c:pt>
                <c:pt idx="217">
                  <c:v>14</c:v>
                </c:pt>
                <c:pt idx="218">
                  <c:v>14</c:v>
                </c:pt>
                <c:pt idx="219">
                  <c:v>14</c:v>
                </c:pt>
                <c:pt idx="220">
                  <c:v>14</c:v>
                </c:pt>
                <c:pt idx="221">
                  <c:v>14</c:v>
                </c:pt>
                <c:pt idx="222">
                  <c:v>14</c:v>
                </c:pt>
                <c:pt idx="223">
                  <c:v>14</c:v>
                </c:pt>
                <c:pt idx="224">
                  <c:v>14</c:v>
                </c:pt>
                <c:pt idx="225">
                  <c:v>14</c:v>
                </c:pt>
                <c:pt idx="226">
                  <c:v>14</c:v>
                </c:pt>
                <c:pt idx="227">
                  <c:v>14</c:v>
                </c:pt>
                <c:pt idx="228">
                  <c:v>15</c:v>
                </c:pt>
                <c:pt idx="229">
                  <c:v>16</c:v>
                </c:pt>
                <c:pt idx="230">
                  <c:v>16</c:v>
                </c:pt>
                <c:pt idx="231">
                  <c:v>17</c:v>
                </c:pt>
                <c:pt idx="232">
                  <c:v>18</c:v>
                </c:pt>
                <c:pt idx="233">
                  <c:v>18</c:v>
                </c:pt>
                <c:pt idx="234">
                  <c:v>18</c:v>
                </c:pt>
                <c:pt idx="235">
                  <c:v>19</c:v>
                </c:pt>
                <c:pt idx="236">
                  <c:v>19</c:v>
                </c:pt>
                <c:pt idx="237">
                  <c:v>20</c:v>
                </c:pt>
                <c:pt idx="238">
                  <c:v>21</c:v>
                </c:pt>
                <c:pt idx="239">
                  <c:v>22</c:v>
                </c:pt>
                <c:pt idx="240">
                  <c:v>22</c:v>
                </c:pt>
                <c:pt idx="241">
                  <c:v>22</c:v>
                </c:pt>
                <c:pt idx="242">
                  <c:v>22</c:v>
                </c:pt>
                <c:pt idx="243">
                  <c:v>22</c:v>
                </c:pt>
                <c:pt idx="244">
                  <c:v>22</c:v>
                </c:pt>
                <c:pt idx="245">
                  <c:v>22</c:v>
                </c:pt>
                <c:pt idx="246">
                  <c:v>22</c:v>
                </c:pt>
                <c:pt idx="247">
                  <c:v>22</c:v>
                </c:pt>
                <c:pt idx="248">
                  <c:v>22</c:v>
                </c:pt>
                <c:pt idx="249">
                  <c:v>22</c:v>
                </c:pt>
                <c:pt idx="250">
                  <c:v>22</c:v>
                </c:pt>
                <c:pt idx="251">
                  <c:v>22</c:v>
                </c:pt>
                <c:pt idx="252">
                  <c:v>22</c:v>
                </c:pt>
                <c:pt idx="253">
                  <c:v>22</c:v>
                </c:pt>
                <c:pt idx="254">
                  <c:v>22</c:v>
                </c:pt>
                <c:pt idx="255">
                  <c:v>22</c:v>
                </c:pt>
                <c:pt idx="256">
                  <c:v>22</c:v>
                </c:pt>
                <c:pt idx="257">
                  <c:v>22</c:v>
                </c:pt>
                <c:pt idx="258">
                  <c:v>22</c:v>
                </c:pt>
                <c:pt idx="259">
                  <c:v>22</c:v>
                </c:pt>
                <c:pt idx="260">
                  <c:v>22</c:v>
                </c:pt>
                <c:pt idx="261">
                  <c:v>22</c:v>
                </c:pt>
                <c:pt idx="262">
                  <c:v>22</c:v>
                </c:pt>
                <c:pt idx="263">
                  <c:v>22</c:v>
                </c:pt>
                <c:pt idx="264">
                  <c:v>22</c:v>
                </c:pt>
                <c:pt idx="265">
                  <c:v>22</c:v>
                </c:pt>
                <c:pt idx="266">
                  <c:v>22</c:v>
                </c:pt>
                <c:pt idx="267">
                  <c:v>22</c:v>
                </c:pt>
                <c:pt idx="268">
                  <c:v>22</c:v>
                </c:pt>
                <c:pt idx="269">
                  <c:v>22</c:v>
                </c:pt>
                <c:pt idx="270">
                  <c:v>22</c:v>
                </c:pt>
                <c:pt idx="271">
                  <c:v>22</c:v>
                </c:pt>
                <c:pt idx="272">
                  <c:v>22</c:v>
                </c:pt>
                <c:pt idx="273">
                  <c:v>22</c:v>
                </c:pt>
                <c:pt idx="274">
                  <c:v>22</c:v>
                </c:pt>
                <c:pt idx="275">
                  <c:v>22</c:v>
                </c:pt>
                <c:pt idx="276">
                  <c:v>22</c:v>
                </c:pt>
                <c:pt idx="277">
                  <c:v>22</c:v>
                </c:pt>
                <c:pt idx="278">
                  <c:v>22</c:v>
                </c:pt>
                <c:pt idx="279">
                  <c:v>22</c:v>
                </c:pt>
                <c:pt idx="280">
                  <c:v>22</c:v>
                </c:pt>
                <c:pt idx="281">
                  <c:v>22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22</c:v>
                </c:pt>
                <c:pt idx="288">
                  <c:v>22</c:v>
                </c:pt>
                <c:pt idx="289">
                  <c:v>22</c:v>
                </c:pt>
                <c:pt idx="290">
                  <c:v>22</c:v>
                </c:pt>
                <c:pt idx="291">
                  <c:v>22</c:v>
                </c:pt>
                <c:pt idx="292">
                  <c:v>22</c:v>
                </c:pt>
                <c:pt idx="293">
                  <c:v>22</c:v>
                </c:pt>
                <c:pt idx="294">
                  <c:v>22</c:v>
                </c:pt>
                <c:pt idx="295">
                  <c:v>22</c:v>
                </c:pt>
                <c:pt idx="296">
                  <c:v>22</c:v>
                </c:pt>
                <c:pt idx="297">
                  <c:v>22</c:v>
                </c:pt>
                <c:pt idx="298">
                  <c:v>22</c:v>
                </c:pt>
                <c:pt idx="299">
                  <c:v>22</c:v>
                </c:pt>
                <c:pt idx="300">
                  <c:v>22</c:v>
                </c:pt>
                <c:pt idx="301">
                  <c:v>22</c:v>
                </c:pt>
                <c:pt idx="302">
                  <c:v>22</c:v>
                </c:pt>
                <c:pt idx="303">
                  <c:v>22</c:v>
                </c:pt>
                <c:pt idx="304">
                  <c:v>22</c:v>
                </c:pt>
                <c:pt idx="305">
                  <c:v>22</c:v>
                </c:pt>
                <c:pt idx="306">
                  <c:v>22</c:v>
                </c:pt>
                <c:pt idx="307">
                  <c:v>22</c:v>
                </c:pt>
                <c:pt idx="308">
                  <c:v>22</c:v>
                </c:pt>
                <c:pt idx="309">
                  <c:v>22</c:v>
                </c:pt>
                <c:pt idx="310">
                  <c:v>22</c:v>
                </c:pt>
                <c:pt idx="311">
                  <c:v>22</c:v>
                </c:pt>
                <c:pt idx="312">
                  <c:v>22</c:v>
                </c:pt>
                <c:pt idx="313">
                  <c:v>22</c:v>
                </c:pt>
                <c:pt idx="314">
                  <c:v>22</c:v>
                </c:pt>
                <c:pt idx="315">
                  <c:v>22</c:v>
                </c:pt>
                <c:pt idx="316">
                  <c:v>22</c:v>
                </c:pt>
                <c:pt idx="317">
                  <c:v>22</c:v>
                </c:pt>
                <c:pt idx="318">
                  <c:v>22</c:v>
                </c:pt>
                <c:pt idx="319">
                  <c:v>22</c:v>
                </c:pt>
                <c:pt idx="320">
                  <c:v>22</c:v>
                </c:pt>
                <c:pt idx="321">
                  <c:v>22</c:v>
                </c:pt>
                <c:pt idx="322">
                  <c:v>22</c:v>
                </c:pt>
                <c:pt idx="323">
                  <c:v>22</c:v>
                </c:pt>
                <c:pt idx="324">
                  <c:v>22</c:v>
                </c:pt>
                <c:pt idx="325">
                  <c:v>22</c:v>
                </c:pt>
                <c:pt idx="326">
                  <c:v>22</c:v>
                </c:pt>
                <c:pt idx="327">
                  <c:v>22</c:v>
                </c:pt>
                <c:pt idx="328">
                  <c:v>22</c:v>
                </c:pt>
                <c:pt idx="329">
                  <c:v>22</c:v>
                </c:pt>
                <c:pt idx="330">
                  <c:v>22</c:v>
                </c:pt>
                <c:pt idx="331">
                  <c:v>22</c:v>
                </c:pt>
                <c:pt idx="332">
                  <c:v>22</c:v>
                </c:pt>
                <c:pt idx="333">
                  <c:v>22</c:v>
                </c:pt>
                <c:pt idx="334">
                  <c:v>22</c:v>
                </c:pt>
                <c:pt idx="335">
                  <c:v>22</c:v>
                </c:pt>
                <c:pt idx="336">
                  <c:v>22</c:v>
                </c:pt>
                <c:pt idx="337">
                  <c:v>22</c:v>
                </c:pt>
                <c:pt idx="338">
                  <c:v>22</c:v>
                </c:pt>
                <c:pt idx="339">
                  <c:v>22</c:v>
                </c:pt>
                <c:pt idx="340">
                  <c:v>22</c:v>
                </c:pt>
                <c:pt idx="341">
                  <c:v>22</c:v>
                </c:pt>
                <c:pt idx="342">
                  <c:v>22</c:v>
                </c:pt>
                <c:pt idx="343">
                  <c:v>22</c:v>
                </c:pt>
                <c:pt idx="344">
                  <c:v>22</c:v>
                </c:pt>
                <c:pt idx="345">
                  <c:v>22</c:v>
                </c:pt>
                <c:pt idx="346">
                  <c:v>22</c:v>
                </c:pt>
                <c:pt idx="347">
                  <c:v>22</c:v>
                </c:pt>
                <c:pt idx="348">
                  <c:v>22</c:v>
                </c:pt>
                <c:pt idx="349">
                  <c:v>22</c:v>
                </c:pt>
                <c:pt idx="350">
                  <c:v>22</c:v>
                </c:pt>
                <c:pt idx="351">
                  <c:v>22</c:v>
                </c:pt>
                <c:pt idx="352">
                  <c:v>22</c:v>
                </c:pt>
                <c:pt idx="353">
                  <c:v>22</c:v>
                </c:pt>
                <c:pt idx="354">
                  <c:v>22</c:v>
                </c:pt>
                <c:pt idx="355">
                  <c:v>22</c:v>
                </c:pt>
                <c:pt idx="356">
                  <c:v>22</c:v>
                </c:pt>
                <c:pt idx="357">
                  <c:v>22</c:v>
                </c:pt>
                <c:pt idx="358">
                  <c:v>22</c:v>
                </c:pt>
                <c:pt idx="359">
                  <c:v>22</c:v>
                </c:pt>
                <c:pt idx="360">
                  <c:v>22</c:v>
                </c:pt>
                <c:pt idx="361">
                  <c:v>22</c:v>
                </c:pt>
                <c:pt idx="362">
                  <c:v>22</c:v>
                </c:pt>
                <c:pt idx="363">
                  <c:v>22</c:v>
                </c:pt>
                <c:pt idx="364">
                  <c:v>22</c:v>
                </c:pt>
                <c:pt idx="365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11-0844-8364-DA0F5B1CFBCA}"/>
            </c:ext>
          </c:extLst>
        </c:ser>
        <c:ser>
          <c:idx val="3"/>
          <c:order val="3"/>
          <c:tx>
            <c:strRef>
              <c:f>List1!$H$4</c:f>
              <c:strCache>
                <c:ptCount val="1"/>
                <c:pt idx="0">
                  <c:v>2002</c:v>
                </c:pt>
              </c:strCache>
            </c:strRef>
          </c:tx>
          <c:spPr>
            <a:ln w="28800">
              <a:solidFill>
                <a:srgbClr val="FFFF00">
                  <a:alpha val="5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List1!$H$5:$H$370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5</c:v>
                </c:pt>
                <c:pt idx="132">
                  <c:v>6</c:v>
                </c:pt>
                <c:pt idx="133">
                  <c:v>6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7</c:v>
                </c:pt>
                <c:pt idx="141">
                  <c:v>7</c:v>
                </c:pt>
                <c:pt idx="142">
                  <c:v>7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8</c:v>
                </c:pt>
                <c:pt idx="160">
                  <c:v>8</c:v>
                </c:pt>
                <c:pt idx="161">
                  <c:v>9</c:v>
                </c:pt>
                <c:pt idx="162">
                  <c:v>9</c:v>
                </c:pt>
                <c:pt idx="163">
                  <c:v>9</c:v>
                </c:pt>
                <c:pt idx="164">
                  <c:v>9</c:v>
                </c:pt>
                <c:pt idx="165">
                  <c:v>9</c:v>
                </c:pt>
                <c:pt idx="166">
                  <c:v>10</c:v>
                </c:pt>
                <c:pt idx="167">
                  <c:v>10</c:v>
                </c:pt>
                <c:pt idx="168">
                  <c:v>10</c:v>
                </c:pt>
                <c:pt idx="169">
                  <c:v>10</c:v>
                </c:pt>
                <c:pt idx="170">
                  <c:v>10</c:v>
                </c:pt>
                <c:pt idx="171">
                  <c:v>11</c:v>
                </c:pt>
                <c:pt idx="172">
                  <c:v>12</c:v>
                </c:pt>
                <c:pt idx="173">
                  <c:v>12</c:v>
                </c:pt>
                <c:pt idx="174">
                  <c:v>12</c:v>
                </c:pt>
                <c:pt idx="175">
                  <c:v>12</c:v>
                </c:pt>
                <c:pt idx="176">
                  <c:v>12</c:v>
                </c:pt>
                <c:pt idx="177">
                  <c:v>12</c:v>
                </c:pt>
                <c:pt idx="178">
                  <c:v>12</c:v>
                </c:pt>
                <c:pt idx="179">
                  <c:v>12</c:v>
                </c:pt>
                <c:pt idx="180">
                  <c:v>12</c:v>
                </c:pt>
                <c:pt idx="181">
                  <c:v>12</c:v>
                </c:pt>
                <c:pt idx="182">
                  <c:v>12</c:v>
                </c:pt>
                <c:pt idx="183">
                  <c:v>12</c:v>
                </c:pt>
                <c:pt idx="184">
                  <c:v>12</c:v>
                </c:pt>
                <c:pt idx="185">
                  <c:v>12</c:v>
                </c:pt>
                <c:pt idx="186">
                  <c:v>12</c:v>
                </c:pt>
                <c:pt idx="187">
                  <c:v>13</c:v>
                </c:pt>
                <c:pt idx="188">
                  <c:v>13</c:v>
                </c:pt>
                <c:pt idx="189">
                  <c:v>13</c:v>
                </c:pt>
                <c:pt idx="190">
                  <c:v>13</c:v>
                </c:pt>
                <c:pt idx="191">
                  <c:v>14</c:v>
                </c:pt>
                <c:pt idx="192">
                  <c:v>14</c:v>
                </c:pt>
                <c:pt idx="193">
                  <c:v>14</c:v>
                </c:pt>
                <c:pt idx="194">
                  <c:v>15</c:v>
                </c:pt>
                <c:pt idx="195">
                  <c:v>16</c:v>
                </c:pt>
                <c:pt idx="196">
                  <c:v>16</c:v>
                </c:pt>
                <c:pt idx="197">
                  <c:v>17</c:v>
                </c:pt>
                <c:pt idx="198">
                  <c:v>17</c:v>
                </c:pt>
                <c:pt idx="199">
                  <c:v>17</c:v>
                </c:pt>
                <c:pt idx="200">
                  <c:v>17</c:v>
                </c:pt>
                <c:pt idx="201">
                  <c:v>17</c:v>
                </c:pt>
                <c:pt idx="202">
                  <c:v>18</c:v>
                </c:pt>
                <c:pt idx="203">
                  <c:v>18</c:v>
                </c:pt>
                <c:pt idx="204">
                  <c:v>18</c:v>
                </c:pt>
                <c:pt idx="205">
                  <c:v>18</c:v>
                </c:pt>
                <c:pt idx="206">
                  <c:v>18</c:v>
                </c:pt>
                <c:pt idx="207">
                  <c:v>18</c:v>
                </c:pt>
                <c:pt idx="208">
                  <c:v>18</c:v>
                </c:pt>
                <c:pt idx="209">
                  <c:v>18</c:v>
                </c:pt>
                <c:pt idx="210">
                  <c:v>18</c:v>
                </c:pt>
                <c:pt idx="211">
                  <c:v>18</c:v>
                </c:pt>
                <c:pt idx="212">
                  <c:v>19</c:v>
                </c:pt>
                <c:pt idx="213">
                  <c:v>20</c:v>
                </c:pt>
                <c:pt idx="214">
                  <c:v>20</c:v>
                </c:pt>
                <c:pt idx="215">
                  <c:v>20</c:v>
                </c:pt>
                <c:pt idx="216">
                  <c:v>20</c:v>
                </c:pt>
                <c:pt idx="217">
                  <c:v>20</c:v>
                </c:pt>
                <c:pt idx="218">
                  <c:v>20</c:v>
                </c:pt>
                <c:pt idx="219">
                  <c:v>20</c:v>
                </c:pt>
                <c:pt idx="220">
                  <c:v>21</c:v>
                </c:pt>
                <c:pt idx="221">
                  <c:v>21</c:v>
                </c:pt>
                <c:pt idx="222">
                  <c:v>21</c:v>
                </c:pt>
                <c:pt idx="223">
                  <c:v>22</c:v>
                </c:pt>
                <c:pt idx="224">
                  <c:v>22</c:v>
                </c:pt>
                <c:pt idx="225">
                  <c:v>22</c:v>
                </c:pt>
                <c:pt idx="226">
                  <c:v>22</c:v>
                </c:pt>
                <c:pt idx="227">
                  <c:v>22</c:v>
                </c:pt>
                <c:pt idx="228">
                  <c:v>22</c:v>
                </c:pt>
                <c:pt idx="229">
                  <c:v>23</c:v>
                </c:pt>
                <c:pt idx="230">
                  <c:v>23</c:v>
                </c:pt>
                <c:pt idx="231">
                  <c:v>23</c:v>
                </c:pt>
                <c:pt idx="232">
                  <c:v>23</c:v>
                </c:pt>
                <c:pt idx="233">
                  <c:v>24</c:v>
                </c:pt>
                <c:pt idx="234">
                  <c:v>24</c:v>
                </c:pt>
                <c:pt idx="235">
                  <c:v>24</c:v>
                </c:pt>
                <c:pt idx="236">
                  <c:v>24</c:v>
                </c:pt>
                <c:pt idx="237">
                  <c:v>24</c:v>
                </c:pt>
                <c:pt idx="238">
                  <c:v>24</c:v>
                </c:pt>
                <c:pt idx="239">
                  <c:v>24</c:v>
                </c:pt>
                <c:pt idx="240">
                  <c:v>24</c:v>
                </c:pt>
                <c:pt idx="241">
                  <c:v>25</c:v>
                </c:pt>
                <c:pt idx="242">
                  <c:v>25</c:v>
                </c:pt>
                <c:pt idx="243">
                  <c:v>25</c:v>
                </c:pt>
                <c:pt idx="244">
                  <c:v>26</c:v>
                </c:pt>
                <c:pt idx="245">
                  <c:v>26</c:v>
                </c:pt>
                <c:pt idx="246">
                  <c:v>26</c:v>
                </c:pt>
                <c:pt idx="247">
                  <c:v>26</c:v>
                </c:pt>
                <c:pt idx="248">
                  <c:v>27</c:v>
                </c:pt>
                <c:pt idx="249">
                  <c:v>28</c:v>
                </c:pt>
                <c:pt idx="250">
                  <c:v>28</c:v>
                </c:pt>
                <c:pt idx="251">
                  <c:v>28</c:v>
                </c:pt>
                <c:pt idx="252">
                  <c:v>28</c:v>
                </c:pt>
                <c:pt idx="253">
                  <c:v>29</c:v>
                </c:pt>
                <c:pt idx="254">
                  <c:v>29</c:v>
                </c:pt>
                <c:pt idx="255">
                  <c:v>29</c:v>
                </c:pt>
                <c:pt idx="256">
                  <c:v>29</c:v>
                </c:pt>
                <c:pt idx="257">
                  <c:v>29</c:v>
                </c:pt>
                <c:pt idx="258">
                  <c:v>29</c:v>
                </c:pt>
                <c:pt idx="259">
                  <c:v>29</c:v>
                </c:pt>
                <c:pt idx="260">
                  <c:v>29</c:v>
                </c:pt>
                <c:pt idx="261">
                  <c:v>29</c:v>
                </c:pt>
                <c:pt idx="262">
                  <c:v>29</c:v>
                </c:pt>
                <c:pt idx="263">
                  <c:v>29</c:v>
                </c:pt>
                <c:pt idx="264">
                  <c:v>29</c:v>
                </c:pt>
                <c:pt idx="265">
                  <c:v>30</c:v>
                </c:pt>
                <c:pt idx="266">
                  <c:v>30</c:v>
                </c:pt>
                <c:pt idx="267">
                  <c:v>30</c:v>
                </c:pt>
                <c:pt idx="268">
                  <c:v>30</c:v>
                </c:pt>
                <c:pt idx="269">
                  <c:v>30</c:v>
                </c:pt>
                <c:pt idx="270">
                  <c:v>30</c:v>
                </c:pt>
                <c:pt idx="271">
                  <c:v>30</c:v>
                </c:pt>
                <c:pt idx="272">
                  <c:v>30</c:v>
                </c:pt>
                <c:pt idx="273">
                  <c:v>30</c:v>
                </c:pt>
                <c:pt idx="274">
                  <c:v>30</c:v>
                </c:pt>
                <c:pt idx="275">
                  <c:v>30</c:v>
                </c:pt>
                <c:pt idx="276">
                  <c:v>30</c:v>
                </c:pt>
                <c:pt idx="277">
                  <c:v>30</c:v>
                </c:pt>
                <c:pt idx="278">
                  <c:v>30</c:v>
                </c:pt>
                <c:pt idx="279">
                  <c:v>30</c:v>
                </c:pt>
                <c:pt idx="280">
                  <c:v>30</c:v>
                </c:pt>
                <c:pt idx="281">
                  <c:v>30</c:v>
                </c:pt>
                <c:pt idx="282">
                  <c:v>30</c:v>
                </c:pt>
                <c:pt idx="283">
                  <c:v>30</c:v>
                </c:pt>
                <c:pt idx="284">
                  <c:v>30</c:v>
                </c:pt>
                <c:pt idx="285">
                  <c:v>30</c:v>
                </c:pt>
                <c:pt idx="286">
                  <c:v>30</c:v>
                </c:pt>
                <c:pt idx="287">
                  <c:v>30</c:v>
                </c:pt>
                <c:pt idx="288">
                  <c:v>30</c:v>
                </c:pt>
                <c:pt idx="289">
                  <c:v>30</c:v>
                </c:pt>
                <c:pt idx="290">
                  <c:v>30</c:v>
                </c:pt>
                <c:pt idx="291">
                  <c:v>30</c:v>
                </c:pt>
                <c:pt idx="292">
                  <c:v>30</c:v>
                </c:pt>
                <c:pt idx="293">
                  <c:v>30</c:v>
                </c:pt>
                <c:pt idx="294">
                  <c:v>30</c:v>
                </c:pt>
                <c:pt idx="295">
                  <c:v>30</c:v>
                </c:pt>
                <c:pt idx="296">
                  <c:v>30</c:v>
                </c:pt>
                <c:pt idx="297">
                  <c:v>30</c:v>
                </c:pt>
                <c:pt idx="298">
                  <c:v>30</c:v>
                </c:pt>
                <c:pt idx="299">
                  <c:v>30</c:v>
                </c:pt>
                <c:pt idx="300">
                  <c:v>30</c:v>
                </c:pt>
                <c:pt idx="301">
                  <c:v>30</c:v>
                </c:pt>
                <c:pt idx="302">
                  <c:v>30</c:v>
                </c:pt>
                <c:pt idx="303">
                  <c:v>30</c:v>
                </c:pt>
                <c:pt idx="304">
                  <c:v>30</c:v>
                </c:pt>
                <c:pt idx="305">
                  <c:v>30</c:v>
                </c:pt>
                <c:pt idx="306">
                  <c:v>30</c:v>
                </c:pt>
                <c:pt idx="307">
                  <c:v>30</c:v>
                </c:pt>
                <c:pt idx="308">
                  <c:v>30</c:v>
                </c:pt>
                <c:pt idx="309">
                  <c:v>30</c:v>
                </c:pt>
                <c:pt idx="310">
                  <c:v>30</c:v>
                </c:pt>
                <c:pt idx="311">
                  <c:v>30</c:v>
                </c:pt>
                <c:pt idx="312">
                  <c:v>30</c:v>
                </c:pt>
                <c:pt idx="313">
                  <c:v>30</c:v>
                </c:pt>
                <c:pt idx="314">
                  <c:v>30</c:v>
                </c:pt>
                <c:pt idx="315">
                  <c:v>30</c:v>
                </c:pt>
                <c:pt idx="316">
                  <c:v>30</c:v>
                </c:pt>
                <c:pt idx="317">
                  <c:v>30</c:v>
                </c:pt>
                <c:pt idx="318">
                  <c:v>30</c:v>
                </c:pt>
                <c:pt idx="319">
                  <c:v>30</c:v>
                </c:pt>
                <c:pt idx="320">
                  <c:v>30</c:v>
                </c:pt>
                <c:pt idx="321">
                  <c:v>30</c:v>
                </c:pt>
                <c:pt idx="322">
                  <c:v>30</c:v>
                </c:pt>
                <c:pt idx="323">
                  <c:v>30</c:v>
                </c:pt>
                <c:pt idx="324">
                  <c:v>30</c:v>
                </c:pt>
                <c:pt idx="325">
                  <c:v>30</c:v>
                </c:pt>
                <c:pt idx="326">
                  <c:v>30</c:v>
                </c:pt>
                <c:pt idx="327">
                  <c:v>30</c:v>
                </c:pt>
                <c:pt idx="328">
                  <c:v>30</c:v>
                </c:pt>
                <c:pt idx="329">
                  <c:v>30</c:v>
                </c:pt>
                <c:pt idx="330">
                  <c:v>30</c:v>
                </c:pt>
                <c:pt idx="331">
                  <c:v>30</c:v>
                </c:pt>
                <c:pt idx="332">
                  <c:v>30</c:v>
                </c:pt>
                <c:pt idx="333">
                  <c:v>30</c:v>
                </c:pt>
                <c:pt idx="334">
                  <c:v>30</c:v>
                </c:pt>
                <c:pt idx="335">
                  <c:v>30</c:v>
                </c:pt>
                <c:pt idx="336">
                  <c:v>30</c:v>
                </c:pt>
                <c:pt idx="337">
                  <c:v>30</c:v>
                </c:pt>
                <c:pt idx="338">
                  <c:v>30</c:v>
                </c:pt>
                <c:pt idx="339">
                  <c:v>30</c:v>
                </c:pt>
                <c:pt idx="340">
                  <c:v>30</c:v>
                </c:pt>
                <c:pt idx="341">
                  <c:v>30</c:v>
                </c:pt>
                <c:pt idx="342">
                  <c:v>30</c:v>
                </c:pt>
                <c:pt idx="343">
                  <c:v>30</c:v>
                </c:pt>
                <c:pt idx="344">
                  <c:v>30</c:v>
                </c:pt>
                <c:pt idx="345">
                  <c:v>30</c:v>
                </c:pt>
                <c:pt idx="346">
                  <c:v>30</c:v>
                </c:pt>
                <c:pt idx="347">
                  <c:v>30</c:v>
                </c:pt>
                <c:pt idx="348">
                  <c:v>30</c:v>
                </c:pt>
                <c:pt idx="349">
                  <c:v>30</c:v>
                </c:pt>
                <c:pt idx="350">
                  <c:v>30</c:v>
                </c:pt>
                <c:pt idx="351">
                  <c:v>30</c:v>
                </c:pt>
                <c:pt idx="352">
                  <c:v>30</c:v>
                </c:pt>
                <c:pt idx="353">
                  <c:v>30</c:v>
                </c:pt>
                <c:pt idx="354">
                  <c:v>30</c:v>
                </c:pt>
                <c:pt idx="355">
                  <c:v>30</c:v>
                </c:pt>
                <c:pt idx="356">
                  <c:v>30</c:v>
                </c:pt>
                <c:pt idx="357">
                  <c:v>30</c:v>
                </c:pt>
                <c:pt idx="358">
                  <c:v>30</c:v>
                </c:pt>
                <c:pt idx="359">
                  <c:v>30</c:v>
                </c:pt>
                <c:pt idx="360">
                  <c:v>30</c:v>
                </c:pt>
                <c:pt idx="361">
                  <c:v>30</c:v>
                </c:pt>
                <c:pt idx="362">
                  <c:v>30</c:v>
                </c:pt>
                <c:pt idx="363">
                  <c:v>30</c:v>
                </c:pt>
                <c:pt idx="364">
                  <c:v>30</c:v>
                </c:pt>
                <c:pt idx="365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11-0844-8364-DA0F5B1CFBCA}"/>
            </c:ext>
          </c:extLst>
        </c:ser>
        <c:ser>
          <c:idx val="4"/>
          <c:order val="4"/>
          <c:tx>
            <c:strRef>
              <c:f>List1!$I$4</c:f>
              <c:strCache>
                <c:ptCount val="1"/>
                <c:pt idx="0">
                  <c:v>2003</c:v>
                </c:pt>
              </c:strCache>
            </c:strRef>
          </c:tx>
          <c:spPr>
            <a:ln w="28800">
              <a:solidFill>
                <a:srgbClr val="FFBF00">
                  <a:alpha val="5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List1!$I$5:$I$370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2</c:v>
                </c:pt>
                <c:pt idx="129">
                  <c:v>3</c:v>
                </c:pt>
                <c:pt idx="130">
                  <c:v>3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5</c:v>
                </c:pt>
                <c:pt idx="136">
                  <c:v>5</c:v>
                </c:pt>
                <c:pt idx="137">
                  <c:v>5</c:v>
                </c:pt>
                <c:pt idx="138">
                  <c:v>5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6</c:v>
                </c:pt>
                <c:pt idx="145">
                  <c:v>6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9</c:v>
                </c:pt>
                <c:pt idx="157">
                  <c:v>9</c:v>
                </c:pt>
                <c:pt idx="158">
                  <c:v>9</c:v>
                </c:pt>
                <c:pt idx="159">
                  <c:v>10</c:v>
                </c:pt>
                <c:pt idx="160">
                  <c:v>10</c:v>
                </c:pt>
                <c:pt idx="161">
                  <c:v>10</c:v>
                </c:pt>
                <c:pt idx="162">
                  <c:v>10</c:v>
                </c:pt>
                <c:pt idx="163">
                  <c:v>11</c:v>
                </c:pt>
                <c:pt idx="164">
                  <c:v>12</c:v>
                </c:pt>
                <c:pt idx="165">
                  <c:v>12</c:v>
                </c:pt>
                <c:pt idx="166">
                  <c:v>12</c:v>
                </c:pt>
                <c:pt idx="167">
                  <c:v>12</c:v>
                </c:pt>
                <c:pt idx="168">
                  <c:v>12</c:v>
                </c:pt>
                <c:pt idx="169">
                  <c:v>13</c:v>
                </c:pt>
                <c:pt idx="170">
                  <c:v>13</c:v>
                </c:pt>
                <c:pt idx="171">
                  <c:v>13</c:v>
                </c:pt>
                <c:pt idx="172">
                  <c:v>13</c:v>
                </c:pt>
                <c:pt idx="173">
                  <c:v>13</c:v>
                </c:pt>
                <c:pt idx="174">
                  <c:v>14</c:v>
                </c:pt>
                <c:pt idx="175">
                  <c:v>14</c:v>
                </c:pt>
                <c:pt idx="176">
                  <c:v>14</c:v>
                </c:pt>
                <c:pt idx="177">
                  <c:v>14</c:v>
                </c:pt>
                <c:pt idx="178">
                  <c:v>14</c:v>
                </c:pt>
                <c:pt idx="179">
                  <c:v>14</c:v>
                </c:pt>
                <c:pt idx="180">
                  <c:v>14</c:v>
                </c:pt>
                <c:pt idx="181">
                  <c:v>15</c:v>
                </c:pt>
                <c:pt idx="182">
                  <c:v>16</c:v>
                </c:pt>
                <c:pt idx="183">
                  <c:v>16</c:v>
                </c:pt>
                <c:pt idx="184">
                  <c:v>16</c:v>
                </c:pt>
                <c:pt idx="185">
                  <c:v>17</c:v>
                </c:pt>
                <c:pt idx="186">
                  <c:v>17</c:v>
                </c:pt>
                <c:pt idx="187">
                  <c:v>17</c:v>
                </c:pt>
                <c:pt idx="188">
                  <c:v>17</c:v>
                </c:pt>
                <c:pt idx="189">
                  <c:v>17</c:v>
                </c:pt>
                <c:pt idx="190">
                  <c:v>17</c:v>
                </c:pt>
                <c:pt idx="191">
                  <c:v>17</c:v>
                </c:pt>
                <c:pt idx="192">
                  <c:v>17</c:v>
                </c:pt>
                <c:pt idx="193">
                  <c:v>17</c:v>
                </c:pt>
                <c:pt idx="194">
                  <c:v>17</c:v>
                </c:pt>
                <c:pt idx="195">
                  <c:v>17</c:v>
                </c:pt>
                <c:pt idx="196">
                  <c:v>17</c:v>
                </c:pt>
                <c:pt idx="197">
                  <c:v>17</c:v>
                </c:pt>
                <c:pt idx="198">
                  <c:v>18</c:v>
                </c:pt>
                <c:pt idx="199">
                  <c:v>18</c:v>
                </c:pt>
                <c:pt idx="200">
                  <c:v>18</c:v>
                </c:pt>
                <c:pt idx="201">
                  <c:v>18</c:v>
                </c:pt>
                <c:pt idx="202">
                  <c:v>19</c:v>
                </c:pt>
                <c:pt idx="203">
                  <c:v>20</c:v>
                </c:pt>
                <c:pt idx="204">
                  <c:v>21</c:v>
                </c:pt>
                <c:pt idx="205">
                  <c:v>22</c:v>
                </c:pt>
                <c:pt idx="206">
                  <c:v>22</c:v>
                </c:pt>
                <c:pt idx="207">
                  <c:v>22</c:v>
                </c:pt>
                <c:pt idx="208">
                  <c:v>23</c:v>
                </c:pt>
                <c:pt idx="209">
                  <c:v>24</c:v>
                </c:pt>
                <c:pt idx="210">
                  <c:v>25</c:v>
                </c:pt>
                <c:pt idx="211">
                  <c:v>25</c:v>
                </c:pt>
                <c:pt idx="212">
                  <c:v>25</c:v>
                </c:pt>
                <c:pt idx="213">
                  <c:v>25</c:v>
                </c:pt>
                <c:pt idx="214">
                  <c:v>26</c:v>
                </c:pt>
                <c:pt idx="215">
                  <c:v>26</c:v>
                </c:pt>
                <c:pt idx="216">
                  <c:v>26</c:v>
                </c:pt>
                <c:pt idx="217">
                  <c:v>26</c:v>
                </c:pt>
                <c:pt idx="218">
                  <c:v>26</c:v>
                </c:pt>
                <c:pt idx="219">
                  <c:v>26</c:v>
                </c:pt>
                <c:pt idx="220">
                  <c:v>26</c:v>
                </c:pt>
                <c:pt idx="221">
                  <c:v>26</c:v>
                </c:pt>
                <c:pt idx="222">
                  <c:v>26</c:v>
                </c:pt>
                <c:pt idx="223">
                  <c:v>26</c:v>
                </c:pt>
                <c:pt idx="224">
                  <c:v>26</c:v>
                </c:pt>
                <c:pt idx="225">
                  <c:v>27</c:v>
                </c:pt>
                <c:pt idx="226">
                  <c:v>28</c:v>
                </c:pt>
                <c:pt idx="227">
                  <c:v>28</c:v>
                </c:pt>
                <c:pt idx="228">
                  <c:v>28</c:v>
                </c:pt>
                <c:pt idx="229">
                  <c:v>28</c:v>
                </c:pt>
                <c:pt idx="230">
                  <c:v>28</c:v>
                </c:pt>
                <c:pt idx="231">
                  <c:v>28</c:v>
                </c:pt>
                <c:pt idx="232">
                  <c:v>28</c:v>
                </c:pt>
                <c:pt idx="233">
                  <c:v>28</c:v>
                </c:pt>
                <c:pt idx="234">
                  <c:v>28</c:v>
                </c:pt>
                <c:pt idx="235">
                  <c:v>28</c:v>
                </c:pt>
                <c:pt idx="236">
                  <c:v>28</c:v>
                </c:pt>
                <c:pt idx="237">
                  <c:v>28</c:v>
                </c:pt>
                <c:pt idx="238">
                  <c:v>28</c:v>
                </c:pt>
                <c:pt idx="239">
                  <c:v>28</c:v>
                </c:pt>
                <c:pt idx="240">
                  <c:v>28</c:v>
                </c:pt>
                <c:pt idx="241">
                  <c:v>28</c:v>
                </c:pt>
                <c:pt idx="242">
                  <c:v>28</c:v>
                </c:pt>
                <c:pt idx="243">
                  <c:v>29</c:v>
                </c:pt>
                <c:pt idx="244">
                  <c:v>29</c:v>
                </c:pt>
                <c:pt idx="245">
                  <c:v>29</c:v>
                </c:pt>
                <c:pt idx="246">
                  <c:v>29</c:v>
                </c:pt>
                <c:pt idx="247">
                  <c:v>29</c:v>
                </c:pt>
                <c:pt idx="248">
                  <c:v>29</c:v>
                </c:pt>
                <c:pt idx="249">
                  <c:v>29</c:v>
                </c:pt>
                <c:pt idx="250">
                  <c:v>29</c:v>
                </c:pt>
                <c:pt idx="251">
                  <c:v>29</c:v>
                </c:pt>
                <c:pt idx="252">
                  <c:v>29</c:v>
                </c:pt>
                <c:pt idx="253">
                  <c:v>29</c:v>
                </c:pt>
                <c:pt idx="254">
                  <c:v>29</c:v>
                </c:pt>
                <c:pt idx="255">
                  <c:v>29</c:v>
                </c:pt>
                <c:pt idx="256">
                  <c:v>29</c:v>
                </c:pt>
                <c:pt idx="257">
                  <c:v>29</c:v>
                </c:pt>
                <c:pt idx="258">
                  <c:v>29</c:v>
                </c:pt>
                <c:pt idx="259">
                  <c:v>29</c:v>
                </c:pt>
                <c:pt idx="260">
                  <c:v>29</c:v>
                </c:pt>
                <c:pt idx="261">
                  <c:v>29</c:v>
                </c:pt>
                <c:pt idx="262">
                  <c:v>29</c:v>
                </c:pt>
                <c:pt idx="263">
                  <c:v>29</c:v>
                </c:pt>
                <c:pt idx="264">
                  <c:v>29</c:v>
                </c:pt>
                <c:pt idx="265">
                  <c:v>29</c:v>
                </c:pt>
                <c:pt idx="266">
                  <c:v>29</c:v>
                </c:pt>
                <c:pt idx="267">
                  <c:v>29</c:v>
                </c:pt>
                <c:pt idx="268">
                  <c:v>29</c:v>
                </c:pt>
                <c:pt idx="269">
                  <c:v>29</c:v>
                </c:pt>
                <c:pt idx="270">
                  <c:v>29</c:v>
                </c:pt>
                <c:pt idx="271">
                  <c:v>29</c:v>
                </c:pt>
                <c:pt idx="272">
                  <c:v>29</c:v>
                </c:pt>
                <c:pt idx="273">
                  <c:v>29</c:v>
                </c:pt>
                <c:pt idx="274">
                  <c:v>29</c:v>
                </c:pt>
                <c:pt idx="275">
                  <c:v>29</c:v>
                </c:pt>
                <c:pt idx="276">
                  <c:v>29</c:v>
                </c:pt>
                <c:pt idx="277">
                  <c:v>29</c:v>
                </c:pt>
                <c:pt idx="278">
                  <c:v>29</c:v>
                </c:pt>
                <c:pt idx="279">
                  <c:v>29</c:v>
                </c:pt>
                <c:pt idx="280">
                  <c:v>29</c:v>
                </c:pt>
                <c:pt idx="281">
                  <c:v>29</c:v>
                </c:pt>
                <c:pt idx="282">
                  <c:v>29</c:v>
                </c:pt>
                <c:pt idx="283">
                  <c:v>29</c:v>
                </c:pt>
                <c:pt idx="284">
                  <c:v>29</c:v>
                </c:pt>
                <c:pt idx="285">
                  <c:v>29</c:v>
                </c:pt>
                <c:pt idx="286">
                  <c:v>29</c:v>
                </c:pt>
                <c:pt idx="287">
                  <c:v>29</c:v>
                </c:pt>
                <c:pt idx="288">
                  <c:v>29</c:v>
                </c:pt>
                <c:pt idx="289">
                  <c:v>29</c:v>
                </c:pt>
                <c:pt idx="290">
                  <c:v>29</c:v>
                </c:pt>
                <c:pt idx="291">
                  <c:v>29</c:v>
                </c:pt>
                <c:pt idx="292">
                  <c:v>29</c:v>
                </c:pt>
                <c:pt idx="293">
                  <c:v>29</c:v>
                </c:pt>
                <c:pt idx="294">
                  <c:v>29</c:v>
                </c:pt>
                <c:pt idx="295">
                  <c:v>29</c:v>
                </c:pt>
                <c:pt idx="296">
                  <c:v>29</c:v>
                </c:pt>
                <c:pt idx="297">
                  <c:v>29</c:v>
                </c:pt>
                <c:pt idx="298">
                  <c:v>29</c:v>
                </c:pt>
                <c:pt idx="299">
                  <c:v>29</c:v>
                </c:pt>
                <c:pt idx="300">
                  <c:v>29</c:v>
                </c:pt>
                <c:pt idx="301">
                  <c:v>29</c:v>
                </c:pt>
                <c:pt idx="302">
                  <c:v>29</c:v>
                </c:pt>
                <c:pt idx="303">
                  <c:v>29</c:v>
                </c:pt>
                <c:pt idx="304">
                  <c:v>29</c:v>
                </c:pt>
                <c:pt idx="305">
                  <c:v>29</c:v>
                </c:pt>
                <c:pt idx="306">
                  <c:v>29</c:v>
                </c:pt>
                <c:pt idx="307">
                  <c:v>29</c:v>
                </c:pt>
                <c:pt idx="308">
                  <c:v>29</c:v>
                </c:pt>
                <c:pt idx="309">
                  <c:v>29</c:v>
                </c:pt>
                <c:pt idx="310">
                  <c:v>29</c:v>
                </c:pt>
                <c:pt idx="311">
                  <c:v>29</c:v>
                </c:pt>
                <c:pt idx="312">
                  <c:v>29</c:v>
                </c:pt>
                <c:pt idx="313">
                  <c:v>29</c:v>
                </c:pt>
                <c:pt idx="314">
                  <c:v>29</c:v>
                </c:pt>
                <c:pt idx="315">
                  <c:v>29</c:v>
                </c:pt>
                <c:pt idx="316">
                  <c:v>29</c:v>
                </c:pt>
                <c:pt idx="317">
                  <c:v>29</c:v>
                </c:pt>
                <c:pt idx="318">
                  <c:v>29</c:v>
                </c:pt>
                <c:pt idx="319">
                  <c:v>29</c:v>
                </c:pt>
                <c:pt idx="320">
                  <c:v>29</c:v>
                </c:pt>
                <c:pt idx="321">
                  <c:v>29</c:v>
                </c:pt>
                <c:pt idx="322">
                  <c:v>29</c:v>
                </c:pt>
                <c:pt idx="323">
                  <c:v>29</c:v>
                </c:pt>
                <c:pt idx="324">
                  <c:v>29</c:v>
                </c:pt>
                <c:pt idx="325">
                  <c:v>29</c:v>
                </c:pt>
                <c:pt idx="326">
                  <c:v>29</c:v>
                </c:pt>
                <c:pt idx="327">
                  <c:v>29</c:v>
                </c:pt>
                <c:pt idx="328">
                  <c:v>29</c:v>
                </c:pt>
                <c:pt idx="329">
                  <c:v>29</c:v>
                </c:pt>
                <c:pt idx="330">
                  <c:v>29</c:v>
                </c:pt>
                <c:pt idx="331">
                  <c:v>29</c:v>
                </c:pt>
                <c:pt idx="332">
                  <c:v>29</c:v>
                </c:pt>
                <c:pt idx="333">
                  <c:v>29</c:v>
                </c:pt>
                <c:pt idx="334">
                  <c:v>29</c:v>
                </c:pt>
                <c:pt idx="335">
                  <c:v>29</c:v>
                </c:pt>
                <c:pt idx="336">
                  <c:v>29</c:v>
                </c:pt>
                <c:pt idx="337">
                  <c:v>29</c:v>
                </c:pt>
                <c:pt idx="338">
                  <c:v>29</c:v>
                </c:pt>
                <c:pt idx="339">
                  <c:v>29</c:v>
                </c:pt>
                <c:pt idx="340">
                  <c:v>29</c:v>
                </c:pt>
                <c:pt idx="341">
                  <c:v>29</c:v>
                </c:pt>
                <c:pt idx="342">
                  <c:v>29</c:v>
                </c:pt>
                <c:pt idx="343">
                  <c:v>29</c:v>
                </c:pt>
                <c:pt idx="344">
                  <c:v>29</c:v>
                </c:pt>
                <c:pt idx="345">
                  <c:v>29</c:v>
                </c:pt>
                <c:pt idx="346">
                  <c:v>29</c:v>
                </c:pt>
                <c:pt idx="347">
                  <c:v>29</c:v>
                </c:pt>
                <c:pt idx="348">
                  <c:v>29</c:v>
                </c:pt>
                <c:pt idx="349">
                  <c:v>30</c:v>
                </c:pt>
                <c:pt idx="350">
                  <c:v>30</c:v>
                </c:pt>
                <c:pt idx="351">
                  <c:v>30</c:v>
                </c:pt>
                <c:pt idx="352">
                  <c:v>30</c:v>
                </c:pt>
                <c:pt idx="353">
                  <c:v>30</c:v>
                </c:pt>
                <c:pt idx="354">
                  <c:v>30</c:v>
                </c:pt>
                <c:pt idx="355">
                  <c:v>30</c:v>
                </c:pt>
                <c:pt idx="356">
                  <c:v>30</c:v>
                </c:pt>
                <c:pt idx="357">
                  <c:v>30</c:v>
                </c:pt>
                <c:pt idx="358">
                  <c:v>30</c:v>
                </c:pt>
                <c:pt idx="359">
                  <c:v>30</c:v>
                </c:pt>
                <c:pt idx="360">
                  <c:v>30</c:v>
                </c:pt>
                <c:pt idx="361">
                  <c:v>30</c:v>
                </c:pt>
                <c:pt idx="362">
                  <c:v>30</c:v>
                </c:pt>
                <c:pt idx="363">
                  <c:v>30</c:v>
                </c:pt>
                <c:pt idx="364">
                  <c:v>30</c:v>
                </c:pt>
                <c:pt idx="365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11-0844-8364-DA0F5B1CFBCA}"/>
            </c:ext>
          </c:extLst>
        </c:ser>
        <c:ser>
          <c:idx val="5"/>
          <c:order val="5"/>
          <c:tx>
            <c:strRef>
              <c:f>List1!$J$4</c:f>
              <c:strCache>
                <c:ptCount val="1"/>
                <c:pt idx="0">
                  <c:v>2004</c:v>
                </c:pt>
              </c:strCache>
            </c:strRef>
          </c:tx>
          <c:spPr>
            <a:ln w="28800">
              <a:solidFill>
                <a:srgbClr val="FF8000">
                  <a:alpha val="5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List1!$J$5:$J$370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4</c:v>
                </c:pt>
                <c:pt idx="122">
                  <c:v>4</c:v>
                </c:pt>
                <c:pt idx="123">
                  <c:v>5</c:v>
                </c:pt>
                <c:pt idx="124">
                  <c:v>5</c:v>
                </c:pt>
                <c:pt idx="125">
                  <c:v>6</c:v>
                </c:pt>
                <c:pt idx="126">
                  <c:v>7</c:v>
                </c:pt>
                <c:pt idx="127">
                  <c:v>7</c:v>
                </c:pt>
                <c:pt idx="128">
                  <c:v>7</c:v>
                </c:pt>
                <c:pt idx="129">
                  <c:v>7</c:v>
                </c:pt>
                <c:pt idx="130">
                  <c:v>8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9</c:v>
                </c:pt>
                <c:pt idx="141">
                  <c:v>10</c:v>
                </c:pt>
                <c:pt idx="142">
                  <c:v>10</c:v>
                </c:pt>
                <c:pt idx="143">
                  <c:v>11</c:v>
                </c:pt>
                <c:pt idx="144">
                  <c:v>11</c:v>
                </c:pt>
                <c:pt idx="145">
                  <c:v>11</c:v>
                </c:pt>
                <c:pt idx="146">
                  <c:v>11</c:v>
                </c:pt>
                <c:pt idx="147">
                  <c:v>11</c:v>
                </c:pt>
                <c:pt idx="148">
                  <c:v>11</c:v>
                </c:pt>
                <c:pt idx="149">
                  <c:v>11</c:v>
                </c:pt>
                <c:pt idx="150">
                  <c:v>11</c:v>
                </c:pt>
                <c:pt idx="151">
                  <c:v>11</c:v>
                </c:pt>
                <c:pt idx="152">
                  <c:v>11</c:v>
                </c:pt>
                <c:pt idx="153">
                  <c:v>11</c:v>
                </c:pt>
                <c:pt idx="154">
                  <c:v>11</c:v>
                </c:pt>
                <c:pt idx="155">
                  <c:v>11</c:v>
                </c:pt>
                <c:pt idx="156">
                  <c:v>11</c:v>
                </c:pt>
                <c:pt idx="157">
                  <c:v>11</c:v>
                </c:pt>
                <c:pt idx="158">
                  <c:v>11</c:v>
                </c:pt>
                <c:pt idx="159">
                  <c:v>11</c:v>
                </c:pt>
                <c:pt idx="160">
                  <c:v>12</c:v>
                </c:pt>
                <c:pt idx="161">
                  <c:v>13</c:v>
                </c:pt>
                <c:pt idx="162">
                  <c:v>14</c:v>
                </c:pt>
                <c:pt idx="163">
                  <c:v>15</c:v>
                </c:pt>
                <c:pt idx="164">
                  <c:v>15</c:v>
                </c:pt>
                <c:pt idx="165">
                  <c:v>15</c:v>
                </c:pt>
                <c:pt idx="166">
                  <c:v>15</c:v>
                </c:pt>
                <c:pt idx="167">
                  <c:v>15</c:v>
                </c:pt>
                <c:pt idx="168">
                  <c:v>15</c:v>
                </c:pt>
                <c:pt idx="169">
                  <c:v>15</c:v>
                </c:pt>
                <c:pt idx="170">
                  <c:v>15</c:v>
                </c:pt>
                <c:pt idx="171">
                  <c:v>15</c:v>
                </c:pt>
                <c:pt idx="172">
                  <c:v>16</c:v>
                </c:pt>
                <c:pt idx="173">
                  <c:v>16</c:v>
                </c:pt>
                <c:pt idx="174">
                  <c:v>16</c:v>
                </c:pt>
                <c:pt idx="175">
                  <c:v>16</c:v>
                </c:pt>
                <c:pt idx="176">
                  <c:v>16</c:v>
                </c:pt>
                <c:pt idx="177">
                  <c:v>16</c:v>
                </c:pt>
                <c:pt idx="178">
                  <c:v>16</c:v>
                </c:pt>
                <c:pt idx="179">
                  <c:v>16</c:v>
                </c:pt>
                <c:pt idx="180">
                  <c:v>16</c:v>
                </c:pt>
                <c:pt idx="181">
                  <c:v>16</c:v>
                </c:pt>
                <c:pt idx="182">
                  <c:v>17</c:v>
                </c:pt>
                <c:pt idx="183">
                  <c:v>18</c:v>
                </c:pt>
                <c:pt idx="184">
                  <c:v>19</c:v>
                </c:pt>
                <c:pt idx="185">
                  <c:v>19</c:v>
                </c:pt>
                <c:pt idx="186">
                  <c:v>20</c:v>
                </c:pt>
                <c:pt idx="187">
                  <c:v>20</c:v>
                </c:pt>
                <c:pt idx="188">
                  <c:v>20</c:v>
                </c:pt>
                <c:pt idx="189">
                  <c:v>21</c:v>
                </c:pt>
                <c:pt idx="190">
                  <c:v>21</c:v>
                </c:pt>
                <c:pt idx="191">
                  <c:v>21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23</c:v>
                </c:pt>
                <c:pt idx="202">
                  <c:v>23</c:v>
                </c:pt>
                <c:pt idx="203">
                  <c:v>24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25</c:v>
                </c:pt>
                <c:pt idx="208">
                  <c:v>25</c:v>
                </c:pt>
                <c:pt idx="209">
                  <c:v>25</c:v>
                </c:pt>
                <c:pt idx="210">
                  <c:v>25</c:v>
                </c:pt>
                <c:pt idx="211">
                  <c:v>25</c:v>
                </c:pt>
                <c:pt idx="212">
                  <c:v>25</c:v>
                </c:pt>
                <c:pt idx="213">
                  <c:v>26</c:v>
                </c:pt>
                <c:pt idx="214">
                  <c:v>26</c:v>
                </c:pt>
                <c:pt idx="215">
                  <c:v>26</c:v>
                </c:pt>
                <c:pt idx="216">
                  <c:v>26</c:v>
                </c:pt>
                <c:pt idx="217">
                  <c:v>26</c:v>
                </c:pt>
                <c:pt idx="218">
                  <c:v>26</c:v>
                </c:pt>
                <c:pt idx="219">
                  <c:v>26</c:v>
                </c:pt>
                <c:pt idx="220">
                  <c:v>26</c:v>
                </c:pt>
                <c:pt idx="221">
                  <c:v>26</c:v>
                </c:pt>
                <c:pt idx="222">
                  <c:v>26</c:v>
                </c:pt>
                <c:pt idx="223">
                  <c:v>26</c:v>
                </c:pt>
                <c:pt idx="224">
                  <c:v>26</c:v>
                </c:pt>
                <c:pt idx="225">
                  <c:v>27</c:v>
                </c:pt>
                <c:pt idx="226">
                  <c:v>28</c:v>
                </c:pt>
                <c:pt idx="227">
                  <c:v>28</c:v>
                </c:pt>
                <c:pt idx="228">
                  <c:v>28</c:v>
                </c:pt>
                <c:pt idx="229">
                  <c:v>29</c:v>
                </c:pt>
                <c:pt idx="230">
                  <c:v>29</c:v>
                </c:pt>
                <c:pt idx="231">
                  <c:v>29</c:v>
                </c:pt>
                <c:pt idx="232">
                  <c:v>30</c:v>
                </c:pt>
                <c:pt idx="233">
                  <c:v>31</c:v>
                </c:pt>
                <c:pt idx="234">
                  <c:v>31</c:v>
                </c:pt>
                <c:pt idx="235">
                  <c:v>31</c:v>
                </c:pt>
                <c:pt idx="236">
                  <c:v>31</c:v>
                </c:pt>
                <c:pt idx="237">
                  <c:v>31</c:v>
                </c:pt>
                <c:pt idx="238">
                  <c:v>32</c:v>
                </c:pt>
                <c:pt idx="239">
                  <c:v>32</c:v>
                </c:pt>
                <c:pt idx="240">
                  <c:v>32</c:v>
                </c:pt>
                <c:pt idx="241">
                  <c:v>32</c:v>
                </c:pt>
                <c:pt idx="242">
                  <c:v>33</c:v>
                </c:pt>
                <c:pt idx="243">
                  <c:v>33</c:v>
                </c:pt>
                <c:pt idx="244">
                  <c:v>33</c:v>
                </c:pt>
                <c:pt idx="245">
                  <c:v>33</c:v>
                </c:pt>
                <c:pt idx="246">
                  <c:v>33</c:v>
                </c:pt>
                <c:pt idx="247">
                  <c:v>33</c:v>
                </c:pt>
                <c:pt idx="248">
                  <c:v>33</c:v>
                </c:pt>
                <c:pt idx="249">
                  <c:v>33</c:v>
                </c:pt>
                <c:pt idx="250">
                  <c:v>33</c:v>
                </c:pt>
                <c:pt idx="251">
                  <c:v>33</c:v>
                </c:pt>
                <c:pt idx="252">
                  <c:v>33</c:v>
                </c:pt>
                <c:pt idx="253">
                  <c:v>33</c:v>
                </c:pt>
                <c:pt idx="254">
                  <c:v>33</c:v>
                </c:pt>
                <c:pt idx="255">
                  <c:v>33</c:v>
                </c:pt>
                <c:pt idx="256">
                  <c:v>33</c:v>
                </c:pt>
                <c:pt idx="257">
                  <c:v>33</c:v>
                </c:pt>
                <c:pt idx="258">
                  <c:v>33</c:v>
                </c:pt>
                <c:pt idx="259">
                  <c:v>33</c:v>
                </c:pt>
                <c:pt idx="260">
                  <c:v>33</c:v>
                </c:pt>
                <c:pt idx="261">
                  <c:v>33</c:v>
                </c:pt>
                <c:pt idx="262">
                  <c:v>33</c:v>
                </c:pt>
                <c:pt idx="263">
                  <c:v>33</c:v>
                </c:pt>
                <c:pt idx="264">
                  <c:v>33</c:v>
                </c:pt>
                <c:pt idx="265">
                  <c:v>33</c:v>
                </c:pt>
                <c:pt idx="266">
                  <c:v>33</c:v>
                </c:pt>
                <c:pt idx="267">
                  <c:v>33</c:v>
                </c:pt>
                <c:pt idx="268">
                  <c:v>33</c:v>
                </c:pt>
                <c:pt idx="269">
                  <c:v>33</c:v>
                </c:pt>
                <c:pt idx="270">
                  <c:v>33</c:v>
                </c:pt>
                <c:pt idx="271">
                  <c:v>33</c:v>
                </c:pt>
                <c:pt idx="272">
                  <c:v>33</c:v>
                </c:pt>
                <c:pt idx="273">
                  <c:v>33</c:v>
                </c:pt>
                <c:pt idx="274">
                  <c:v>33</c:v>
                </c:pt>
                <c:pt idx="275">
                  <c:v>33</c:v>
                </c:pt>
                <c:pt idx="276">
                  <c:v>33</c:v>
                </c:pt>
                <c:pt idx="277">
                  <c:v>33</c:v>
                </c:pt>
                <c:pt idx="278">
                  <c:v>33</c:v>
                </c:pt>
                <c:pt idx="279">
                  <c:v>33</c:v>
                </c:pt>
                <c:pt idx="280">
                  <c:v>33</c:v>
                </c:pt>
                <c:pt idx="281">
                  <c:v>33</c:v>
                </c:pt>
                <c:pt idx="282">
                  <c:v>33</c:v>
                </c:pt>
                <c:pt idx="283">
                  <c:v>33</c:v>
                </c:pt>
                <c:pt idx="284">
                  <c:v>33</c:v>
                </c:pt>
                <c:pt idx="285">
                  <c:v>33</c:v>
                </c:pt>
                <c:pt idx="286">
                  <c:v>33</c:v>
                </c:pt>
                <c:pt idx="287">
                  <c:v>33</c:v>
                </c:pt>
                <c:pt idx="288">
                  <c:v>33</c:v>
                </c:pt>
                <c:pt idx="289">
                  <c:v>33</c:v>
                </c:pt>
                <c:pt idx="290">
                  <c:v>33</c:v>
                </c:pt>
                <c:pt idx="291">
                  <c:v>33</c:v>
                </c:pt>
                <c:pt idx="292">
                  <c:v>33</c:v>
                </c:pt>
                <c:pt idx="293">
                  <c:v>33</c:v>
                </c:pt>
                <c:pt idx="294">
                  <c:v>33</c:v>
                </c:pt>
                <c:pt idx="295">
                  <c:v>33</c:v>
                </c:pt>
                <c:pt idx="296">
                  <c:v>33</c:v>
                </c:pt>
                <c:pt idx="297">
                  <c:v>33</c:v>
                </c:pt>
                <c:pt idx="298">
                  <c:v>33</c:v>
                </c:pt>
                <c:pt idx="299">
                  <c:v>33</c:v>
                </c:pt>
                <c:pt idx="300">
                  <c:v>33</c:v>
                </c:pt>
                <c:pt idx="301">
                  <c:v>33</c:v>
                </c:pt>
                <c:pt idx="302">
                  <c:v>33</c:v>
                </c:pt>
                <c:pt idx="303">
                  <c:v>34</c:v>
                </c:pt>
                <c:pt idx="304">
                  <c:v>34</c:v>
                </c:pt>
                <c:pt idx="305">
                  <c:v>34</c:v>
                </c:pt>
                <c:pt idx="306">
                  <c:v>34</c:v>
                </c:pt>
                <c:pt idx="307">
                  <c:v>34</c:v>
                </c:pt>
                <c:pt idx="308">
                  <c:v>34</c:v>
                </c:pt>
                <c:pt idx="309">
                  <c:v>34</c:v>
                </c:pt>
                <c:pt idx="310">
                  <c:v>34</c:v>
                </c:pt>
                <c:pt idx="311">
                  <c:v>34</c:v>
                </c:pt>
                <c:pt idx="312">
                  <c:v>34</c:v>
                </c:pt>
                <c:pt idx="313">
                  <c:v>34</c:v>
                </c:pt>
                <c:pt idx="314">
                  <c:v>34</c:v>
                </c:pt>
                <c:pt idx="315">
                  <c:v>34</c:v>
                </c:pt>
                <c:pt idx="316">
                  <c:v>34</c:v>
                </c:pt>
                <c:pt idx="317">
                  <c:v>34</c:v>
                </c:pt>
                <c:pt idx="318">
                  <c:v>34</c:v>
                </c:pt>
                <c:pt idx="319">
                  <c:v>34</c:v>
                </c:pt>
                <c:pt idx="320">
                  <c:v>34</c:v>
                </c:pt>
                <c:pt idx="321">
                  <c:v>34</c:v>
                </c:pt>
                <c:pt idx="322">
                  <c:v>34</c:v>
                </c:pt>
                <c:pt idx="323">
                  <c:v>34</c:v>
                </c:pt>
                <c:pt idx="324">
                  <c:v>34</c:v>
                </c:pt>
                <c:pt idx="325">
                  <c:v>34</c:v>
                </c:pt>
                <c:pt idx="326">
                  <c:v>34</c:v>
                </c:pt>
                <c:pt idx="327">
                  <c:v>34</c:v>
                </c:pt>
                <c:pt idx="328">
                  <c:v>34</c:v>
                </c:pt>
                <c:pt idx="329">
                  <c:v>34</c:v>
                </c:pt>
                <c:pt idx="330">
                  <c:v>34</c:v>
                </c:pt>
                <c:pt idx="331">
                  <c:v>34</c:v>
                </c:pt>
                <c:pt idx="332">
                  <c:v>34</c:v>
                </c:pt>
                <c:pt idx="333">
                  <c:v>34</c:v>
                </c:pt>
                <c:pt idx="334">
                  <c:v>34</c:v>
                </c:pt>
                <c:pt idx="335">
                  <c:v>34</c:v>
                </c:pt>
                <c:pt idx="336">
                  <c:v>34</c:v>
                </c:pt>
                <c:pt idx="337">
                  <c:v>34</c:v>
                </c:pt>
                <c:pt idx="338">
                  <c:v>34</c:v>
                </c:pt>
                <c:pt idx="339">
                  <c:v>34</c:v>
                </c:pt>
                <c:pt idx="340">
                  <c:v>34</c:v>
                </c:pt>
                <c:pt idx="341">
                  <c:v>34</c:v>
                </c:pt>
                <c:pt idx="342">
                  <c:v>34</c:v>
                </c:pt>
                <c:pt idx="343">
                  <c:v>34</c:v>
                </c:pt>
                <c:pt idx="344">
                  <c:v>34</c:v>
                </c:pt>
                <c:pt idx="345">
                  <c:v>34</c:v>
                </c:pt>
                <c:pt idx="346">
                  <c:v>34</c:v>
                </c:pt>
                <c:pt idx="347">
                  <c:v>34</c:v>
                </c:pt>
                <c:pt idx="348">
                  <c:v>34</c:v>
                </c:pt>
                <c:pt idx="349">
                  <c:v>34</c:v>
                </c:pt>
                <c:pt idx="350">
                  <c:v>34</c:v>
                </c:pt>
                <c:pt idx="351">
                  <c:v>34</c:v>
                </c:pt>
                <c:pt idx="352">
                  <c:v>34</c:v>
                </c:pt>
                <c:pt idx="353">
                  <c:v>34</c:v>
                </c:pt>
                <c:pt idx="354">
                  <c:v>34</c:v>
                </c:pt>
                <c:pt idx="355">
                  <c:v>34</c:v>
                </c:pt>
                <c:pt idx="356">
                  <c:v>34</c:v>
                </c:pt>
                <c:pt idx="357">
                  <c:v>34</c:v>
                </c:pt>
                <c:pt idx="358">
                  <c:v>34</c:v>
                </c:pt>
                <c:pt idx="359">
                  <c:v>34</c:v>
                </c:pt>
                <c:pt idx="360">
                  <c:v>34</c:v>
                </c:pt>
                <c:pt idx="361">
                  <c:v>34</c:v>
                </c:pt>
                <c:pt idx="362">
                  <c:v>34</c:v>
                </c:pt>
                <c:pt idx="363">
                  <c:v>34</c:v>
                </c:pt>
                <c:pt idx="364">
                  <c:v>34</c:v>
                </c:pt>
                <c:pt idx="365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11-0844-8364-DA0F5B1CFBCA}"/>
            </c:ext>
          </c:extLst>
        </c:ser>
        <c:ser>
          <c:idx val="6"/>
          <c:order val="6"/>
          <c:tx>
            <c:strRef>
              <c:f>List1!$K$4</c:f>
              <c:strCache>
                <c:ptCount val="1"/>
                <c:pt idx="0">
                  <c:v>2005</c:v>
                </c:pt>
              </c:strCache>
            </c:strRef>
          </c:tx>
          <c:spPr>
            <a:ln w="28800">
              <a:solidFill>
                <a:srgbClr val="FF4000">
                  <a:alpha val="5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List1!$K$5:$K$370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2</c:v>
                </c:pt>
                <c:pt idx="118">
                  <c:v>2</c:v>
                </c:pt>
                <c:pt idx="119">
                  <c:v>2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5</c:v>
                </c:pt>
                <c:pt idx="142">
                  <c:v>5</c:v>
                </c:pt>
                <c:pt idx="143">
                  <c:v>6</c:v>
                </c:pt>
                <c:pt idx="144">
                  <c:v>6</c:v>
                </c:pt>
                <c:pt idx="145">
                  <c:v>6</c:v>
                </c:pt>
                <c:pt idx="146">
                  <c:v>6</c:v>
                </c:pt>
                <c:pt idx="147">
                  <c:v>6</c:v>
                </c:pt>
                <c:pt idx="148">
                  <c:v>6</c:v>
                </c:pt>
                <c:pt idx="149">
                  <c:v>7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9</c:v>
                </c:pt>
                <c:pt idx="156">
                  <c:v>9</c:v>
                </c:pt>
                <c:pt idx="157">
                  <c:v>10</c:v>
                </c:pt>
                <c:pt idx="158">
                  <c:v>10</c:v>
                </c:pt>
                <c:pt idx="159">
                  <c:v>10</c:v>
                </c:pt>
                <c:pt idx="160">
                  <c:v>10</c:v>
                </c:pt>
                <c:pt idx="161">
                  <c:v>10</c:v>
                </c:pt>
                <c:pt idx="162">
                  <c:v>10</c:v>
                </c:pt>
                <c:pt idx="163">
                  <c:v>10</c:v>
                </c:pt>
                <c:pt idx="164">
                  <c:v>10</c:v>
                </c:pt>
                <c:pt idx="165">
                  <c:v>11</c:v>
                </c:pt>
                <c:pt idx="166">
                  <c:v>11</c:v>
                </c:pt>
                <c:pt idx="167">
                  <c:v>11</c:v>
                </c:pt>
                <c:pt idx="168">
                  <c:v>11</c:v>
                </c:pt>
                <c:pt idx="169">
                  <c:v>11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12</c:v>
                </c:pt>
                <c:pt idx="174">
                  <c:v>12</c:v>
                </c:pt>
                <c:pt idx="175">
                  <c:v>12</c:v>
                </c:pt>
                <c:pt idx="176">
                  <c:v>13</c:v>
                </c:pt>
                <c:pt idx="177">
                  <c:v>13</c:v>
                </c:pt>
                <c:pt idx="178">
                  <c:v>13</c:v>
                </c:pt>
                <c:pt idx="179">
                  <c:v>13</c:v>
                </c:pt>
                <c:pt idx="180">
                  <c:v>13</c:v>
                </c:pt>
                <c:pt idx="181">
                  <c:v>13</c:v>
                </c:pt>
                <c:pt idx="182">
                  <c:v>14</c:v>
                </c:pt>
                <c:pt idx="183">
                  <c:v>14</c:v>
                </c:pt>
                <c:pt idx="184">
                  <c:v>14</c:v>
                </c:pt>
                <c:pt idx="185">
                  <c:v>14</c:v>
                </c:pt>
                <c:pt idx="186">
                  <c:v>14</c:v>
                </c:pt>
                <c:pt idx="187">
                  <c:v>14</c:v>
                </c:pt>
                <c:pt idx="188">
                  <c:v>15</c:v>
                </c:pt>
                <c:pt idx="189">
                  <c:v>15</c:v>
                </c:pt>
                <c:pt idx="190">
                  <c:v>15</c:v>
                </c:pt>
                <c:pt idx="191">
                  <c:v>16</c:v>
                </c:pt>
                <c:pt idx="192">
                  <c:v>16</c:v>
                </c:pt>
                <c:pt idx="193">
                  <c:v>16</c:v>
                </c:pt>
                <c:pt idx="194">
                  <c:v>16</c:v>
                </c:pt>
                <c:pt idx="195">
                  <c:v>17</c:v>
                </c:pt>
                <c:pt idx="196">
                  <c:v>18</c:v>
                </c:pt>
                <c:pt idx="197">
                  <c:v>19</c:v>
                </c:pt>
                <c:pt idx="198">
                  <c:v>19</c:v>
                </c:pt>
                <c:pt idx="199">
                  <c:v>19</c:v>
                </c:pt>
                <c:pt idx="200">
                  <c:v>20</c:v>
                </c:pt>
                <c:pt idx="201">
                  <c:v>20</c:v>
                </c:pt>
                <c:pt idx="202">
                  <c:v>20</c:v>
                </c:pt>
                <c:pt idx="203">
                  <c:v>20</c:v>
                </c:pt>
                <c:pt idx="204">
                  <c:v>20</c:v>
                </c:pt>
                <c:pt idx="205">
                  <c:v>20</c:v>
                </c:pt>
                <c:pt idx="206">
                  <c:v>20</c:v>
                </c:pt>
                <c:pt idx="207">
                  <c:v>20</c:v>
                </c:pt>
                <c:pt idx="208">
                  <c:v>20</c:v>
                </c:pt>
                <c:pt idx="209">
                  <c:v>20</c:v>
                </c:pt>
                <c:pt idx="210">
                  <c:v>21</c:v>
                </c:pt>
                <c:pt idx="211">
                  <c:v>22</c:v>
                </c:pt>
                <c:pt idx="212">
                  <c:v>22</c:v>
                </c:pt>
                <c:pt idx="213">
                  <c:v>22</c:v>
                </c:pt>
                <c:pt idx="214">
                  <c:v>22</c:v>
                </c:pt>
                <c:pt idx="215">
                  <c:v>22</c:v>
                </c:pt>
                <c:pt idx="216">
                  <c:v>22</c:v>
                </c:pt>
                <c:pt idx="217">
                  <c:v>22</c:v>
                </c:pt>
                <c:pt idx="218">
                  <c:v>22</c:v>
                </c:pt>
                <c:pt idx="219">
                  <c:v>23</c:v>
                </c:pt>
                <c:pt idx="220">
                  <c:v>24</c:v>
                </c:pt>
                <c:pt idx="221">
                  <c:v>24</c:v>
                </c:pt>
                <c:pt idx="222">
                  <c:v>24</c:v>
                </c:pt>
                <c:pt idx="223">
                  <c:v>24</c:v>
                </c:pt>
                <c:pt idx="224">
                  <c:v>24</c:v>
                </c:pt>
                <c:pt idx="225">
                  <c:v>24</c:v>
                </c:pt>
                <c:pt idx="226">
                  <c:v>24</c:v>
                </c:pt>
                <c:pt idx="227">
                  <c:v>24</c:v>
                </c:pt>
                <c:pt idx="228">
                  <c:v>24</c:v>
                </c:pt>
                <c:pt idx="229">
                  <c:v>24</c:v>
                </c:pt>
                <c:pt idx="230">
                  <c:v>24</c:v>
                </c:pt>
                <c:pt idx="231">
                  <c:v>24</c:v>
                </c:pt>
                <c:pt idx="232">
                  <c:v>25</c:v>
                </c:pt>
                <c:pt idx="233">
                  <c:v>25</c:v>
                </c:pt>
                <c:pt idx="234">
                  <c:v>26</c:v>
                </c:pt>
                <c:pt idx="235">
                  <c:v>26</c:v>
                </c:pt>
                <c:pt idx="236">
                  <c:v>26</c:v>
                </c:pt>
                <c:pt idx="237">
                  <c:v>26</c:v>
                </c:pt>
                <c:pt idx="238">
                  <c:v>26</c:v>
                </c:pt>
                <c:pt idx="239">
                  <c:v>26</c:v>
                </c:pt>
                <c:pt idx="240">
                  <c:v>26</c:v>
                </c:pt>
                <c:pt idx="241">
                  <c:v>26</c:v>
                </c:pt>
                <c:pt idx="242">
                  <c:v>26</c:v>
                </c:pt>
                <c:pt idx="243">
                  <c:v>26</c:v>
                </c:pt>
                <c:pt idx="244">
                  <c:v>26</c:v>
                </c:pt>
                <c:pt idx="245">
                  <c:v>26</c:v>
                </c:pt>
                <c:pt idx="246">
                  <c:v>26</c:v>
                </c:pt>
                <c:pt idx="247">
                  <c:v>26</c:v>
                </c:pt>
                <c:pt idx="248">
                  <c:v>26</c:v>
                </c:pt>
                <c:pt idx="249">
                  <c:v>26</c:v>
                </c:pt>
                <c:pt idx="250">
                  <c:v>26</c:v>
                </c:pt>
                <c:pt idx="251">
                  <c:v>26</c:v>
                </c:pt>
                <c:pt idx="252">
                  <c:v>26</c:v>
                </c:pt>
                <c:pt idx="253">
                  <c:v>27</c:v>
                </c:pt>
                <c:pt idx="254">
                  <c:v>27</c:v>
                </c:pt>
                <c:pt idx="255">
                  <c:v>27</c:v>
                </c:pt>
                <c:pt idx="256">
                  <c:v>27</c:v>
                </c:pt>
                <c:pt idx="257">
                  <c:v>27</c:v>
                </c:pt>
                <c:pt idx="258">
                  <c:v>27</c:v>
                </c:pt>
                <c:pt idx="259">
                  <c:v>27</c:v>
                </c:pt>
                <c:pt idx="260">
                  <c:v>27</c:v>
                </c:pt>
                <c:pt idx="261">
                  <c:v>27</c:v>
                </c:pt>
                <c:pt idx="262">
                  <c:v>27</c:v>
                </c:pt>
                <c:pt idx="263">
                  <c:v>27</c:v>
                </c:pt>
                <c:pt idx="264">
                  <c:v>27</c:v>
                </c:pt>
                <c:pt idx="265">
                  <c:v>27</c:v>
                </c:pt>
                <c:pt idx="266">
                  <c:v>27</c:v>
                </c:pt>
                <c:pt idx="267">
                  <c:v>27</c:v>
                </c:pt>
                <c:pt idx="268">
                  <c:v>27</c:v>
                </c:pt>
                <c:pt idx="269">
                  <c:v>27</c:v>
                </c:pt>
                <c:pt idx="270">
                  <c:v>27</c:v>
                </c:pt>
                <c:pt idx="271">
                  <c:v>27</c:v>
                </c:pt>
                <c:pt idx="272">
                  <c:v>27</c:v>
                </c:pt>
                <c:pt idx="273">
                  <c:v>27</c:v>
                </c:pt>
                <c:pt idx="274">
                  <c:v>27</c:v>
                </c:pt>
                <c:pt idx="275">
                  <c:v>27</c:v>
                </c:pt>
                <c:pt idx="276">
                  <c:v>27</c:v>
                </c:pt>
                <c:pt idx="277">
                  <c:v>27</c:v>
                </c:pt>
                <c:pt idx="278">
                  <c:v>27</c:v>
                </c:pt>
                <c:pt idx="279">
                  <c:v>27</c:v>
                </c:pt>
                <c:pt idx="280">
                  <c:v>27</c:v>
                </c:pt>
                <c:pt idx="281">
                  <c:v>27</c:v>
                </c:pt>
                <c:pt idx="282">
                  <c:v>27</c:v>
                </c:pt>
                <c:pt idx="283">
                  <c:v>27</c:v>
                </c:pt>
                <c:pt idx="284">
                  <c:v>27</c:v>
                </c:pt>
                <c:pt idx="285">
                  <c:v>27</c:v>
                </c:pt>
                <c:pt idx="286">
                  <c:v>27</c:v>
                </c:pt>
                <c:pt idx="287">
                  <c:v>27</c:v>
                </c:pt>
                <c:pt idx="288">
                  <c:v>27</c:v>
                </c:pt>
                <c:pt idx="289">
                  <c:v>27</c:v>
                </c:pt>
                <c:pt idx="290">
                  <c:v>27</c:v>
                </c:pt>
                <c:pt idx="291">
                  <c:v>27</c:v>
                </c:pt>
                <c:pt idx="292">
                  <c:v>27</c:v>
                </c:pt>
                <c:pt idx="293">
                  <c:v>27</c:v>
                </c:pt>
                <c:pt idx="294">
                  <c:v>27</c:v>
                </c:pt>
                <c:pt idx="295">
                  <c:v>27</c:v>
                </c:pt>
                <c:pt idx="296">
                  <c:v>27</c:v>
                </c:pt>
                <c:pt idx="297">
                  <c:v>27</c:v>
                </c:pt>
                <c:pt idx="298">
                  <c:v>27</c:v>
                </c:pt>
                <c:pt idx="299">
                  <c:v>27</c:v>
                </c:pt>
                <c:pt idx="300">
                  <c:v>27</c:v>
                </c:pt>
                <c:pt idx="301">
                  <c:v>27</c:v>
                </c:pt>
                <c:pt idx="302">
                  <c:v>27</c:v>
                </c:pt>
                <c:pt idx="303">
                  <c:v>27</c:v>
                </c:pt>
                <c:pt idx="304">
                  <c:v>27</c:v>
                </c:pt>
                <c:pt idx="305">
                  <c:v>27</c:v>
                </c:pt>
                <c:pt idx="306">
                  <c:v>27</c:v>
                </c:pt>
                <c:pt idx="307">
                  <c:v>27</c:v>
                </c:pt>
                <c:pt idx="308">
                  <c:v>27</c:v>
                </c:pt>
                <c:pt idx="309">
                  <c:v>27</c:v>
                </c:pt>
                <c:pt idx="310">
                  <c:v>27</c:v>
                </c:pt>
                <c:pt idx="311">
                  <c:v>27</c:v>
                </c:pt>
                <c:pt idx="312">
                  <c:v>27</c:v>
                </c:pt>
                <c:pt idx="313">
                  <c:v>27</c:v>
                </c:pt>
                <c:pt idx="314">
                  <c:v>27</c:v>
                </c:pt>
                <c:pt idx="315">
                  <c:v>27</c:v>
                </c:pt>
                <c:pt idx="316">
                  <c:v>27</c:v>
                </c:pt>
                <c:pt idx="317">
                  <c:v>27</c:v>
                </c:pt>
                <c:pt idx="318">
                  <c:v>27</c:v>
                </c:pt>
                <c:pt idx="319">
                  <c:v>27</c:v>
                </c:pt>
                <c:pt idx="320">
                  <c:v>27</c:v>
                </c:pt>
                <c:pt idx="321">
                  <c:v>27</c:v>
                </c:pt>
                <c:pt idx="322">
                  <c:v>27</c:v>
                </c:pt>
                <c:pt idx="323">
                  <c:v>27</c:v>
                </c:pt>
                <c:pt idx="324">
                  <c:v>27</c:v>
                </c:pt>
                <c:pt idx="325">
                  <c:v>27</c:v>
                </c:pt>
                <c:pt idx="326">
                  <c:v>27</c:v>
                </c:pt>
                <c:pt idx="327">
                  <c:v>27</c:v>
                </c:pt>
                <c:pt idx="328">
                  <c:v>27</c:v>
                </c:pt>
                <c:pt idx="329">
                  <c:v>27</c:v>
                </c:pt>
                <c:pt idx="330">
                  <c:v>27</c:v>
                </c:pt>
                <c:pt idx="331">
                  <c:v>27</c:v>
                </c:pt>
                <c:pt idx="332">
                  <c:v>27</c:v>
                </c:pt>
                <c:pt idx="333">
                  <c:v>27</c:v>
                </c:pt>
                <c:pt idx="334">
                  <c:v>27</c:v>
                </c:pt>
                <c:pt idx="335">
                  <c:v>27</c:v>
                </c:pt>
                <c:pt idx="336">
                  <c:v>27</c:v>
                </c:pt>
                <c:pt idx="337">
                  <c:v>27</c:v>
                </c:pt>
                <c:pt idx="338">
                  <c:v>27</c:v>
                </c:pt>
                <c:pt idx="339">
                  <c:v>27</c:v>
                </c:pt>
                <c:pt idx="340">
                  <c:v>27</c:v>
                </c:pt>
                <c:pt idx="341">
                  <c:v>27</c:v>
                </c:pt>
                <c:pt idx="342">
                  <c:v>27</c:v>
                </c:pt>
                <c:pt idx="343">
                  <c:v>27</c:v>
                </c:pt>
                <c:pt idx="344">
                  <c:v>27</c:v>
                </c:pt>
                <c:pt idx="345">
                  <c:v>27</c:v>
                </c:pt>
                <c:pt idx="346">
                  <c:v>27</c:v>
                </c:pt>
                <c:pt idx="347">
                  <c:v>27</c:v>
                </c:pt>
                <c:pt idx="348">
                  <c:v>27</c:v>
                </c:pt>
                <c:pt idx="349">
                  <c:v>27</c:v>
                </c:pt>
                <c:pt idx="350">
                  <c:v>28</c:v>
                </c:pt>
                <c:pt idx="351">
                  <c:v>28</c:v>
                </c:pt>
                <c:pt idx="352">
                  <c:v>28</c:v>
                </c:pt>
                <c:pt idx="353">
                  <c:v>28</c:v>
                </c:pt>
                <c:pt idx="354">
                  <c:v>28</c:v>
                </c:pt>
                <c:pt idx="355">
                  <c:v>28</c:v>
                </c:pt>
                <c:pt idx="356">
                  <c:v>28</c:v>
                </c:pt>
                <c:pt idx="357">
                  <c:v>28</c:v>
                </c:pt>
                <c:pt idx="358">
                  <c:v>28</c:v>
                </c:pt>
                <c:pt idx="359">
                  <c:v>28</c:v>
                </c:pt>
                <c:pt idx="360">
                  <c:v>28</c:v>
                </c:pt>
                <c:pt idx="361">
                  <c:v>28</c:v>
                </c:pt>
                <c:pt idx="362">
                  <c:v>28</c:v>
                </c:pt>
                <c:pt idx="363">
                  <c:v>28</c:v>
                </c:pt>
                <c:pt idx="364">
                  <c:v>28</c:v>
                </c:pt>
                <c:pt idx="365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11-0844-8364-DA0F5B1CFBCA}"/>
            </c:ext>
          </c:extLst>
        </c:ser>
        <c:ser>
          <c:idx val="7"/>
          <c:order val="7"/>
          <c:tx>
            <c:strRef>
              <c:f>List1!$L$4</c:f>
              <c:strCache>
                <c:ptCount val="1"/>
                <c:pt idx="0">
                  <c:v>2006</c:v>
                </c:pt>
              </c:strCache>
            </c:strRef>
          </c:tx>
          <c:spPr>
            <a:ln w="28800">
              <a:solidFill>
                <a:srgbClr val="FF0000">
                  <a:alpha val="5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List1!$L$5:$L$370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1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3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5</c:v>
                </c:pt>
                <c:pt idx="130">
                  <c:v>5</c:v>
                </c:pt>
                <c:pt idx="131">
                  <c:v>5</c:v>
                </c:pt>
                <c:pt idx="132">
                  <c:v>5</c:v>
                </c:pt>
                <c:pt idx="133">
                  <c:v>5</c:v>
                </c:pt>
                <c:pt idx="134">
                  <c:v>5</c:v>
                </c:pt>
                <c:pt idx="135">
                  <c:v>5</c:v>
                </c:pt>
                <c:pt idx="136">
                  <c:v>6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8</c:v>
                </c:pt>
                <c:pt idx="141">
                  <c:v>8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8</c:v>
                </c:pt>
                <c:pt idx="160">
                  <c:v>8</c:v>
                </c:pt>
                <c:pt idx="161">
                  <c:v>8</c:v>
                </c:pt>
                <c:pt idx="162">
                  <c:v>8</c:v>
                </c:pt>
                <c:pt idx="163">
                  <c:v>8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9</c:v>
                </c:pt>
                <c:pt idx="168">
                  <c:v>10</c:v>
                </c:pt>
                <c:pt idx="169">
                  <c:v>10</c:v>
                </c:pt>
                <c:pt idx="170">
                  <c:v>11</c:v>
                </c:pt>
                <c:pt idx="171">
                  <c:v>12</c:v>
                </c:pt>
                <c:pt idx="172">
                  <c:v>13</c:v>
                </c:pt>
                <c:pt idx="173">
                  <c:v>13</c:v>
                </c:pt>
                <c:pt idx="174">
                  <c:v>13</c:v>
                </c:pt>
                <c:pt idx="175">
                  <c:v>13</c:v>
                </c:pt>
                <c:pt idx="176">
                  <c:v>13</c:v>
                </c:pt>
                <c:pt idx="177">
                  <c:v>13</c:v>
                </c:pt>
                <c:pt idx="178">
                  <c:v>14</c:v>
                </c:pt>
                <c:pt idx="179">
                  <c:v>14</c:v>
                </c:pt>
                <c:pt idx="180">
                  <c:v>14</c:v>
                </c:pt>
                <c:pt idx="181">
                  <c:v>14</c:v>
                </c:pt>
                <c:pt idx="182">
                  <c:v>14</c:v>
                </c:pt>
                <c:pt idx="183">
                  <c:v>14</c:v>
                </c:pt>
                <c:pt idx="184">
                  <c:v>14</c:v>
                </c:pt>
                <c:pt idx="185">
                  <c:v>14</c:v>
                </c:pt>
                <c:pt idx="186">
                  <c:v>14</c:v>
                </c:pt>
                <c:pt idx="187">
                  <c:v>15</c:v>
                </c:pt>
                <c:pt idx="188">
                  <c:v>15</c:v>
                </c:pt>
                <c:pt idx="189">
                  <c:v>16</c:v>
                </c:pt>
                <c:pt idx="190">
                  <c:v>16</c:v>
                </c:pt>
                <c:pt idx="191">
                  <c:v>16</c:v>
                </c:pt>
                <c:pt idx="192">
                  <c:v>17</c:v>
                </c:pt>
                <c:pt idx="193">
                  <c:v>18</c:v>
                </c:pt>
                <c:pt idx="194">
                  <c:v>19</c:v>
                </c:pt>
                <c:pt idx="195">
                  <c:v>19</c:v>
                </c:pt>
                <c:pt idx="196">
                  <c:v>19</c:v>
                </c:pt>
                <c:pt idx="197">
                  <c:v>19</c:v>
                </c:pt>
                <c:pt idx="198">
                  <c:v>19</c:v>
                </c:pt>
                <c:pt idx="199">
                  <c:v>19</c:v>
                </c:pt>
                <c:pt idx="200">
                  <c:v>19</c:v>
                </c:pt>
                <c:pt idx="201">
                  <c:v>19</c:v>
                </c:pt>
                <c:pt idx="202">
                  <c:v>20</c:v>
                </c:pt>
                <c:pt idx="203">
                  <c:v>20</c:v>
                </c:pt>
                <c:pt idx="204">
                  <c:v>21</c:v>
                </c:pt>
                <c:pt idx="205">
                  <c:v>21</c:v>
                </c:pt>
                <c:pt idx="206">
                  <c:v>21</c:v>
                </c:pt>
                <c:pt idx="207">
                  <c:v>21</c:v>
                </c:pt>
                <c:pt idx="208">
                  <c:v>22</c:v>
                </c:pt>
                <c:pt idx="209">
                  <c:v>23</c:v>
                </c:pt>
                <c:pt idx="210">
                  <c:v>24</c:v>
                </c:pt>
                <c:pt idx="211">
                  <c:v>24</c:v>
                </c:pt>
                <c:pt idx="212">
                  <c:v>25</c:v>
                </c:pt>
                <c:pt idx="213">
                  <c:v>25</c:v>
                </c:pt>
                <c:pt idx="214">
                  <c:v>25</c:v>
                </c:pt>
                <c:pt idx="215">
                  <c:v>25</c:v>
                </c:pt>
                <c:pt idx="216">
                  <c:v>25</c:v>
                </c:pt>
                <c:pt idx="217">
                  <c:v>25</c:v>
                </c:pt>
                <c:pt idx="218">
                  <c:v>25</c:v>
                </c:pt>
                <c:pt idx="219">
                  <c:v>25</c:v>
                </c:pt>
                <c:pt idx="220">
                  <c:v>25</c:v>
                </c:pt>
                <c:pt idx="221">
                  <c:v>25</c:v>
                </c:pt>
                <c:pt idx="222">
                  <c:v>25</c:v>
                </c:pt>
                <c:pt idx="223">
                  <c:v>25</c:v>
                </c:pt>
                <c:pt idx="224">
                  <c:v>25</c:v>
                </c:pt>
                <c:pt idx="225">
                  <c:v>26</c:v>
                </c:pt>
                <c:pt idx="226">
                  <c:v>26</c:v>
                </c:pt>
                <c:pt idx="227">
                  <c:v>26</c:v>
                </c:pt>
                <c:pt idx="228">
                  <c:v>26</c:v>
                </c:pt>
                <c:pt idx="229">
                  <c:v>26</c:v>
                </c:pt>
                <c:pt idx="230">
                  <c:v>26</c:v>
                </c:pt>
                <c:pt idx="231">
                  <c:v>26</c:v>
                </c:pt>
                <c:pt idx="232">
                  <c:v>27</c:v>
                </c:pt>
                <c:pt idx="233">
                  <c:v>27</c:v>
                </c:pt>
                <c:pt idx="234">
                  <c:v>27</c:v>
                </c:pt>
                <c:pt idx="235">
                  <c:v>27</c:v>
                </c:pt>
                <c:pt idx="236">
                  <c:v>27</c:v>
                </c:pt>
                <c:pt idx="237">
                  <c:v>27</c:v>
                </c:pt>
                <c:pt idx="238">
                  <c:v>28</c:v>
                </c:pt>
                <c:pt idx="239">
                  <c:v>29</c:v>
                </c:pt>
                <c:pt idx="240">
                  <c:v>29</c:v>
                </c:pt>
                <c:pt idx="241">
                  <c:v>29</c:v>
                </c:pt>
                <c:pt idx="242">
                  <c:v>29</c:v>
                </c:pt>
                <c:pt idx="243">
                  <c:v>29</c:v>
                </c:pt>
                <c:pt idx="244">
                  <c:v>29</c:v>
                </c:pt>
                <c:pt idx="245">
                  <c:v>29</c:v>
                </c:pt>
                <c:pt idx="246">
                  <c:v>29</c:v>
                </c:pt>
                <c:pt idx="247">
                  <c:v>29</c:v>
                </c:pt>
                <c:pt idx="248">
                  <c:v>29</c:v>
                </c:pt>
                <c:pt idx="249">
                  <c:v>29</c:v>
                </c:pt>
                <c:pt idx="250">
                  <c:v>29</c:v>
                </c:pt>
                <c:pt idx="251">
                  <c:v>29</c:v>
                </c:pt>
                <c:pt idx="252">
                  <c:v>29</c:v>
                </c:pt>
                <c:pt idx="253">
                  <c:v>29</c:v>
                </c:pt>
                <c:pt idx="254">
                  <c:v>29</c:v>
                </c:pt>
                <c:pt idx="255">
                  <c:v>29</c:v>
                </c:pt>
                <c:pt idx="256">
                  <c:v>29</c:v>
                </c:pt>
                <c:pt idx="257">
                  <c:v>29</c:v>
                </c:pt>
                <c:pt idx="258">
                  <c:v>29</c:v>
                </c:pt>
                <c:pt idx="259">
                  <c:v>29</c:v>
                </c:pt>
                <c:pt idx="260">
                  <c:v>29</c:v>
                </c:pt>
                <c:pt idx="261">
                  <c:v>29</c:v>
                </c:pt>
                <c:pt idx="262">
                  <c:v>29</c:v>
                </c:pt>
                <c:pt idx="263">
                  <c:v>29</c:v>
                </c:pt>
                <c:pt idx="264">
                  <c:v>29</c:v>
                </c:pt>
                <c:pt idx="265">
                  <c:v>29</c:v>
                </c:pt>
                <c:pt idx="266">
                  <c:v>29</c:v>
                </c:pt>
                <c:pt idx="267">
                  <c:v>29</c:v>
                </c:pt>
                <c:pt idx="268">
                  <c:v>29</c:v>
                </c:pt>
                <c:pt idx="269">
                  <c:v>29</c:v>
                </c:pt>
                <c:pt idx="270">
                  <c:v>29</c:v>
                </c:pt>
                <c:pt idx="271">
                  <c:v>29</c:v>
                </c:pt>
                <c:pt idx="272">
                  <c:v>29</c:v>
                </c:pt>
                <c:pt idx="273">
                  <c:v>29</c:v>
                </c:pt>
                <c:pt idx="274">
                  <c:v>30</c:v>
                </c:pt>
                <c:pt idx="275">
                  <c:v>30</c:v>
                </c:pt>
                <c:pt idx="276">
                  <c:v>30</c:v>
                </c:pt>
                <c:pt idx="277">
                  <c:v>30</c:v>
                </c:pt>
                <c:pt idx="278">
                  <c:v>30</c:v>
                </c:pt>
                <c:pt idx="279">
                  <c:v>30</c:v>
                </c:pt>
                <c:pt idx="280">
                  <c:v>30</c:v>
                </c:pt>
                <c:pt idx="281">
                  <c:v>30</c:v>
                </c:pt>
                <c:pt idx="282">
                  <c:v>30</c:v>
                </c:pt>
                <c:pt idx="283">
                  <c:v>30</c:v>
                </c:pt>
                <c:pt idx="284">
                  <c:v>30</c:v>
                </c:pt>
                <c:pt idx="285">
                  <c:v>30</c:v>
                </c:pt>
                <c:pt idx="286">
                  <c:v>30</c:v>
                </c:pt>
                <c:pt idx="287">
                  <c:v>30</c:v>
                </c:pt>
                <c:pt idx="288">
                  <c:v>30</c:v>
                </c:pt>
                <c:pt idx="289">
                  <c:v>30</c:v>
                </c:pt>
                <c:pt idx="290">
                  <c:v>30</c:v>
                </c:pt>
                <c:pt idx="291">
                  <c:v>30</c:v>
                </c:pt>
                <c:pt idx="292">
                  <c:v>30</c:v>
                </c:pt>
                <c:pt idx="293">
                  <c:v>30</c:v>
                </c:pt>
                <c:pt idx="294">
                  <c:v>30</c:v>
                </c:pt>
                <c:pt idx="295">
                  <c:v>30</c:v>
                </c:pt>
                <c:pt idx="296">
                  <c:v>30</c:v>
                </c:pt>
                <c:pt idx="297">
                  <c:v>30</c:v>
                </c:pt>
                <c:pt idx="298">
                  <c:v>30</c:v>
                </c:pt>
                <c:pt idx="299">
                  <c:v>30</c:v>
                </c:pt>
                <c:pt idx="300">
                  <c:v>30</c:v>
                </c:pt>
                <c:pt idx="301">
                  <c:v>30</c:v>
                </c:pt>
                <c:pt idx="302">
                  <c:v>31</c:v>
                </c:pt>
                <c:pt idx="303">
                  <c:v>31</c:v>
                </c:pt>
                <c:pt idx="304">
                  <c:v>31</c:v>
                </c:pt>
                <c:pt idx="305">
                  <c:v>31</c:v>
                </c:pt>
                <c:pt idx="306">
                  <c:v>31</c:v>
                </c:pt>
                <c:pt idx="307">
                  <c:v>31</c:v>
                </c:pt>
                <c:pt idx="308">
                  <c:v>31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  <c:pt idx="343">
                  <c:v>31</c:v>
                </c:pt>
                <c:pt idx="344">
                  <c:v>31</c:v>
                </c:pt>
                <c:pt idx="345">
                  <c:v>31</c:v>
                </c:pt>
                <c:pt idx="346">
                  <c:v>31</c:v>
                </c:pt>
                <c:pt idx="347">
                  <c:v>31</c:v>
                </c:pt>
                <c:pt idx="348">
                  <c:v>31</c:v>
                </c:pt>
                <c:pt idx="349">
                  <c:v>31</c:v>
                </c:pt>
                <c:pt idx="350">
                  <c:v>31</c:v>
                </c:pt>
                <c:pt idx="351">
                  <c:v>31</c:v>
                </c:pt>
                <c:pt idx="352">
                  <c:v>31</c:v>
                </c:pt>
                <c:pt idx="353">
                  <c:v>31</c:v>
                </c:pt>
                <c:pt idx="354">
                  <c:v>31</c:v>
                </c:pt>
                <c:pt idx="355">
                  <c:v>31</c:v>
                </c:pt>
                <c:pt idx="356">
                  <c:v>31</c:v>
                </c:pt>
                <c:pt idx="357">
                  <c:v>31</c:v>
                </c:pt>
                <c:pt idx="358">
                  <c:v>31</c:v>
                </c:pt>
                <c:pt idx="359">
                  <c:v>31</c:v>
                </c:pt>
                <c:pt idx="360">
                  <c:v>31</c:v>
                </c:pt>
                <c:pt idx="361">
                  <c:v>31</c:v>
                </c:pt>
                <c:pt idx="362">
                  <c:v>31</c:v>
                </c:pt>
                <c:pt idx="363">
                  <c:v>31</c:v>
                </c:pt>
                <c:pt idx="364">
                  <c:v>31</c:v>
                </c:pt>
                <c:pt idx="365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011-0844-8364-DA0F5B1CFBCA}"/>
            </c:ext>
          </c:extLst>
        </c:ser>
        <c:ser>
          <c:idx val="8"/>
          <c:order val="8"/>
          <c:tx>
            <c:strRef>
              <c:f>List1!$M$4</c:f>
              <c:strCache>
                <c:ptCount val="1"/>
                <c:pt idx="0">
                  <c:v>2007</c:v>
                </c:pt>
              </c:strCache>
            </c:strRef>
          </c:tx>
          <c:spPr>
            <a:ln w="28800">
              <a:solidFill>
                <a:srgbClr val="BF0041">
                  <a:alpha val="5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List1!$M$5:$M$370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5</c:v>
                </c:pt>
                <c:pt idx="143">
                  <c:v>5</c:v>
                </c:pt>
                <c:pt idx="144">
                  <c:v>5</c:v>
                </c:pt>
                <c:pt idx="145">
                  <c:v>6</c:v>
                </c:pt>
                <c:pt idx="146">
                  <c:v>7</c:v>
                </c:pt>
                <c:pt idx="147">
                  <c:v>8</c:v>
                </c:pt>
                <c:pt idx="148">
                  <c:v>9</c:v>
                </c:pt>
                <c:pt idx="149">
                  <c:v>9</c:v>
                </c:pt>
                <c:pt idx="150">
                  <c:v>9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9</c:v>
                </c:pt>
                <c:pt idx="156">
                  <c:v>9</c:v>
                </c:pt>
                <c:pt idx="157">
                  <c:v>10</c:v>
                </c:pt>
                <c:pt idx="158">
                  <c:v>11</c:v>
                </c:pt>
                <c:pt idx="159">
                  <c:v>11</c:v>
                </c:pt>
                <c:pt idx="160">
                  <c:v>12</c:v>
                </c:pt>
                <c:pt idx="161">
                  <c:v>12</c:v>
                </c:pt>
                <c:pt idx="162">
                  <c:v>12</c:v>
                </c:pt>
                <c:pt idx="163">
                  <c:v>13</c:v>
                </c:pt>
                <c:pt idx="164">
                  <c:v>13</c:v>
                </c:pt>
                <c:pt idx="165">
                  <c:v>14</c:v>
                </c:pt>
                <c:pt idx="166">
                  <c:v>15</c:v>
                </c:pt>
                <c:pt idx="167">
                  <c:v>15</c:v>
                </c:pt>
                <c:pt idx="168">
                  <c:v>15</c:v>
                </c:pt>
                <c:pt idx="169">
                  <c:v>15</c:v>
                </c:pt>
                <c:pt idx="170">
                  <c:v>15</c:v>
                </c:pt>
                <c:pt idx="171">
                  <c:v>15</c:v>
                </c:pt>
                <c:pt idx="172">
                  <c:v>16</c:v>
                </c:pt>
                <c:pt idx="173">
                  <c:v>16</c:v>
                </c:pt>
                <c:pt idx="174">
                  <c:v>16</c:v>
                </c:pt>
                <c:pt idx="175">
                  <c:v>16</c:v>
                </c:pt>
                <c:pt idx="176">
                  <c:v>16</c:v>
                </c:pt>
                <c:pt idx="177">
                  <c:v>16</c:v>
                </c:pt>
                <c:pt idx="178">
                  <c:v>16</c:v>
                </c:pt>
                <c:pt idx="179">
                  <c:v>16</c:v>
                </c:pt>
                <c:pt idx="180">
                  <c:v>16</c:v>
                </c:pt>
                <c:pt idx="181">
                  <c:v>16</c:v>
                </c:pt>
                <c:pt idx="182">
                  <c:v>17</c:v>
                </c:pt>
                <c:pt idx="183">
                  <c:v>18</c:v>
                </c:pt>
                <c:pt idx="184">
                  <c:v>18</c:v>
                </c:pt>
                <c:pt idx="185">
                  <c:v>18</c:v>
                </c:pt>
                <c:pt idx="186">
                  <c:v>18</c:v>
                </c:pt>
                <c:pt idx="187">
                  <c:v>18</c:v>
                </c:pt>
                <c:pt idx="188">
                  <c:v>18</c:v>
                </c:pt>
                <c:pt idx="189">
                  <c:v>18</c:v>
                </c:pt>
                <c:pt idx="190">
                  <c:v>19</c:v>
                </c:pt>
                <c:pt idx="191">
                  <c:v>19</c:v>
                </c:pt>
                <c:pt idx="192">
                  <c:v>20</c:v>
                </c:pt>
                <c:pt idx="193">
                  <c:v>20</c:v>
                </c:pt>
                <c:pt idx="194">
                  <c:v>20</c:v>
                </c:pt>
                <c:pt idx="195">
                  <c:v>20</c:v>
                </c:pt>
                <c:pt idx="196">
                  <c:v>20</c:v>
                </c:pt>
                <c:pt idx="197">
                  <c:v>20</c:v>
                </c:pt>
                <c:pt idx="198">
                  <c:v>20</c:v>
                </c:pt>
                <c:pt idx="199">
                  <c:v>20</c:v>
                </c:pt>
                <c:pt idx="200">
                  <c:v>21</c:v>
                </c:pt>
                <c:pt idx="201">
                  <c:v>22</c:v>
                </c:pt>
                <c:pt idx="202">
                  <c:v>22</c:v>
                </c:pt>
                <c:pt idx="203">
                  <c:v>23</c:v>
                </c:pt>
                <c:pt idx="204">
                  <c:v>23</c:v>
                </c:pt>
                <c:pt idx="205">
                  <c:v>23</c:v>
                </c:pt>
                <c:pt idx="206">
                  <c:v>23</c:v>
                </c:pt>
                <c:pt idx="207">
                  <c:v>23</c:v>
                </c:pt>
                <c:pt idx="208">
                  <c:v>23</c:v>
                </c:pt>
                <c:pt idx="209">
                  <c:v>23</c:v>
                </c:pt>
                <c:pt idx="210">
                  <c:v>23</c:v>
                </c:pt>
                <c:pt idx="211">
                  <c:v>23</c:v>
                </c:pt>
                <c:pt idx="212">
                  <c:v>23</c:v>
                </c:pt>
                <c:pt idx="213">
                  <c:v>23</c:v>
                </c:pt>
                <c:pt idx="214">
                  <c:v>23</c:v>
                </c:pt>
                <c:pt idx="215">
                  <c:v>23</c:v>
                </c:pt>
                <c:pt idx="216">
                  <c:v>23</c:v>
                </c:pt>
                <c:pt idx="217">
                  <c:v>23</c:v>
                </c:pt>
                <c:pt idx="218">
                  <c:v>23</c:v>
                </c:pt>
                <c:pt idx="219">
                  <c:v>24</c:v>
                </c:pt>
                <c:pt idx="220">
                  <c:v>25</c:v>
                </c:pt>
                <c:pt idx="221">
                  <c:v>26</c:v>
                </c:pt>
                <c:pt idx="222">
                  <c:v>27</c:v>
                </c:pt>
                <c:pt idx="223">
                  <c:v>27</c:v>
                </c:pt>
                <c:pt idx="224">
                  <c:v>27</c:v>
                </c:pt>
                <c:pt idx="225">
                  <c:v>27</c:v>
                </c:pt>
                <c:pt idx="226">
                  <c:v>27</c:v>
                </c:pt>
                <c:pt idx="227">
                  <c:v>27</c:v>
                </c:pt>
                <c:pt idx="228">
                  <c:v>27</c:v>
                </c:pt>
                <c:pt idx="229">
                  <c:v>27</c:v>
                </c:pt>
                <c:pt idx="230">
                  <c:v>27</c:v>
                </c:pt>
                <c:pt idx="231">
                  <c:v>28</c:v>
                </c:pt>
                <c:pt idx="232">
                  <c:v>28</c:v>
                </c:pt>
                <c:pt idx="233">
                  <c:v>29</c:v>
                </c:pt>
                <c:pt idx="234">
                  <c:v>30</c:v>
                </c:pt>
                <c:pt idx="235">
                  <c:v>31</c:v>
                </c:pt>
                <c:pt idx="236">
                  <c:v>32</c:v>
                </c:pt>
                <c:pt idx="237">
                  <c:v>32</c:v>
                </c:pt>
                <c:pt idx="238">
                  <c:v>32</c:v>
                </c:pt>
                <c:pt idx="239">
                  <c:v>32</c:v>
                </c:pt>
                <c:pt idx="240">
                  <c:v>32</c:v>
                </c:pt>
                <c:pt idx="241">
                  <c:v>32</c:v>
                </c:pt>
                <c:pt idx="242">
                  <c:v>32</c:v>
                </c:pt>
                <c:pt idx="243">
                  <c:v>32</c:v>
                </c:pt>
                <c:pt idx="244">
                  <c:v>32</c:v>
                </c:pt>
                <c:pt idx="245">
                  <c:v>32</c:v>
                </c:pt>
                <c:pt idx="246">
                  <c:v>32</c:v>
                </c:pt>
                <c:pt idx="247">
                  <c:v>32</c:v>
                </c:pt>
                <c:pt idx="248">
                  <c:v>32</c:v>
                </c:pt>
                <c:pt idx="249">
                  <c:v>32</c:v>
                </c:pt>
                <c:pt idx="250">
                  <c:v>32</c:v>
                </c:pt>
                <c:pt idx="251">
                  <c:v>32</c:v>
                </c:pt>
                <c:pt idx="252">
                  <c:v>32</c:v>
                </c:pt>
                <c:pt idx="253">
                  <c:v>32</c:v>
                </c:pt>
                <c:pt idx="254">
                  <c:v>32</c:v>
                </c:pt>
                <c:pt idx="255">
                  <c:v>32</c:v>
                </c:pt>
                <c:pt idx="256">
                  <c:v>32</c:v>
                </c:pt>
                <c:pt idx="257">
                  <c:v>32</c:v>
                </c:pt>
                <c:pt idx="258">
                  <c:v>32</c:v>
                </c:pt>
                <c:pt idx="259">
                  <c:v>32</c:v>
                </c:pt>
                <c:pt idx="260">
                  <c:v>32</c:v>
                </c:pt>
                <c:pt idx="261">
                  <c:v>32</c:v>
                </c:pt>
                <c:pt idx="262">
                  <c:v>32</c:v>
                </c:pt>
                <c:pt idx="263">
                  <c:v>32</c:v>
                </c:pt>
                <c:pt idx="264">
                  <c:v>32</c:v>
                </c:pt>
                <c:pt idx="265">
                  <c:v>32</c:v>
                </c:pt>
                <c:pt idx="266">
                  <c:v>32</c:v>
                </c:pt>
                <c:pt idx="267">
                  <c:v>32</c:v>
                </c:pt>
                <c:pt idx="268">
                  <c:v>32</c:v>
                </c:pt>
                <c:pt idx="269">
                  <c:v>32</c:v>
                </c:pt>
                <c:pt idx="270">
                  <c:v>32</c:v>
                </c:pt>
                <c:pt idx="271">
                  <c:v>32</c:v>
                </c:pt>
                <c:pt idx="272">
                  <c:v>32</c:v>
                </c:pt>
                <c:pt idx="273">
                  <c:v>32</c:v>
                </c:pt>
                <c:pt idx="274">
                  <c:v>32</c:v>
                </c:pt>
                <c:pt idx="275">
                  <c:v>32</c:v>
                </c:pt>
                <c:pt idx="276">
                  <c:v>32</c:v>
                </c:pt>
                <c:pt idx="277">
                  <c:v>32</c:v>
                </c:pt>
                <c:pt idx="278">
                  <c:v>32</c:v>
                </c:pt>
                <c:pt idx="279">
                  <c:v>32</c:v>
                </c:pt>
                <c:pt idx="280">
                  <c:v>32</c:v>
                </c:pt>
                <c:pt idx="281">
                  <c:v>32</c:v>
                </c:pt>
                <c:pt idx="282">
                  <c:v>32</c:v>
                </c:pt>
                <c:pt idx="283">
                  <c:v>32</c:v>
                </c:pt>
                <c:pt idx="284">
                  <c:v>32</c:v>
                </c:pt>
                <c:pt idx="285">
                  <c:v>32</c:v>
                </c:pt>
                <c:pt idx="286">
                  <c:v>32</c:v>
                </c:pt>
                <c:pt idx="287">
                  <c:v>32</c:v>
                </c:pt>
                <c:pt idx="288">
                  <c:v>32</c:v>
                </c:pt>
                <c:pt idx="289">
                  <c:v>32</c:v>
                </c:pt>
                <c:pt idx="290">
                  <c:v>32</c:v>
                </c:pt>
                <c:pt idx="291">
                  <c:v>32</c:v>
                </c:pt>
                <c:pt idx="292">
                  <c:v>32</c:v>
                </c:pt>
                <c:pt idx="293">
                  <c:v>32</c:v>
                </c:pt>
                <c:pt idx="294">
                  <c:v>32</c:v>
                </c:pt>
                <c:pt idx="295">
                  <c:v>32</c:v>
                </c:pt>
                <c:pt idx="296">
                  <c:v>32</c:v>
                </c:pt>
                <c:pt idx="297">
                  <c:v>32</c:v>
                </c:pt>
                <c:pt idx="298">
                  <c:v>32</c:v>
                </c:pt>
                <c:pt idx="299">
                  <c:v>32</c:v>
                </c:pt>
                <c:pt idx="300">
                  <c:v>32</c:v>
                </c:pt>
                <c:pt idx="301">
                  <c:v>32</c:v>
                </c:pt>
                <c:pt idx="302">
                  <c:v>32</c:v>
                </c:pt>
                <c:pt idx="303">
                  <c:v>32</c:v>
                </c:pt>
                <c:pt idx="304">
                  <c:v>32</c:v>
                </c:pt>
                <c:pt idx="305">
                  <c:v>32</c:v>
                </c:pt>
                <c:pt idx="306">
                  <c:v>32</c:v>
                </c:pt>
                <c:pt idx="307">
                  <c:v>32</c:v>
                </c:pt>
                <c:pt idx="308">
                  <c:v>32</c:v>
                </c:pt>
                <c:pt idx="309">
                  <c:v>32</c:v>
                </c:pt>
                <c:pt idx="310">
                  <c:v>32</c:v>
                </c:pt>
                <c:pt idx="311">
                  <c:v>32</c:v>
                </c:pt>
                <c:pt idx="312">
                  <c:v>32</c:v>
                </c:pt>
                <c:pt idx="313">
                  <c:v>32</c:v>
                </c:pt>
                <c:pt idx="314">
                  <c:v>32</c:v>
                </c:pt>
                <c:pt idx="315">
                  <c:v>32</c:v>
                </c:pt>
                <c:pt idx="316">
                  <c:v>32</c:v>
                </c:pt>
                <c:pt idx="317">
                  <c:v>32</c:v>
                </c:pt>
                <c:pt idx="318">
                  <c:v>32</c:v>
                </c:pt>
                <c:pt idx="319">
                  <c:v>32</c:v>
                </c:pt>
                <c:pt idx="320">
                  <c:v>32</c:v>
                </c:pt>
                <c:pt idx="321">
                  <c:v>32</c:v>
                </c:pt>
                <c:pt idx="322">
                  <c:v>32</c:v>
                </c:pt>
                <c:pt idx="323">
                  <c:v>32</c:v>
                </c:pt>
                <c:pt idx="324">
                  <c:v>32</c:v>
                </c:pt>
                <c:pt idx="325">
                  <c:v>32</c:v>
                </c:pt>
                <c:pt idx="326">
                  <c:v>32</c:v>
                </c:pt>
                <c:pt idx="327">
                  <c:v>32</c:v>
                </c:pt>
                <c:pt idx="328">
                  <c:v>32</c:v>
                </c:pt>
                <c:pt idx="329">
                  <c:v>32</c:v>
                </c:pt>
                <c:pt idx="330">
                  <c:v>32</c:v>
                </c:pt>
                <c:pt idx="331">
                  <c:v>32</c:v>
                </c:pt>
                <c:pt idx="332">
                  <c:v>32</c:v>
                </c:pt>
                <c:pt idx="333">
                  <c:v>32</c:v>
                </c:pt>
                <c:pt idx="334">
                  <c:v>32</c:v>
                </c:pt>
                <c:pt idx="335">
                  <c:v>32</c:v>
                </c:pt>
                <c:pt idx="336">
                  <c:v>32</c:v>
                </c:pt>
                <c:pt idx="337">
                  <c:v>33</c:v>
                </c:pt>
                <c:pt idx="338">
                  <c:v>33</c:v>
                </c:pt>
                <c:pt idx="339">
                  <c:v>33</c:v>
                </c:pt>
                <c:pt idx="340">
                  <c:v>33</c:v>
                </c:pt>
                <c:pt idx="341">
                  <c:v>33</c:v>
                </c:pt>
                <c:pt idx="342">
                  <c:v>33</c:v>
                </c:pt>
                <c:pt idx="343">
                  <c:v>33</c:v>
                </c:pt>
                <c:pt idx="344">
                  <c:v>33</c:v>
                </c:pt>
                <c:pt idx="345">
                  <c:v>33</c:v>
                </c:pt>
                <c:pt idx="346">
                  <c:v>33</c:v>
                </c:pt>
                <c:pt idx="347">
                  <c:v>33</c:v>
                </c:pt>
                <c:pt idx="348">
                  <c:v>33</c:v>
                </c:pt>
                <c:pt idx="349">
                  <c:v>33</c:v>
                </c:pt>
                <c:pt idx="350">
                  <c:v>33</c:v>
                </c:pt>
                <c:pt idx="351">
                  <c:v>33</c:v>
                </c:pt>
                <c:pt idx="352">
                  <c:v>33</c:v>
                </c:pt>
                <c:pt idx="353">
                  <c:v>33</c:v>
                </c:pt>
                <c:pt idx="354">
                  <c:v>33</c:v>
                </c:pt>
                <c:pt idx="355">
                  <c:v>33</c:v>
                </c:pt>
                <c:pt idx="356">
                  <c:v>33</c:v>
                </c:pt>
                <c:pt idx="357">
                  <c:v>33</c:v>
                </c:pt>
                <c:pt idx="358">
                  <c:v>33</c:v>
                </c:pt>
                <c:pt idx="359">
                  <c:v>33</c:v>
                </c:pt>
                <c:pt idx="360">
                  <c:v>33</c:v>
                </c:pt>
                <c:pt idx="361">
                  <c:v>33</c:v>
                </c:pt>
                <c:pt idx="362">
                  <c:v>33</c:v>
                </c:pt>
                <c:pt idx="363">
                  <c:v>33</c:v>
                </c:pt>
                <c:pt idx="364">
                  <c:v>33</c:v>
                </c:pt>
                <c:pt idx="365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011-0844-8364-DA0F5B1CFBCA}"/>
            </c:ext>
          </c:extLst>
        </c:ser>
        <c:ser>
          <c:idx val="9"/>
          <c:order val="9"/>
          <c:tx>
            <c:strRef>
              <c:f>List1!$N$4</c:f>
              <c:strCache>
                <c:ptCount val="1"/>
                <c:pt idx="0">
                  <c:v>2008</c:v>
                </c:pt>
              </c:strCache>
            </c:strRef>
          </c:tx>
          <c:spPr>
            <a:ln w="28800">
              <a:solidFill>
                <a:srgbClr val="800080">
                  <a:alpha val="6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List1!$N$5:$N$370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5</c:v>
                </c:pt>
                <c:pt idx="127">
                  <c:v>5</c:v>
                </c:pt>
                <c:pt idx="128">
                  <c:v>5</c:v>
                </c:pt>
                <c:pt idx="129">
                  <c:v>5</c:v>
                </c:pt>
                <c:pt idx="130">
                  <c:v>5</c:v>
                </c:pt>
                <c:pt idx="131">
                  <c:v>5</c:v>
                </c:pt>
                <c:pt idx="132">
                  <c:v>5</c:v>
                </c:pt>
                <c:pt idx="133">
                  <c:v>6</c:v>
                </c:pt>
                <c:pt idx="134">
                  <c:v>7</c:v>
                </c:pt>
                <c:pt idx="135">
                  <c:v>8</c:v>
                </c:pt>
                <c:pt idx="136">
                  <c:v>9</c:v>
                </c:pt>
                <c:pt idx="137">
                  <c:v>10</c:v>
                </c:pt>
                <c:pt idx="138">
                  <c:v>10</c:v>
                </c:pt>
                <c:pt idx="139">
                  <c:v>10</c:v>
                </c:pt>
                <c:pt idx="140">
                  <c:v>10</c:v>
                </c:pt>
                <c:pt idx="141">
                  <c:v>10</c:v>
                </c:pt>
                <c:pt idx="142">
                  <c:v>10</c:v>
                </c:pt>
                <c:pt idx="143">
                  <c:v>10</c:v>
                </c:pt>
                <c:pt idx="144">
                  <c:v>10</c:v>
                </c:pt>
                <c:pt idx="145">
                  <c:v>10</c:v>
                </c:pt>
                <c:pt idx="146">
                  <c:v>10</c:v>
                </c:pt>
                <c:pt idx="147">
                  <c:v>10</c:v>
                </c:pt>
                <c:pt idx="148">
                  <c:v>10</c:v>
                </c:pt>
                <c:pt idx="149">
                  <c:v>10</c:v>
                </c:pt>
                <c:pt idx="150">
                  <c:v>10</c:v>
                </c:pt>
                <c:pt idx="151">
                  <c:v>10</c:v>
                </c:pt>
                <c:pt idx="152">
                  <c:v>11</c:v>
                </c:pt>
                <c:pt idx="153">
                  <c:v>11</c:v>
                </c:pt>
                <c:pt idx="154">
                  <c:v>11</c:v>
                </c:pt>
                <c:pt idx="155">
                  <c:v>12</c:v>
                </c:pt>
                <c:pt idx="156">
                  <c:v>12</c:v>
                </c:pt>
                <c:pt idx="157">
                  <c:v>12</c:v>
                </c:pt>
                <c:pt idx="158">
                  <c:v>13</c:v>
                </c:pt>
                <c:pt idx="159">
                  <c:v>14</c:v>
                </c:pt>
                <c:pt idx="160">
                  <c:v>15</c:v>
                </c:pt>
                <c:pt idx="161">
                  <c:v>15</c:v>
                </c:pt>
                <c:pt idx="162">
                  <c:v>15</c:v>
                </c:pt>
                <c:pt idx="163">
                  <c:v>15</c:v>
                </c:pt>
                <c:pt idx="164">
                  <c:v>15</c:v>
                </c:pt>
                <c:pt idx="165">
                  <c:v>15</c:v>
                </c:pt>
                <c:pt idx="166">
                  <c:v>16</c:v>
                </c:pt>
                <c:pt idx="167">
                  <c:v>16</c:v>
                </c:pt>
                <c:pt idx="168">
                  <c:v>16</c:v>
                </c:pt>
                <c:pt idx="169">
                  <c:v>16</c:v>
                </c:pt>
                <c:pt idx="170">
                  <c:v>16</c:v>
                </c:pt>
                <c:pt idx="171">
                  <c:v>16</c:v>
                </c:pt>
                <c:pt idx="172">
                  <c:v>16</c:v>
                </c:pt>
                <c:pt idx="173">
                  <c:v>17</c:v>
                </c:pt>
                <c:pt idx="174">
                  <c:v>17</c:v>
                </c:pt>
                <c:pt idx="175">
                  <c:v>17</c:v>
                </c:pt>
                <c:pt idx="176">
                  <c:v>18</c:v>
                </c:pt>
                <c:pt idx="177">
                  <c:v>18</c:v>
                </c:pt>
                <c:pt idx="178">
                  <c:v>18</c:v>
                </c:pt>
                <c:pt idx="179">
                  <c:v>18</c:v>
                </c:pt>
                <c:pt idx="180">
                  <c:v>18</c:v>
                </c:pt>
                <c:pt idx="181">
                  <c:v>18</c:v>
                </c:pt>
                <c:pt idx="182">
                  <c:v>18</c:v>
                </c:pt>
                <c:pt idx="183">
                  <c:v>18</c:v>
                </c:pt>
                <c:pt idx="184">
                  <c:v>19</c:v>
                </c:pt>
                <c:pt idx="185">
                  <c:v>19</c:v>
                </c:pt>
                <c:pt idx="186">
                  <c:v>19</c:v>
                </c:pt>
                <c:pt idx="187">
                  <c:v>19</c:v>
                </c:pt>
                <c:pt idx="188">
                  <c:v>19</c:v>
                </c:pt>
                <c:pt idx="189">
                  <c:v>19</c:v>
                </c:pt>
                <c:pt idx="190">
                  <c:v>19</c:v>
                </c:pt>
                <c:pt idx="191">
                  <c:v>19</c:v>
                </c:pt>
                <c:pt idx="192">
                  <c:v>20</c:v>
                </c:pt>
                <c:pt idx="193">
                  <c:v>20</c:v>
                </c:pt>
                <c:pt idx="194">
                  <c:v>20</c:v>
                </c:pt>
                <c:pt idx="195">
                  <c:v>20</c:v>
                </c:pt>
                <c:pt idx="196">
                  <c:v>20</c:v>
                </c:pt>
                <c:pt idx="197">
                  <c:v>20</c:v>
                </c:pt>
                <c:pt idx="198">
                  <c:v>20</c:v>
                </c:pt>
                <c:pt idx="199">
                  <c:v>20</c:v>
                </c:pt>
                <c:pt idx="200">
                  <c:v>20</c:v>
                </c:pt>
                <c:pt idx="201">
                  <c:v>20</c:v>
                </c:pt>
                <c:pt idx="202">
                  <c:v>20</c:v>
                </c:pt>
                <c:pt idx="203">
                  <c:v>20</c:v>
                </c:pt>
                <c:pt idx="204">
                  <c:v>20</c:v>
                </c:pt>
                <c:pt idx="205">
                  <c:v>20</c:v>
                </c:pt>
                <c:pt idx="206">
                  <c:v>20</c:v>
                </c:pt>
                <c:pt idx="207">
                  <c:v>21</c:v>
                </c:pt>
                <c:pt idx="208">
                  <c:v>21</c:v>
                </c:pt>
                <c:pt idx="209">
                  <c:v>21</c:v>
                </c:pt>
                <c:pt idx="210">
                  <c:v>21</c:v>
                </c:pt>
                <c:pt idx="211">
                  <c:v>21</c:v>
                </c:pt>
                <c:pt idx="212">
                  <c:v>21</c:v>
                </c:pt>
                <c:pt idx="213">
                  <c:v>22</c:v>
                </c:pt>
                <c:pt idx="214">
                  <c:v>22</c:v>
                </c:pt>
                <c:pt idx="215">
                  <c:v>22</c:v>
                </c:pt>
                <c:pt idx="216">
                  <c:v>22</c:v>
                </c:pt>
                <c:pt idx="217">
                  <c:v>22</c:v>
                </c:pt>
                <c:pt idx="218">
                  <c:v>22</c:v>
                </c:pt>
                <c:pt idx="219">
                  <c:v>23</c:v>
                </c:pt>
                <c:pt idx="220">
                  <c:v>24</c:v>
                </c:pt>
                <c:pt idx="221">
                  <c:v>24</c:v>
                </c:pt>
                <c:pt idx="222">
                  <c:v>24</c:v>
                </c:pt>
                <c:pt idx="223">
                  <c:v>24</c:v>
                </c:pt>
                <c:pt idx="224">
                  <c:v>24</c:v>
                </c:pt>
                <c:pt idx="225">
                  <c:v>24</c:v>
                </c:pt>
                <c:pt idx="226">
                  <c:v>24</c:v>
                </c:pt>
                <c:pt idx="227">
                  <c:v>24</c:v>
                </c:pt>
                <c:pt idx="228">
                  <c:v>24</c:v>
                </c:pt>
                <c:pt idx="229">
                  <c:v>24</c:v>
                </c:pt>
                <c:pt idx="230">
                  <c:v>24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25</c:v>
                </c:pt>
                <c:pt idx="235">
                  <c:v>25</c:v>
                </c:pt>
                <c:pt idx="236">
                  <c:v>25</c:v>
                </c:pt>
                <c:pt idx="237">
                  <c:v>25</c:v>
                </c:pt>
                <c:pt idx="238">
                  <c:v>25</c:v>
                </c:pt>
                <c:pt idx="239">
                  <c:v>25</c:v>
                </c:pt>
                <c:pt idx="240">
                  <c:v>25</c:v>
                </c:pt>
                <c:pt idx="241">
                  <c:v>25</c:v>
                </c:pt>
                <c:pt idx="242">
                  <c:v>25</c:v>
                </c:pt>
                <c:pt idx="243">
                  <c:v>25</c:v>
                </c:pt>
                <c:pt idx="244">
                  <c:v>25</c:v>
                </c:pt>
                <c:pt idx="245">
                  <c:v>25</c:v>
                </c:pt>
                <c:pt idx="246">
                  <c:v>25</c:v>
                </c:pt>
                <c:pt idx="247">
                  <c:v>25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26</c:v>
                </c:pt>
                <c:pt idx="252">
                  <c:v>26</c:v>
                </c:pt>
                <c:pt idx="253">
                  <c:v>26</c:v>
                </c:pt>
                <c:pt idx="254">
                  <c:v>26</c:v>
                </c:pt>
                <c:pt idx="255">
                  <c:v>26</c:v>
                </c:pt>
                <c:pt idx="256">
                  <c:v>26</c:v>
                </c:pt>
                <c:pt idx="257">
                  <c:v>26</c:v>
                </c:pt>
                <c:pt idx="258">
                  <c:v>26</c:v>
                </c:pt>
                <c:pt idx="259">
                  <c:v>26</c:v>
                </c:pt>
                <c:pt idx="260">
                  <c:v>26</c:v>
                </c:pt>
                <c:pt idx="261">
                  <c:v>26</c:v>
                </c:pt>
                <c:pt idx="262">
                  <c:v>26</c:v>
                </c:pt>
                <c:pt idx="263">
                  <c:v>26</c:v>
                </c:pt>
                <c:pt idx="264">
                  <c:v>26</c:v>
                </c:pt>
                <c:pt idx="265">
                  <c:v>26</c:v>
                </c:pt>
                <c:pt idx="266">
                  <c:v>26</c:v>
                </c:pt>
                <c:pt idx="267">
                  <c:v>26</c:v>
                </c:pt>
                <c:pt idx="268">
                  <c:v>26</c:v>
                </c:pt>
                <c:pt idx="269">
                  <c:v>26</c:v>
                </c:pt>
                <c:pt idx="270">
                  <c:v>26</c:v>
                </c:pt>
                <c:pt idx="271">
                  <c:v>26</c:v>
                </c:pt>
                <c:pt idx="272">
                  <c:v>26</c:v>
                </c:pt>
                <c:pt idx="273">
                  <c:v>26</c:v>
                </c:pt>
                <c:pt idx="274">
                  <c:v>26</c:v>
                </c:pt>
                <c:pt idx="275">
                  <c:v>26</c:v>
                </c:pt>
                <c:pt idx="276">
                  <c:v>26</c:v>
                </c:pt>
                <c:pt idx="277">
                  <c:v>26</c:v>
                </c:pt>
                <c:pt idx="278">
                  <c:v>26</c:v>
                </c:pt>
                <c:pt idx="279">
                  <c:v>26</c:v>
                </c:pt>
                <c:pt idx="280">
                  <c:v>26</c:v>
                </c:pt>
                <c:pt idx="281">
                  <c:v>26</c:v>
                </c:pt>
                <c:pt idx="282">
                  <c:v>26</c:v>
                </c:pt>
                <c:pt idx="283">
                  <c:v>26</c:v>
                </c:pt>
                <c:pt idx="284">
                  <c:v>26</c:v>
                </c:pt>
                <c:pt idx="285">
                  <c:v>26</c:v>
                </c:pt>
                <c:pt idx="286">
                  <c:v>26</c:v>
                </c:pt>
                <c:pt idx="287">
                  <c:v>26</c:v>
                </c:pt>
                <c:pt idx="288">
                  <c:v>26</c:v>
                </c:pt>
                <c:pt idx="289">
                  <c:v>26</c:v>
                </c:pt>
                <c:pt idx="290">
                  <c:v>26</c:v>
                </c:pt>
                <c:pt idx="291">
                  <c:v>26</c:v>
                </c:pt>
                <c:pt idx="292">
                  <c:v>26</c:v>
                </c:pt>
                <c:pt idx="293">
                  <c:v>26</c:v>
                </c:pt>
                <c:pt idx="294">
                  <c:v>26</c:v>
                </c:pt>
                <c:pt idx="295">
                  <c:v>26</c:v>
                </c:pt>
                <c:pt idx="296">
                  <c:v>26</c:v>
                </c:pt>
                <c:pt idx="297">
                  <c:v>26</c:v>
                </c:pt>
                <c:pt idx="298">
                  <c:v>26</c:v>
                </c:pt>
                <c:pt idx="299">
                  <c:v>26</c:v>
                </c:pt>
                <c:pt idx="300">
                  <c:v>26</c:v>
                </c:pt>
                <c:pt idx="301">
                  <c:v>26</c:v>
                </c:pt>
                <c:pt idx="302">
                  <c:v>26</c:v>
                </c:pt>
                <c:pt idx="303">
                  <c:v>26</c:v>
                </c:pt>
                <c:pt idx="304">
                  <c:v>26</c:v>
                </c:pt>
                <c:pt idx="305">
                  <c:v>26</c:v>
                </c:pt>
                <c:pt idx="306">
                  <c:v>26</c:v>
                </c:pt>
                <c:pt idx="307">
                  <c:v>26</c:v>
                </c:pt>
                <c:pt idx="308">
                  <c:v>26</c:v>
                </c:pt>
                <c:pt idx="309">
                  <c:v>26</c:v>
                </c:pt>
                <c:pt idx="310">
                  <c:v>26</c:v>
                </c:pt>
                <c:pt idx="311">
                  <c:v>26</c:v>
                </c:pt>
                <c:pt idx="312">
                  <c:v>26</c:v>
                </c:pt>
                <c:pt idx="313">
                  <c:v>26</c:v>
                </c:pt>
                <c:pt idx="314">
                  <c:v>26</c:v>
                </c:pt>
                <c:pt idx="315">
                  <c:v>26</c:v>
                </c:pt>
                <c:pt idx="316">
                  <c:v>26</c:v>
                </c:pt>
                <c:pt idx="317">
                  <c:v>26</c:v>
                </c:pt>
                <c:pt idx="318">
                  <c:v>26</c:v>
                </c:pt>
                <c:pt idx="319">
                  <c:v>26</c:v>
                </c:pt>
                <c:pt idx="320">
                  <c:v>26</c:v>
                </c:pt>
                <c:pt idx="321">
                  <c:v>26</c:v>
                </c:pt>
                <c:pt idx="322">
                  <c:v>26</c:v>
                </c:pt>
                <c:pt idx="323">
                  <c:v>26</c:v>
                </c:pt>
                <c:pt idx="324">
                  <c:v>26</c:v>
                </c:pt>
                <c:pt idx="325">
                  <c:v>26</c:v>
                </c:pt>
                <c:pt idx="326">
                  <c:v>26</c:v>
                </c:pt>
                <c:pt idx="327">
                  <c:v>26</c:v>
                </c:pt>
                <c:pt idx="328">
                  <c:v>26</c:v>
                </c:pt>
                <c:pt idx="329">
                  <c:v>26</c:v>
                </c:pt>
                <c:pt idx="330">
                  <c:v>26</c:v>
                </c:pt>
                <c:pt idx="331">
                  <c:v>26</c:v>
                </c:pt>
                <c:pt idx="332">
                  <c:v>26</c:v>
                </c:pt>
                <c:pt idx="333">
                  <c:v>26</c:v>
                </c:pt>
                <c:pt idx="334">
                  <c:v>26</c:v>
                </c:pt>
                <c:pt idx="335">
                  <c:v>26</c:v>
                </c:pt>
                <c:pt idx="336">
                  <c:v>26</c:v>
                </c:pt>
                <c:pt idx="337">
                  <c:v>26</c:v>
                </c:pt>
                <c:pt idx="338">
                  <c:v>26</c:v>
                </c:pt>
                <c:pt idx="339">
                  <c:v>26</c:v>
                </c:pt>
                <c:pt idx="340">
                  <c:v>26</c:v>
                </c:pt>
                <c:pt idx="341">
                  <c:v>26</c:v>
                </c:pt>
                <c:pt idx="342">
                  <c:v>26</c:v>
                </c:pt>
                <c:pt idx="343">
                  <c:v>26</c:v>
                </c:pt>
                <c:pt idx="344">
                  <c:v>26</c:v>
                </c:pt>
                <c:pt idx="345">
                  <c:v>26</c:v>
                </c:pt>
                <c:pt idx="346">
                  <c:v>26</c:v>
                </c:pt>
                <c:pt idx="347">
                  <c:v>26</c:v>
                </c:pt>
                <c:pt idx="348">
                  <c:v>26</c:v>
                </c:pt>
                <c:pt idx="349">
                  <c:v>26</c:v>
                </c:pt>
                <c:pt idx="350">
                  <c:v>26</c:v>
                </c:pt>
                <c:pt idx="351">
                  <c:v>26</c:v>
                </c:pt>
                <c:pt idx="352">
                  <c:v>26</c:v>
                </c:pt>
                <c:pt idx="353">
                  <c:v>26</c:v>
                </c:pt>
                <c:pt idx="354">
                  <c:v>26</c:v>
                </c:pt>
                <c:pt idx="355">
                  <c:v>26</c:v>
                </c:pt>
                <c:pt idx="356">
                  <c:v>26</c:v>
                </c:pt>
                <c:pt idx="357">
                  <c:v>26</c:v>
                </c:pt>
                <c:pt idx="358">
                  <c:v>26</c:v>
                </c:pt>
                <c:pt idx="359">
                  <c:v>26</c:v>
                </c:pt>
                <c:pt idx="360">
                  <c:v>26</c:v>
                </c:pt>
                <c:pt idx="361">
                  <c:v>26</c:v>
                </c:pt>
                <c:pt idx="362">
                  <c:v>26</c:v>
                </c:pt>
                <c:pt idx="363">
                  <c:v>26</c:v>
                </c:pt>
                <c:pt idx="364">
                  <c:v>26</c:v>
                </c:pt>
                <c:pt idx="365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011-0844-8364-DA0F5B1CFBCA}"/>
            </c:ext>
          </c:extLst>
        </c:ser>
        <c:ser>
          <c:idx val="10"/>
          <c:order val="10"/>
          <c:tx>
            <c:strRef>
              <c:f>List1!$O$4</c:f>
              <c:strCache>
                <c:ptCount val="1"/>
                <c:pt idx="0">
                  <c:v>2009</c:v>
                </c:pt>
              </c:strCache>
            </c:strRef>
          </c:tx>
          <c:spPr>
            <a:ln w="28800">
              <a:solidFill>
                <a:srgbClr val="55308D">
                  <a:alpha val="6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List1!$O$5:$O$370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4</c:v>
                </c:pt>
                <c:pt idx="137">
                  <c:v>4</c:v>
                </c:pt>
                <c:pt idx="138">
                  <c:v>5</c:v>
                </c:pt>
                <c:pt idx="139">
                  <c:v>5</c:v>
                </c:pt>
                <c:pt idx="140">
                  <c:v>6</c:v>
                </c:pt>
                <c:pt idx="141">
                  <c:v>7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9</c:v>
                </c:pt>
                <c:pt idx="147">
                  <c:v>9</c:v>
                </c:pt>
                <c:pt idx="148">
                  <c:v>9</c:v>
                </c:pt>
                <c:pt idx="149">
                  <c:v>9</c:v>
                </c:pt>
                <c:pt idx="150">
                  <c:v>9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9</c:v>
                </c:pt>
                <c:pt idx="156">
                  <c:v>9</c:v>
                </c:pt>
                <c:pt idx="157">
                  <c:v>9</c:v>
                </c:pt>
                <c:pt idx="158">
                  <c:v>9</c:v>
                </c:pt>
                <c:pt idx="159">
                  <c:v>9</c:v>
                </c:pt>
                <c:pt idx="160">
                  <c:v>10</c:v>
                </c:pt>
                <c:pt idx="161">
                  <c:v>10</c:v>
                </c:pt>
                <c:pt idx="162">
                  <c:v>11</c:v>
                </c:pt>
                <c:pt idx="163">
                  <c:v>11</c:v>
                </c:pt>
                <c:pt idx="164">
                  <c:v>11</c:v>
                </c:pt>
                <c:pt idx="165">
                  <c:v>11</c:v>
                </c:pt>
                <c:pt idx="166">
                  <c:v>12</c:v>
                </c:pt>
                <c:pt idx="167">
                  <c:v>13</c:v>
                </c:pt>
                <c:pt idx="168">
                  <c:v>13</c:v>
                </c:pt>
                <c:pt idx="169">
                  <c:v>13</c:v>
                </c:pt>
                <c:pt idx="170">
                  <c:v>13</c:v>
                </c:pt>
                <c:pt idx="171">
                  <c:v>13</c:v>
                </c:pt>
                <c:pt idx="172">
                  <c:v>14</c:v>
                </c:pt>
                <c:pt idx="173">
                  <c:v>14</c:v>
                </c:pt>
                <c:pt idx="174">
                  <c:v>14</c:v>
                </c:pt>
                <c:pt idx="175">
                  <c:v>14</c:v>
                </c:pt>
                <c:pt idx="176">
                  <c:v>15</c:v>
                </c:pt>
                <c:pt idx="177">
                  <c:v>15</c:v>
                </c:pt>
                <c:pt idx="178">
                  <c:v>15</c:v>
                </c:pt>
                <c:pt idx="179">
                  <c:v>15</c:v>
                </c:pt>
                <c:pt idx="180">
                  <c:v>15</c:v>
                </c:pt>
                <c:pt idx="181">
                  <c:v>16</c:v>
                </c:pt>
                <c:pt idx="182">
                  <c:v>17</c:v>
                </c:pt>
                <c:pt idx="183">
                  <c:v>18</c:v>
                </c:pt>
                <c:pt idx="184">
                  <c:v>19</c:v>
                </c:pt>
                <c:pt idx="185">
                  <c:v>20</c:v>
                </c:pt>
                <c:pt idx="186">
                  <c:v>20</c:v>
                </c:pt>
                <c:pt idx="187">
                  <c:v>21</c:v>
                </c:pt>
                <c:pt idx="188">
                  <c:v>21</c:v>
                </c:pt>
                <c:pt idx="189">
                  <c:v>21</c:v>
                </c:pt>
                <c:pt idx="190">
                  <c:v>21</c:v>
                </c:pt>
                <c:pt idx="191">
                  <c:v>21</c:v>
                </c:pt>
                <c:pt idx="192">
                  <c:v>21</c:v>
                </c:pt>
                <c:pt idx="193">
                  <c:v>21</c:v>
                </c:pt>
                <c:pt idx="194">
                  <c:v>21</c:v>
                </c:pt>
                <c:pt idx="195">
                  <c:v>21</c:v>
                </c:pt>
                <c:pt idx="196">
                  <c:v>21</c:v>
                </c:pt>
                <c:pt idx="197">
                  <c:v>21</c:v>
                </c:pt>
                <c:pt idx="198">
                  <c:v>22</c:v>
                </c:pt>
                <c:pt idx="199">
                  <c:v>23</c:v>
                </c:pt>
                <c:pt idx="200">
                  <c:v>23</c:v>
                </c:pt>
                <c:pt idx="201">
                  <c:v>23</c:v>
                </c:pt>
                <c:pt idx="202">
                  <c:v>23</c:v>
                </c:pt>
                <c:pt idx="203">
                  <c:v>23</c:v>
                </c:pt>
                <c:pt idx="204">
                  <c:v>24</c:v>
                </c:pt>
                <c:pt idx="205">
                  <c:v>24</c:v>
                </c:pt>
                <c:pt idx="206">
                  <c:v>24</c:v>
                </c:pt>
                <c:pt idx="207">
                  <c:v>24</c:v>
                </c:pt>
                <c:pt idx="208">
                  <c:v>24</c:v>
                </c:pt>
                <c:pt idx="209">
                  <c:v>24</c:v>
                </c:pt>
                <c:pt idx="210">
                  <c:v>24</c:v>
                </c:pt>
                <c:pt idx="211">
                  <c:v>24</c:v>
                </c:pt>
                <c:pt idx="212">
                  <c:v>24</c:v>
                </c:pt>
                <c:pt idx="213">
                  <c:v>24</c:v>
                </c:pt>
                <c:pt idx="214">
                  <c:v>25</c:v>
                </c:pt>
                <c:pt idx="215">
                  <c:v>25</c:v>
                </c:pt>
                <c:pt idx="216">
                  <c:v>25</c:v>
                </c:pt>
                <c:pt idx="217">
                  <c:v>25</c:v>
                </c:pt>
                <c:pt idx="218">
                  <c:v>25</c:v>
                </c:pt>
                <c:pt idx="219">
                  <c:v>25</c:v>
                </c:pt>
                <c:pt idx="220">
                  <c:v>25</c:v>
                </c:pt>
                <c:pt idx="221">
                  <c:v>25</c:v>
                </c:pt>
                <c:pt idx="222">
                  <c:v>26</c:v>
                </c:pt>
                <c:pt idx="223">
                  <c:v>26</c:v>
                </c:pt>
                <c:pt idx="224">
                  <c:v>26</c:v>
                </c:pt>
                <c:pt idx="225">
                  <c:v>26</c:v>
                </c:pt>
                <c:pt idx="226">
                  <c:v>26</c:v>
                </c:pt>
                <c:pt idx="227">
                  <c:v>26</c:v>
                </c:pt>
                <c:pt idx="228">
                  <c:v>26</c:v>
                </c:pt>
                <c:pt idx="229">
                  <c:v>27</c:v>
                </c:pt>
                <c:pt idx="230">
                  <c:v>27</c:v>
                </c:pt>
                <c:pt idx="231">
                  <c:v>27</c:v>
                </c:pt>
                <c:pt idx="232">
                  <c:v>27</c:v>
                </c:pt>
                <c:pt idx="233">
                  <c:v>27</c:v>
                </c:pt>
                <c:pt idx="234">
                  <c:v>27</c:v>
                </c:pt>
                <c:pt idx="235">
                  <c:v>27</c:v>
                </c:pt>
                <c:pt idx="236">
                  <c:v>27</c:v>
                </c:pt>
                <c:pt idx="237">
                  <c:v>28</c:v>
                </c:pt>
                <c:pt idx="238">
                  <c:v>29</c:v>
                </c:pt>
                <c:pt idx="239">
                  <c:v>29</c:v>
                </c:pt>
                <c:pt idx="240">
                  <c:v>29</c:v>
                </c:pt>
                <c:pt idx="241">
                  <c:v>29</c:v>
                </c:pt>
                <c:pt idx="242">
                  <c:v>29</c:v>
                </c:pt>
                <c:pt idx="243">
                  <c:v>29</c:v>
                </c:pt>
                <c:pt idx="244">
                  <c:v>29</c:v>
                </c:pt>
                <c:pt idx="245">
                  <c:v>29</c:v>
                </c:pt>
                <c:pt idx="246">
                  <c:v>29</c:v>
                </c:pt>
                <c:pt idx="247">
                  <c:v>29</c:v>
                </c:pt>
                <c:pt idx="248">
                  <c:v>29</c:v>
                </c:pt>
                <c:pt idx="249">
                  <c:v>29</c:v>
                </c:pt>
                <c:pt idx="250">
                  <c:v>29</c:v>
                </c:pt>
                <c:pt idx="251">
                  <c:v>29</c:v>
                </c:pt>
                <c:pt idx="252">
                  <c:v>29</c:v>
                </c:pt>
                <c:pt idx="253">
                  <c:v>29</c:v>
                </c:pt>
                <c:pt idx="254">
                  <c:v>29</c:v>
                </c:pt>
                <c:pt idx="255">
                  <c:v>29</c:v>
                </c:pt>
                <c:pt idx="256">
                  <c:v>29</c:v>
                </c:pt>
                <c:pt idx="257">
                  <c:v>29</c:v>
                </c:pt>
                <c:pt idx="258">
                  <c:v>29</c:v>
                </c:pt>
                <c:pt idx="259">
                  <c:v>29</c:v>
                </c:pt>
                <c:pt idx="260">
                  <c:v>29</c:v>
                </c:pt>
                <c:pt idx="261">
                  <c:v>29</c:v>
                </c:pt>
                <c:pt idx="262">
                  <c:v>29</c:v>
                </c:pt>
                <c:pt idx="263">
                  <c:v>29</c:v>
                </c:pt>
                <c:pt idx="264">
                  <c:v>29</c:v>
                </c:pt>
                <c:pt idx="265">
                  <c:v>29</c:v>
                </c:pt>
                <c:pt idx="266">
                  <c:v>29</c:v>
                </c:pt>
                <c:pt idx="267">
                  <c:v>29</c:v>
                </c:pt>
                <c:pt idx="268">
                  <c:v>29</c:v>
                </c:pt>
                <c:pt idx="269">
                  <c:v>29</c:v>
                </c:pt>
                <c:pt idx="270">
                  <c:v>29</c:v>
                </c:pt>
                <c:pt idx="271">
                  <c:v>29</c:v>
                </c:pt>
                <c:pt idx="272">
                  <c:v>29</c:v>
                </c:pt>
                <c:pt idx="273">
                  <c:v>29</c:v>
                </c:pt>
                <c:pt idx="274">
                  <c:v>29</c:v>
                </c:pt>
                <c:pt idx="275">
                  <c:v>29</c:v>
                </c:pt>
                <c:pt idx="276">
                  <c:v>29</c:v>
                </c:pt>
                <c:pt idx="277">
                  <c:v>29</c:v>
                </c:pt>
                <c:pt idx="278">
                  <c:v>29</c:v>
                </c:pt>
                <c:pt idx="279">
                  <c:v>29</c:v>
                </c:pt>
                <c:pt idx="280">
                  <c:v>29</c:v>
                </c:pt>
                <c:pt idx="281">
                  <c:v>29</c:v>
                </c:pt>
                <c:pt idx="282">
                  <c:v>29</c:v>
                </c:pt>
                <c:pt idx="283">
                  <c:v>29</c:v>
                </c:pt>
                <c:pt idx="284">
                  <c:v>29</c:v>
                </c:pt>
                <c:pt idx="285">
                  <c:v>29</c:v>
                </c:pt>
                <c:pt idx="286">
                  <c:v>29</c:v>
                </c:pt>
                <c:pt idx="287">
                  <c:v>29</c:v>
                </c:pt>
                <c:pt idx="288">
                  <c:v>29</c:v>
                </c:pt>
                <c:pt idx="289">
                  <c:v>29</c:v>
                </c:pt>
                <c:pt idx="290">
                  <c:v>29</c:v>
                </c:pt>
                <c:pt idx="291">
                  <c:v>29</c:v>
                </c:pt>
                <c:pt idx="292">
                  <c:v>29</c:v>
                </c:pt>
                <c:pt idx="293">
                  <c:v>29</c:v>
                </c:pt>
                <c:pt idx="294">
                  <c:v>29</c:v>
                </c:pt>
                <c:pt idx="295">
                  <c:v>29</c:v>
                </c:pt>
                <c:pt idx="296">
                  <c:v>29</c:v>
                </c:pt>
                <c:pt idx="297">
                  <c:v>29</c:v>
                </c:pt>
                <c:pt idx="298">
                  <c:v>29</c:v>
                </c:pt>
                <c:pt idx="299">
                  <c:v>29</c:v>
                </c:pt>
                <c:pt idx="300">
                  <c:v>29</c:v>
                </c:pt>
                <c:pt idx="301">
                  <c:v>29</c:v>
                </c:pt>
                <c:pt idx="302">
                  <c:v>29</c:v>
                </c:pt>
                <c:pt idx="303">
                  <c:v>29</c:v>
                </c:pt>
                <c:pt idx="304">
                  <c:v>29</c:v>
                </c:pt>
                <c:pt idx="305">
                  <c:v>29</c:v>
                </c:pt>
                <c:pt idx="306">
                  <c:v>29</c:v>
                </c:pt>
                <c:pt idx="307">
                  <c:v>29</c:v>
                </c:pt>
                <c:pt idx="308">
                  <c:v>29</c:v>
                </c:pt>
                <c:pt idx="309">
                  <c:v>29</c:v>
                </c:pt>
                <c:pt idx="310">
                  <c:v>29</c:v>
                </c:pt>
                <c:pt idx="311">
                  <c:v>29</c:v>
                </c:pt>
                <c:pt idx="312">
                  <c:v>29</c:v>
                </c:pt>
                <c:pt idx="313">
                  <c:v>29</c:v>
                </c:pt>
                <c:pt idx="314">
                  <c:v>29</c:v>
                </c:pt>
                <c:pt idx="315">
                  <c:v>29</c:v>
                </c:pt>
                <c:pt idx="316">
                  <c:v>29</c:v>
                </c:pt>
                <c:pt idx="317">
                  <c:v>29</c:v>
                </c:pt>
                <c:pt idx="318">
                  <c:v>29</c:v>
                </c:pt>
                <c:pt idx="319">
                  <c:v>29</c:v>
                </c:pt>
                <c:pt idx="320">
                  <c:v>29</c:v>
                </c:pt>
                <c:pt idx="321">
                  <c:v>29</c:v>
                </c:pt>
                <c:pt idx="322">
                  <c:v>29</c:v>
                </c:pt>
                <c:pt idx="323">
                  <c:v>29</c:v>
                </c:pt>
                <c:pt idx="324">
                  <c:v>29</c:v>
                </c:pt>
                <c:pt idx="325">
                  <c:v>29</c:v>
                </c:pt>
                <c:pt idx="326">
                  <c:v>29</c:v>
                </c:pt>
                <c:pt idx="327">
                  <c:v>29</c:v>
                </c:pt>
                <c:pt idx="328">
                  <c:v>29</c:v>
                </c:pt>
                <c:pt idx="329">
                  <c:v>29</c:v>
                </c:pt>
                <c:pt idx="330">
                  <c:v>29</c:v>
                </c:pt>
                <c:pt idx="331">
                  <c:v>29</c:v>
                </c:pt>
                <c:pt idx="332">
                  <c:v>29</c:v>
                </c:pt>
                <c:pt idx="333">
                  <c:v>29</c:v>
                </c:pt>
                <c:pt idx="334">
                  <c:v>29</c:v>
                </c:pt>
                <c:pt idx="335">
                  <c:v>29</c:v>
                </c:pt>
                <c:pt idx="336">
                  <c:v>29</c:v>
                </c:pt>
                <c:pt idx="337">
                  <c:v>29</c:v>
                </c:pt>
                <c:pt idx="338">
                  <c:v>29</c:v>
                </c:pt>
                <c:pt idx="339">
                  <c:v>29</c:v>
                </c:pt>
                <c:pt idx="340">
                  <c:v>29</c:v>
                </c:pt>
                <c:pt idx="341">
                  <c:v>29</c:v>
                </c:pt>
                <c:pt idx="342">
                  <c:v>29</c:v>
                </c:pt>
                <c:pt idx="343">
                  <c:v>29</c:v>
                </c:pt>
                <c:pt idx="344">
                  <c:v>29</c:v>
                </c:pt>
                <c:pt idx="345">
                  <c:v>29</c:v>
                </c:pt>
                <c:pt idx="346">
                  <c:v>29</c:v>
                </c:pt>
                <c:pt idx="347">
                  <c:v>29</c:v>
                </c:pt>
                <c:pt idx="348">
                  <c:v>29</c:v>
                </c:pt>
                <c:pt idx="349">
                  <c:v>29</c:v>
                </c:pt>
                <c:pt idx="350">
                  <c:v>29</c:v>
                </c:pt>
                <c:pt idx="351">
                  <c:v>29</c:v>
                </c:pt>
                <c:pt idx="352">
                  <c:v>29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29</c:v>
                </c:pt>
                <c:pt idx="357">
                  <c:v>29</c:v>
                </c:pt>
                <c:pt idx="358">
                  <c:v>29</c:v>
                </c:pt>
                <c:pt idx="359">
                  <c:v>29</c:v>
                </c:pt>
                <c:pt idx="360">
                  <c:v>29</c:v>
                </c:pt>
                <c:pt idx="361">
                  <c:v>29</c:v>
                </c:pt>
                <c:pt idx="362">
                  <c:v>29</c:v>
                </c:pt>
                <c:pt idx="363">
                  <c:v>29</c:v>
                </c:pt>
                <c:pt idx="364">
                  <c:v>29</c:v>
                </c:pt>
                <c:pt idx="365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011-0844-8364-DA0F5B1CFBCA}"/>
            </c:ext>
          </c:extLst>
        </c:ser>
        <c:ser>
          <c:idx val="11"/>
          <c:order val="11"/>
          <c:tx>
            <c:strRef>
              <c:f>List1!$P$4</c:f>
              <c:strCache>
                <c:ptCount val="1"/>
                <c:pt idx="0">
                  <c:v>2010</c:v>
                </c:pt>
              </c:strCache>
            </c:strRef>
          </c:tx>
          <c:spPr>
            <a:ln w="28800">
              <a:solidFill>
                <a:srgbClr val="2A6099">
                  <a:alpha val="6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List1!$P$5:$P$370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5</c:v>
                </c:pt>
                <c:pt idx="145">
                  <c:v>5</c:v>
                </c:pt>
                <c:pt idx="146">
                  <c:v>5</c:v>
                </c:pt>
                <c:pt idx="147">
                  <c:v>5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6</c:v>
                </c:pt>
                <c:pt idx="155">
                  <c:v>6</c:v>
                </c:pt>
                <c:pt idx="156">
                  <c:v>6</c:v>
                </c:pt>
                <c:pt idx="157">
                  <c:v>6</c:v>
                </c:pt>
                <c:pt idx="158">
                  <c:v>6</c:v>
                </c:pt>
                <c:pt idx="159">
                  <c:v>7</c:v>
                </c:pt>
                <c:pt idx="160">
                  <c:v>8</c:v>
                </c:pt>
                <c:pt idx="161">
                  <c:v>8</c:v>
                </c:pt>
                <c:pt idx="162">
                  <c:v>8</c:v>
                </c:pt>
                <c:pt idx="163">
                  <c:v>8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9</c:v>
                </c:pt>
                <c:pt idx="182">
                  <c:v>10</c:v>
                </c:pt>
                <c:pt idx="183">
                  <c:v>10</c:v>
                </c:pt>
                <c:pt idx="184">
                  <c:v>10</c:v>
                </c:pt>
                <c:pt idx="185">
                  <c:v>10</c:v>
                </c:pt>
                <c:pt idx="186">
                  <c:v>11</c:v>
                </c:pt>
                <c:pt idx="187">
                  <c:v>11</c:v>
                </c:pt>
                <c:pt idx="188">
                  <c:v>11</c:v>
                </c:pt>
                <c:pt idx="189">
                  <c:v>11</c:v>
                </c:pt>
                <c:pt idx="190">
                  <c:v>11</c:v>
                </c:pt>
                <c:pt idx="191">
                  <c:v>11</c:v>
                </c:pt>
                <c:pt idx="192">
                  <c:v>11</c:v>
                </c:pt>
                <c:pt idx="193">
                  <c:v>11</c:v>
                </c:pt>
                <c:pt idx="194">
                  <c:v>11</c:v>
                </c:pt>
                <c:pt idx="195">
                  <c:v>11</c:v>
                </c:pt>
                <c:pt idx="196">
                  <c:v>12</c:v>
                </c:pt>
                <c:pt idx="197">
                  <c:v>12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14</c:v>
                </c:pt>
                <c:pt idx="204">
                  <c:v>15</c:v>
                </c:pt>
                <c:pt idx="205">
                  <c:v>15</c:v>
                </c:pt>
                <c:pt idx="206">
                  <c:v>15</c:v>
                </c:pt>
                <c:pt idx="207">
                  <c:v>15</c:v>
                </c:pt>
                <c:pt idx="208">
                  <c:v>15</c:v>
                </c:pt>
                <c:pt idx="209">
                  <c:v>15</c:v>
                </c:pt>
                <c:pt idx="210">
                  <c:v>16</c:v>
                </c:pt>
                <c:pt idx="211">
                  <c:v>16</c:v>
                </c:pt>
                <c:pt idx="212">
                  <c:v>16</c:v>
                </c:pt>
                <c:pt idx="213">
                  <c:v>16</c:v>
                </c:pt>
                <c:pt idx="214">
                  <c:v>16</c:v>
                </c:pt>
                <c:pt idx="215">
                  <c:v>16</c:v>
                </c:pt>
                <c:pt idx="216">
                  <c:v>16</c:v>
                </c:pt>
                <c:pt idx="217">
                  <c:v>16</c:v>
                </c:pt>
                <c:pt idx="218">
                  <c:v>16</c:v>
                </c:pt>
                <c:pt idx="219">
                  <c:v>16</c:v>
                </c:pt>
                <c:pt idx="220">
                  <c:v>16</c:v>
                </c:pt>
                <c:pt idx="221">
                  <c:v>16</c:v>
                </c:pt>
                <c:pt idx="222">
                  <c:v>16</c:v>
                </c:pt>
                <c:pt idx="223">
                  <c:v>16</c:v>
                </c:pt>
                <c:pt idx="224">
                  <c:v>17</c:v>
                </c:pt>
                <c:pt idx="225">
                  <c:v>17</c:v>
                </c:pt>
                <c:pt idx="226">
                  <c:v>17</c:v>
                </c:pt>
                <c:pt idx="227">
                  <c:v>18</c:v>
                </c:pt>
                <c:pt idx="228">
                  <c:v>19</c:v>
                </c:pt>
                <c:pt idx="229">
                  <c:v>19</c:v>
                </c:pt>
                <c:pt idx="230">
                  <c:v>19</c:v>
                </c:pt>
                <c:pt idx="231">
                  <c:v>19</c:v>
                </c:pt>
                <c:pt idx="232">
                  <c:v>19</c:v>
                </c:pt>
                <c:pt idx="233">
                  <c:v>19</c:v>
                </c:pt>
                <c:pt idx="234">
                  <c:v>20</c:v>
                </c:pt>
                <c:pt idx="235">
                  <c:v>20</c:v>
                </c:pt>
                <c:pt idx="236">
                  <c:v>20</c:v>
                </c:pt>
                <c:pt idx="237">
                  <c:v>20</c:v>
                </c:pt>
                <c:pt idx="238">
                  <c:v>20</c:v>
                </c:pt>
                <c:pt idx="239">
                  <c:v>20</c:v>
                </c:pt>
                <c:pt idx="240">
                  <c:v>20</c:v>
                </c:pt>
                <c:pt idx="241">
                  <c:v>20</c:v>
                </c:pt>
                <c:pt idx="242">
                  <c:v>20</c:v>
                </c:pt>
                <c:pt idx="243">
                  <c:v>20</c:v>
                </c:pt>
                <c:pt idx="244">
                  <c:v>20</c:v>
                </c:pt>
                <c:pt idx="245">
                  <c:v>20</c:v>
                </c:pt>
                <c:pt idx="246">
                  <c:v>20</c:v>
                </c:pt>
                <c:pt idx="247">
                  <c:v>20</c:v>
                </c:pt>
                <c:pt idx="248">
                  <c:v>20</c:v>
                </c:pt>
                <c:pt idx="249">
                  <c:v>20</c:v>
                </c:pt>
                <c:pt idx="250">
                  <c:v>20</c:v>
                </c:pt>
                <c:pt idx="251">
                  <c:v>20</c:v>
                </c:pt>
                <c:pt idx="252">
                  <c:v>20</c:v>
                </c:pt>
                <c:pt idx="253">
                  <c:v>20</c:v>
                </c:pt>
                <c:pt idx="254">
                  <c:v>20</c:v>
                </c:pt>
                <c:pt idx="255">
                  <c:v>20</c:v>
                </c:pt>
                <c:pt idx="256">
                  <c:v>20</c:v>
                </c:pt>
                <c:pt idx="257">
                  <c:v>20</c:v>
                </c:pt>
                <c:pt idx="258">
                  <c:v>20</c:v>
                </c:pt>
                <c:pt idx="259">
                  <c:v>20</c:v>
                </c:pt>
                <c:pt idx="260">
                  <c:v>20</c:v>
                </c:pt>
                <c:pt idx="261">
                  <c:v>20</c:v>
                </c:pt>
                <c:pt idx="262">
                  <c:v>20</c:v>
                </c:pt>
                <c:pt idx="263">
                  <c:v>20</c:v>
                </c:pt>
                <c:pt idx="264">
                  <c:v>20</c:v>
                </c:pt>
                <c:pt idx="265">
                  <c:v>20</c:v>
                </c:pt>
                <c:pt idx="266">
                  <c:v>20</c:v>
                </c:pt>
                <c:pt idx="267">
                  <c:v>20</c:v>
                </c:pt>
                <c:pt idx="268">
                  <c:v>20</c:v>
                </c:pt>
                <c:pt idx="269">
                  <c:v>20</c:v>
                </c:pt>
                <c:pt idx="270">
                  <c:v>20</c:v>
                </c:pt>
                <c:pt idx="271">
                  <c:v>20</c:v>
                </c:pt>
                <c:pt idx="272">
                  <c:v>20</c:v>
                </c:pt>
                <c:pt idx="273">
                  <c:v>20</c:v>
                </c:pt>
                <c:pt idx="274">
                  <c:v>20</c:v>
                </c:pt>
                <c:pt idx="275">
                  <c:v>20</c:v>
                </c:pt>
                <c:pt idx="276">
                  <c:v>20</c:v>
                </c:pt>
                <c:pt idx="277">
                  <c:v>20</c:v>
                </c:pt>
                <c:pt idx="278">
                  <c:v>20</c:v>
                </c:pt>
                <c:pt idx="279">
                  <c:v>20</c:v>
                </c:pt>
                <c:pt idx="280">
                  <c:v>20</c:v>
                </c:pt>
                <c:pt idx="281">
                  <c:v>20</c:v>
                </c:pt>
                <c:pt idx="282">
                  <c:v>20</c:v>
                </c:pt>
                <c:pt idx="283">
                  <c:v>20</c:v>
                </c:pt>
                <c:pt idx="284">
                  <c:v>20</c:v>
                </c:pt>
                <c:pt idx="285">
                  <c:v>20</c:v>
                </c:pt>
                <c:pt idx="286">
                  <c:v>20</c:v>
                </c:pt>
                <c:pt idx="287">
                  <c:v>20</c:v>
                </c:pt>
                <c:pt idx="288">
                  <c:v>20</c:v>
                </c:pt>
                <c:pt idx="289">
                  <c:v>20</c:v>
                </c:pt>
                <c:pt idx="290">
                  <c:v>20</c:v>
                </c:pt>
                <c:pt idx="291">
                  <c:v>20</c:v>
                </c:pt>
                <c:pt idx="292">
                  <c:v>20</c:v>
                </c:pt>
                <c:pt idx="293">
                  <c:v>20</c:v>
                </c:pt>
                <c:pt idx="294">
                  <c:v>20</c:v>
                </c:pt>
                <c:pt idx="295">
                  <c:v>20</c:v>
                </c:pt>
                <c:pt idx="296">
                  <c:v>20</c:v>
                </c:pt>
                <c:pt idx="297">
                  <c:v>20</c:v>
                </c:pt>
                <c:pt idx="298">
                  <c:v>20</c:v>
                </c:pt>
                <c:pt idx="299">
                  <c:v>20</c:v>
                </c:pt>
                <c:pt idx="300">
                  <c:v>20</c:v>
                </c:pt>
                <c:pt idx="301">
                  <c:v>20</c:v>
                </c:pt>
                <c:pt idx="302">
                  <c:v>20</c:v>
                </c:pt>
                <c:pt idx="303">
                  <c:v>20</c:v>
                </c:pt>
                <c:pt idx="304">
                  <c:v>20</c:v>
                </c:pt>
                <c:pt idx="305">
                  <c:v>20</c:v>
                </c:pt>
                <c:pt idx="306">
                  <c:v>20</c:v>
                </c:pt>
                <c:pt idx="307">
                  <c:v>20</c:v>
                </c:pt>
                <c:pt idx="308">
                  <c:v>20</c:v>
                </c:pt>
                <c:pt idx="309">
                  <c:v>20</c:v>
                </c:pt>
                <c:pt idx="310">
                  <c:v>20</c:v>
                </c:pt>
                <c:pt idx="311">
                  <c:v>20</c:v>
                </c:pt>
                <c:pt idx="312">
                  <c:v>20</c:v>
                </c:pt>
                <c:pt idx="313">
                  <c:v>20</c:v>
                </c:pt>
                <c:pt idx="314">
                  <c:v>20</c:v>
                </c:pt>
                <c:pt idx="315">
                  <c:v>20</c:v>
                </c:pt>
                <c:pt idx="316">
                  <c:v>20</c:v>
                </c:pt>
                <c:pt idx="317">
                  <c:v>20</c:v>
                </c:pt>
                <c:pt idx="318">
                  <c:v>20</c:v>
                </c:pt>
                <c:pt idx="319">
                  <c:v>20</c:v>
                </c:pt>
                <c:pt idx="320">
                  <c:v>20</c:v>
                </c:pt>
                <c:pt idx="321">
                  <c:v>20</c:v>
                </c:pt>
                <c:pt idx="322">
                  <c:v>20</c:v>
                </c:pt>
                <c:pt idx="323">
                  <c:v>20</c:v>
                </c:pt>
                <c:pt idx="324">
                  <c:v>20</c:v>
                </c:pt>
                <c:pt idx="325">
                  <c:v>20</c:v>
                </c:pt>
                <c:pt idx="326">
                  <c:v>20</c:v>
                </c:pt>
                <c:pt idx="327">
                  <c:v>20</c:v>
                </c:pt>
                <c:pt idx="328">
                  <c:v>20</c:v>
                </c:pt>
                <c:pt idx="329">
                  <c:v>20</c:v>
                </c:pt>
                <c:pt idx="330">
                  <c:v>20</c:v>
                </c:pt>
                <c:pt idx="331">
                  <c:v>20</c:v>
                </c:pt>
                <c:pt idx="332">
                  <c:v>20</c:v>
                </c:pt>
                <c:pt idx="333">
                  <c:v>20</c:v>
                </c:pt>
                <c:pt idx="334">
                  <c:v>20</c:v>
                </c:pt>
                <c:pt idx="335">
                  <c:v>20</c:v>
                </c:pt>
                <c:pt idx="336">
                  <c:v>20</c:v>
                </c:pt>
                <c:pt idx="337">
                  <c:v>20</c:v>
                </c:pt>
                <c:pt idx="338">
                  <c:v>20</c:v>
                </c:pt>
                <c:pt idx="339">
                  <c:v>20</c:v>
                </c:pt>
                <c:pt idx="340">
                  <c:v>20</c:v>
                </c:pt>
                <c:pt idx="341">
                  <c:v>20</c:v>
                </c:pt>
                <c:pt idx="342">
                  <c:v>20</c:v>
                </c:pt>
                <c:pt idx="343">
                  <c:v>20</c:v>
                </c:pt>
                <c:pt idx="344">
                  <c:v>20</c:v>
                </c:pt>
                <c:pt idx="345">
                  <c:v>20</c:v>
                </c:pt>
                <c:pt idx="346">
                  <c:v>20</c:v>
                </c:pt>
                <c:pt idx="347">
                  <c:v>20</c:v>
                </c:pt>
                <c:pt idx="348">
                  <c:v>20</c:v>
                </c:pt>
                <c:pt idx="349">
                  <c:v>20</c:v>
                </c:pt>
                <c:pt idx="350">
                  <c:v>20</c:v>
                </c:pt>
                <c:pt idx="351">
                  <c:v>20</c:v>
                </c:pt>
                <c:pt idx="352">
                  <c:v>20</c:v>
                </c:pt>
                <c:pt idx="353">
                  <c:v>20</c:v>
                </c:pt>
                <c:pt idx="354">
                  <c:v>20</c:v>
                </c:pt>
                <c:pt idx="355">
                  <c:v>20</c:v>
                </c:pt>
                <c:pt idx="356">
                  <c:v>20</c:v>
                </c:pt>
                <c:pt idx="357">
                  <c:v>20</c:v>
                </c:pt>
                <c:pt idx="358">
                  <c:v>20</c:v>
                </c:pt>
                <c:pt idx="359">
                  <c:v>20</c:v>
                </c:pt>
                <c:pt idx="360">
                  <c:v>20</c:v>
                </c:pt>
                <c:pt idx="361">
                  <c:v>20</c:v>
                </c:pt>
                <c:pt idx="362">
                  <c:v>20</c:v>
                </c:pt>
                <c:pt idx="363">
                  <c:v>20</c:v>
                </c:pt>
                <c:pt idx="364">
                  <c:v>20</c:v>
                </c:pt>
                <c:pt idx="365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011-0844-8364-DA0F5B1CFBCA}"/>
            </c:ext>
          </c:extLst>
        </c:ser>
        <c:ser>
          <c:idx val="12"/>
          <c:order val="12"/>
          <c:tx>
            <c:strRef>
              <c:f>List1!$Q$4</c:f>
              <c:strCache>
                <c:ptCount val="1"/>
                <c:pt idx="0">
                  <c:v>2011</c:v>
                </c:pt>
              </c:strCache>
            </c:strRef>
          </c:tx>
          <c:spPr>
            <a:ln w="28800">
              <a:solidFill>
                <a:srgbClr val="158466">
                  <a:alpha val="6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List1!$Q$5:$Q$370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1</c:v>
                </c:pt>
                <c:pt idx="119">
                  <c:v>1</c:v>
                </c:pt>
                <c:pt idx="120">
                  <c:v>2</c:v>
                </c:pt>
                <c:pt idx="121">
                  <c:v>2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5</c:v>
                </c:pt>
                <c:pt idx="140">
                  <c:v>6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9</c:v>
                </c:pt>
                <c:pt idx="152">
                  <c:v>10</c:v>
                </c:pt>
                <c:pt idx="153">
                  <c:v>10</c:v>
                </c:pt>
                <c:pt idx="154">
                  <c:v>10</c:v>
                </c:pt>
                <c:pt idx="155">
                  <c:v>10</c:v>
                </c:pt>
                <c:pt idx="156">
                  <c:v>11</c:v>
                </c:pt>
                <c:pt idx="157">
                  <c:v>12</c:v>
                </c:pt>
                <c:pt idx="158">
                  <c:v>13</c:v>
                </c:pt>
                <c:pt idx="159">
                  <c:v>13</c:v>
                </c:pt>
                <c:pt idx="160">
                  <c:v>13</c:v>
                </c:pt>
                <c:pt idx="161">
                  <c:v>13</c:v>
                </c:pt>
                <c:pt idx="162">
                  <c:v>13</c:v>
                </c:pt>
                <c:pt idx="163">
                  <c:v>13</c:v>
                </c:pt>
                <c:pt idx="164">
                  <c:v>13</c:v>
                </c:pt>
                <c:pt idx="165">
                  <c:v>14</c:v>
                </c:pt>
                <c:pt idx="166">
                  <c:v>14</c:v>
                </c:pt>
                <c:pt idx="167">
                  <c:v>15</c:v>
                </c:pt>
                <c:pt idx="168">
                  <c:v>15</c:v>
                </c:pt>
                <c:pt idx="169">
                  <c:v>15</c:v>
                </c:pt>
                <c:pt idx="170">
                  <c:v>15</c:v>
                </c:pt>
                <c:pt idx="171">
                  <c:v>15</c:v>
                </c:pt>
                <c:pt idx="172">
                  <c:v>15</c:v>
                </c:pt>
                <c:pt idx="173">
                  <c:v>16</c:v>
                </c:pt>
                <c:pt idx="174">
                  <c:v>17</c:v>
                </c:pt>
                <c:pt idx="175">
                  <c:v>17</c:v>
                </c:pt>
                <c:pt idx="176">
                  <c:v>17</c:v>
                </c:pt>
                <c:pt idx="177">
                  <c:v>17</c:v>
                </c:pt>
                <c:pt idx="178">
                  <c:v>17</c:v>
                </c:pt>
                <c:pt idx="179">
                  <c:v>17</c:v>
                </c:pt>
                <c:pt idx="180">
                  <c:v>17</c:v>
                </c:pt>
                <c:pt idx="181">
                  <c:v>17</c:v>
                </c:pt>
                <c:pt idx="182">
                  <c:v>17</c:v>
                </c:pt>
                <c:pt idx="183">
                  <c:v>17</c:v>
                </c:pt>
                <c:pt idx="184">
                  <c:v>17</c:v>
                </c:pt>
                <c:pt idx="185">
                  <c:v>17</c:v>
                </c:pt>
                <c:pt idx="186">
                  <c:v>17</c:v>
                </c:pt>
                <c:pt idx="187">
                  <c:v>18</c:v>
                </c:pt>
                <c:pt idx="188">
                  <c:v>19</c:v>
                </c:pt>
                <c:pt idx="189">
                  <c:v>20</c:v>
                </c:pt>
                <c:pt idx="190">
                  <c:v>20</c:v>
                </c:pt>
                <c:pt idx="191">
                  <c:v>21</c:v>
                </c:pt>
                <c:pt idx="192">
                  <c:v>22</c:v>
                </c:pt>
                <c:pt idx="193">
                  <c:v>22</c:v>
                </c:pt>
                <c:pt idx="194">
                  <c:v>23</c:v>
                </c:pt>
                <c:pt idx="195">
                  <c:v>23</c:v>
                </c:pt>
                <c:pt idx="196">
                  <c:v>23</c:v>
                </c:pt>
                <c:pt idx="197">
                  <c:v>23</c:v>
                </c:pt>
                <c:pt idx="198">
                  <c:v>23</c:v>
                </c:pt>
                <c:pt idx="199">
                  <c:v>23</c:v>
                </c:pt>
                <c:pt idx="200">
                  <c:v>23</c:v>
                </c:pt>
                <c:pt idx="201">
                  <c:v>24</c:v>
                </c:pt>
                <c:pt idx="202">
                  <c:v>24</c:v>
                </c:pt>
                <c:pt idx="203">
                  <c:v>24</c:v>
                </c:pt>
                <c:pt idx="204">
                  <c:v>24</c:v>
                </c:pt>
                <c:pt idx="205">
                  <c:v>24</c:v>
                </c:pt>
                <c:pt idx="206">
                  <c:v>24</c:v>
                </c:pt>
                <c:pt idx="207">
                  <c:v>24</c:v>
                </c:pt>
                <c:pt idx="208">
                  <c:v>24</c:v>
                </c:pt>
                <c:pt idx="209">
                  <c:v>24</c:v>
                </c:pt>
                <c:pt idx="210">
                  <c:v>24</c:v>
                </c:pt>
                <c:pt idx="211">
                  <c:v>24</c:v>
                </c:pt>
                <c:pt idx="212">
                  <c:v>24</c:v>
                </c:pt>
                <c:pt idx="213">
                  <c:v>24</c:v>
                </c:pt>
                <c:pt idx="214">
                  <c:v>24</c:v>
                </c:pt>
                <c:pt idx="215">
                  <c:v>24</c:v>
                </c:pt>
                <c:pt idx="216">
                  <c:v>25</c:v>
                </c:pt>
                <c:pt idx="217">
                  <c:v>25</c:v>
                </c:pt>
                <c:pt idx="218">
                  <c:v>25</c:v>
                </c:pt>
                <c:pt idx="219">
                  <c:v>25</c:v>
                </c:pt>
                <c:pt idx="220">
                  <c:v>25</c:v>
                </c:pt>
                <c:pt idx="221">
                  <c:v>25</c:v>
                </c:pt>
                <c:pt idx="222">
                  <c:v>25</c:v>
                </c:pt>
                <c:pt idx="223">
                  <c:v>25</c:v>
                </c:pt>
                <c:pt idx="224">
                  <c:v>25</c:v>
                </c:pt>
                <c:pt idx="225">
                  <c:v>25</c:v>
                </c:pt>
                <c:pt idx="226">
                  <c:v>26</c:v>
                </c:pt>
                <c:pt idx="227">
                  <c:v>26</c:v>
                </c:pt>
                <c:pt idx="228">
                  <c:v>26</c:v>
                </c:pt>
                <c:pt idx="229">
                  <c:v>26</c:v>
                </c:pt>
                <c:pt idx="230">
                  <c:v>26</c:v>
                </c:pt>
                <c:pt idx="231">
                  <c:v>27</c:v>
                </c:pt>
                <c:pt idx="232">
                  <c:v>27</c:v>
                </c:pt>
                <c:pt idx="233">
                  <c:v>27</c:v>
                </c:pt>
                <c:pt idx="234">
                  <c:v>27</c:v>
                </c:pt>
                <c:pt idx="235">
                  <c:v>27</c:v>
                </c:pt>
                <c:pt idx="236">
                  <c:v>28</c:v>
                </c:pt>
                <c:pt idx="237">
                  <c:v>29</c:v>
                </c:pt>
                <c:pt idx="238">
                  <c:v>29</c:v>
                </c:pt>
                <c:pt idx="239">
                  <c:v>29</c:v>
                </c:pt>
                <c:pt idx="240">
                  <c:v>29</c:v>
                </c:pt>
                <c:pt idx="241">
                  <c:v>29</c:v>
                </c:pt>
                <c:pt idx="242">
                  <c:v>29</c:v>
                </c:pt>
                <c:pt idx="243">
                  <c:v>29</c:v>
                </c:pt>
                <c:pt idx="244">
                  <c:v>29</c:v>
                </c:pt>
                <c:pt idx="245">
                  <c:v>29</c:v>
                </c:pt>
                <c:pt idx="246">
                  <c:v>29</c:v>
                </c:pt>
                <c:pt idx="247">
                  <c:v>29</c:v>
                </c:pt>
                <c:pt idx="248">
                  <c:v>30</c:v>
                </c:pt>
                <c:pt idx="249">
                  <c:v>30</c:v>
                </c:pt>
                <c:pt idx="250">
                  <c:v>30</c:v>
                </c:pt>
                <c:pt idx="251">
                  <c:v>30</c:v>
                </c:pt>
                <c:pt idx="252">
                  <c:v>30</c:v>
                </c:pt>
                <c:pt idx="253">
                  <c:v>30</c:v>
                </c:pt>
                <c:pt idx="254">
                  <c:v>31</c:v>
                </c:pt>
                <c:pt idx="255">
                  <c:v>31</c:v>
                </c:pt>
                <c:pt idx="256">
                  <c:v>31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31</c:v>
                </c:pt>
                <c:pt idx="264">
                  <c:v>31</c:v>
                </c:pt>
                <c:pt idx="265">
                  <c:v>31</c:v>
                </c:pt>
                <c:pt idx="266">
                  <c:v>31</c:v>
                </c:pt>
                <c:pt idx="267">
                  <c:v>31</c:v>
                </c:pt>
                <c:pt idx="268">
                  <c:v>31</c:v>
                </c:pt>
                <c:pt idx="269">
                  <c:v>31</c:v>
                </c:pt>
                <c:pt idx="270">
                  <c:v>32</c:v>
                </c:pt>
                <c:pt idx="271">
                  <c:v>32</c:v>
                </c:pt>
                <c:pt idx="272">
                  <c:v>32</c:v>
                </c:pt>
                <c:pt idx="273">
                  <c:v>32</c:v>
                </c:pt>
                <c:pt idx="274">
                  <c:v>32</c:v>
                </c:pt>
                <c:pt idx="275">
                  <c:v>32</c:v>
                </c:pt>
                <c:pt idx="276">
                  <c:v>32</c:v>
                </c:pt>
                <c:pt idx="277">
                  <c:v>32</c:v>
                </c:pt>
                <c:pt idx="278">
                  <c:v>32</c:v>
                </c:pt>
                <c:pt idx="279">
                  <c:v>32</c:v>
                </c:pt>
                <c:pt idx="280">
                  <c:v>32</c:v>
                </c:pt>
                <c:pt idx="281">
                  <c:v>32</c:v>
                </c:pt>
                <c:pt idx="282">
                  <c:v>32</c:v>
                </c:pt>
                <c:pt idx="283">
                  <c:v>32</c:v>
                </c:pt>
                <c:pt idx="284">
                  <c:v>32</c:v>
                </c:pt>
                <c:pt idx="285">
                  <c:v>32</c:v>
                </c:pt>
                <c:pt idx="286">
                  <c:v>32</c:v>
                </c:pt>
                <c:pt idx="287">
                  <c:v>32</c:v>
                </c:pt>
                <c:pt idx="288">
                  <c:v>32</c:v>
                </c:pt>
                <c:pt idx="289">
                  <c:v>32</c:v>
                </c:pt>
                <c:pt idx="290">
                  <c:v>32</c:v>
                </c:pt>
                <c:pt idx="291">
                  <c:v>32</c:v>
                </c:pt>
                <c:pt idx="292">
                  <c:v>32</c:v>
                </c:pt>
                <c:pt idx="293">
                  <c:v>32</c:v>
                </c:pt>
                <c:pt idx="294">
                  <c:v>32</c:v>
                </c:pt>
                <c:pt idx="295">
                  <c:v>32</c:v>
                </c:pt>
                <c:pt idx="296">
                  <c:v>32</c:v>
                </c:pt>
                <c:pt idx="297">
                  <c:v>32</c:v>
                </c:pt>
                <c:pt idx="298">
                  <c:v>32</c:v>
                </c:pt>
                <c:pt idx="299">
                  <c:v>32</c:v>
                </c:pt>
                <c:pt idx="300">
                  <c:v>32</c:v>
                </c:pt>
                <c:pt idx="301">
                  <c:v>32</c:v>
                </c:pt>
                <c:pt idx="302">
                  <c:v>32</c:v>
                </c:pt>
                <c:pt idx="303">
                  <c:v>32</c:v>
                </c:pt>
                <c:pt idx="304">
                  <c:v>32</c:v>
                </c:pt>
                <c:pt idx="305">
                  <c:v>32</c:v>
                </c:pt>
                <c:pt idx="306">
                  <c:v>32</c:v>
                </c:pt>
                <c:pt idx="307">
                  <c:v>32</c:v>
                </c:pt>
                <c:pt idx="308">
                  <c:v>32</c:v>
                </c:pt>
                <c:pt idx="309">
                  <c:v>32</c:v>
                </c:pt>
                <c:pt idx="310">
                  <c:v>32</c:v>
                </c:pt>
                <c:pt idx="311">
                  <c:v>32</c:v>
                </c:pt>
                <c:pt idx="312">
                  <c:v>32</c:v>
                </c:pt>
                <c:pt idx="313">
                  <c:v>32</c:v>
                </c:pt>
                <c:pt idx="314">
                  <c:v>32</c:v>
                </c:pt>
                <c:pt idx="315">
                  <c:v>32</c:v>
                </c:pt>
                <c:pt idx="316">
                  <c:v>32</c:v>
                </c:pt>
                <c:pt idx="317">
                  <c:v>32</c:v>
                </c:pt>
                <c:pt idx="318">
                  <c:v>32</c:v>
                </c:pt>
                <c:pt idx="319">
                  <c:v>32</c:v>
                </c:pt>
                <c:pt idx="320">
                  <c:v>32</c:v>
                </c:pt>
                <c:pt idx="321">
                  <c:v>32</c:v>
                </c:pt>
                <c:pt idx="322">
                  <c:v>32</c:v>
                </c:pt>
                <c:pt idx="323">
                  <c:v>32</c:v>
                </c:pt>
                <c:pt idx="324">
                  <c:v>32</c:v>
                </c:pt>
                <c:pt idx="325">
                  <c:v>32</c:v>
                </c:pt>
                <c:pt idx="326">
                  <c:v>32</c:v>
                </c:pt>
                <c:pt idx="327">
                  <c:v>32</c:v>
                </c:pt>
                <c:pt idx="328">
                  <c:v>32</c:v>
                </c:pt>
                <c:pt idx="329">
                  <c:v>32</c:v>
                </c:pt>
                <c:pt idx="330">
                  <c:v>32</c:v>
                </c:pt>
                <c:pt idx="331">
                  <c:v>32</c:v>
                </c:pt>
                <c:pt idx="332">
                  <c:v>32</c:v>
                </c:pt>
                <c:pt idx="333">
                  <c:v>32</c:v>
                </c:pt>
                <c:pt idx="334">
                  <c:v>32</c:v>
                </c:pt>
                <c:pt idx="335">
                  <c:v>32</c:v>
                </c:pt>
                <c:pt idx="336">
                  <c:v>32</c:v>
                </c:pt>
                <c:pt idx="337">
                  <c:v>32</c:v>
                </c:pt>
                <c:pt idx="338">
                  <c:v>32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32</c:v>
                </c:pt>
                <c:pt idx="343">
                  <c:v>32</c:v>
                </c:pt>
                <c:pt idx="344">
                  <c:v>32</c:v>
                </c:pt>
                <c:pt idx="345">
                  <c:v>32</c:v>
                </c:pt>
                <c:pt idx="346">
                  <c:v>32</c:v>
                </c:pt>
                <c:pt idx="347">
                  <c:v>32</c:v>
                </c:pt>
                <c:pt idx="348">
                  <c:v>32</c:v>
                </c:pt>
                <c:pt idx="349">
                  <c:v>32</c:v>
                </c:pt>
                <c:pt idx="350">
                  <c:v>32</c:v>
                </c:pt>
                <c:pt idx="351">
                  <c:v>32</c:v>
                </c:pt>
                <c:pt idx="352">
                  <c:v>32</c:v>
                </c:pt>
                <c:pt idx="353">
                  <c:v>32</c:v>
                </c:pt>
                <c:pt idx="354">
                  <c:v>32</c:v>
                </c:pt>
                <c:pt idx="355">
                  <c:v>32</c:v>
                </c:pt>
                <c:pt idx="356">
                  <c:v>32</c:v>
                </c:pt>
                <c:pt idx="357">
                  <c:v>32</c:v>
                </c:pt>
                <c:pt idx="358">
                  <c:v>32</c:v>
                </c:pt>
                <c:pt idx="359">
                  <c:v>32</c:v>
                </c:pt>
                <c:pt idx="360">
                  <c:v>32</c:v>
                </c:pt>
                <c:pt idx="361">
                  <c:v>32</c:v>
                </c:pt>
                <c:pt idx="362">
                  <c:v>32</c:v>
                </c:pt>
                <c:pt idx="363">
                  <c:v>32</c:v>
                </c:pt>
                <c:pt idx="364">
                  <c:v>32</c:v>
                </c:pt>
                <c:pt idx="365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011-0844-8364-DA0F5B1CFBCA}"/>
            </c:ext>
          </c:extLst>
        </c:ser>
        <c:ser>
          <c:idx val="13"/>
          <c:order val="13"/>
          <c:tx>
            <c:strRef>
              <c:f>List1!$R$4</c:f>
              <c:strCache>
                <c:ptCount val="1"/>
                <c:pt idx="0">
                  <c:v>2012</c:v>
                </c:pt>
              </c:strCache>
            </c:strRef>
          </c:tx>
          <c:spPr>
            <a:ln w="28800">
              <a:solidFill>
                <a:srgbClr val="00A933">
                  <a:alpha val="6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List1!$R$5:$R$370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5</c:v>
                </c:pt>
                <c:pt idx="129">
                  <c:v>5</c:v>
                </c:pt>
                <c:pt idx="130">
                  <c:v>5</c:v>
                </c:pt>
                <c:pt idx="131">
                  <c:v>6</c:v>
                </c:pt>
                <c:pt idx="132">
                  <c:v>7</c:v>
                </c:pt>
                <c:pt idx="133">
                  <c:v>7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7</c:v>
                </c:pt>
                <c:pt idx="141">
                  <c:v>7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9</c:v>
                </c:pt>
                <c:pt idx="156">
                  <c:v>9</c:v>
                </c:pt>
                <c:pt idx="157">
                  <c:v>9</c:v>
                </c:pt>
                <c:pt idx="158">
                  <c:v>9</c:v>
                </c:pt>
                <c:pt idx="159">
                  <c:v>9</c:v>
                </c:pt>
                <c:pt idx="160">
                  <c:v>9</c:v>
                </c:pt>
                <c:pt idx="161">
                  <c:v>9</c:v>
                </c:pt>
                <c:pt idx="162">
                  <c:v>9</c:v>
                </c:pt>
                <c:pt idx="163">
                  <c:v>9</c:v>
                </c:pt>
                <c:pt idx="164">
                  <c:v>9</c:v>
                </c:pt>
                <c:pt idx="165">
                  <c:v>9</c:v>
                </c:pt>
                <c:pt idx="166">
                  <c:v>9</c:v>
                </c:pt>
                <c:pt idx="167">
                  <c:v>10</c:v>
                </c:pt>
                <c:pt idx="168">
                  <c:v>11</c:v>
                </c:pt>
                <c:pt idx="169">
                  <c:v>12</c:v>
                </c:pt>
                <c:pt idx="170">
                  <c:v>12</c:v>
                </c:pt>
                <c:pt idx="171">
                  <c:v>13</c:v>
                </c:pt>
                <c:pt idx="172">
                  <c:v>14</c:v>
                </c:pt>
                <c:pt idx="173">
                  <c:v>14</c:v>
                </c:pt>
                <c:pt idx="174">
                  <c:v>14</c:v>
                </c:pt>
                <c:pt idx="175">
                  <c:v>14</c:v>
                </c:pt>
                <c:pt idx="176">
                  <c:v>14</c:v>
                </c:pt>
                <c:pt idx="177">
                  <c:v>14</c:v>
                </c:pt>
                <c:pt idx="178">
                  <c:v>14</c:v>
                </c:pt>
                <c:pt idx="179">
                  <c:v>14</c:v>
                </c:pt>
                <c:pt idx="180">
                  <c:v>14</c:v>
                </c:pt>
                <c:pt idx="181">
                  <c:v>15</c:v>
                </c:pt>
                <c:pt idx="182">
                  <c:v>16</c:v>
                </c:pt>
                <c:pt idx="183">
                  <c:v>17</c:v>
                </c:pt>
                <c:pt idx="184">
                  <c:v>18</c:v>
                </c:pt>
                <c:pt idx="185">
                  <c:v>18</c:v>
                </c:pt>
                <c:pt idx="186">
                  <c:v>19</c:v>
                </c:pt>
                <c:pt idx="187">
                  <c:v>20</c:v>
                </c:pt>
                <c:pt idx="188">
                  <c:v>20</c:v>
                </c:pt>
                <c:pt idx="189">
                  <c:v>20</c:v>
                </c:pt>
                <c:pt idx="190">
                  <c:v>20</c:v>
                </c:pt>
                <c:pt idx="191">
                  <c:v>21</c:v>
                </c:pt>
                <c:pt idx="192">
                  <c:v>21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23</c:v>
                </c:pt>
                <c:pt idx="197">
                  <c:v>23</c:v>
                </c:pt>
                <c:pt idx="198">
                  <c:v>23</c:v>
                </c:pt>
                <c:pt idx="199">
                  <c:v>23</c:v>
                </c:pt>
                <c:pt idx="200">
                  <c:v>23</c:v>
                </c:pt>
                <c:pt idx="201">
                  <c:v>23</c:v>
                </c:pt>
                <c:pt idx="202">
                  <c:v>24</c:v>
                </c:pt>
                <c:pt idx="203">
                  <c:v>24</c:v>
                </c:pt>
                <c:pt idx="204">
                  <c:v>24</c:v>
                </c:pt>
                <c:pt idx="205">
                  <c:v>24</c:v>
                </c:pt>
                <c:pt idx="206">
                  <c:v>24</c:v>
                </c:pt>
                <c:pt idx="207">
                  <c:v>24</c:v>
                </c:pt>
                <c:pt idx="208">
                  <c:v>24</c:v>
                </c:pt>
                <c:pt idx="209">
                  <c:v>25</c:v>
                </c:pt>
                <c:pt idx="210">
                  <c:v>25</c:v>
                </c:pt>
                <c:pt idx="211">
                  <c:v>25</c:v>
                </c:pt>
                <c:pt idx="212">
                  <c:v>25</c:v>
                </c:pt>
                <c:pt idx="213">
                  <c:v>25</c:v>
                </c:pt>
                <c:pt idx="214">
                  <c:v>26</c:v>
                </c:pt>
                <c:pt idx="215">
                  <c:v>27</c:v>
                </c:pt>
                <c:pt idx="216">
                  <c:v>27</c:v>
                </c:pt>
                <c:pt idx="217">
                  <c:v>28</c:v>
                </c:pt>
                <c:pt idx="218">
                  <c:v>28</c:v>
                </c:pt>
                <c:pt idx="219">
                  <c:v>28</c:v>
                </c:pt>
                <c:pt idx="220">
                  <c:v>28</c:v>
                </c:pt>
                <c:pt idx="221">
                  <c:v>28</c:v>
                </c:pt>
                <c:pt idx="222">
                  <c:v>28</c:v>
                </c:pt>
                <c:pt idx="223">
                  <c:v>28</c:v>
                </c:pt>
                <c:pt idx="224">
                  <c:v>28</c:v>
                </c:pt>
                <c:pt idx="225">
                  <c:v>28</c:v>
                </c:pt>
                <c:pt idx="226">
                  <c:v>28</c:v>
                </c:pt>
                <c:pt idx="227">
                  <c:v>28</c:v>
                </c:pt>
                <c:pt idx="228">
                  <c:v>28</c:v>
                </c:pt>
                <c:pt idx="229">
                  <c:v>28</c:v>
                </c:pt>
                <c:pt idx="230">
                  <c:v>28</c:v>
                </c:pt>
                <c:pt idx="231">
                  <c:v>28</c:v>
                </c:pt>
                <c:pt idx="232">
                  <c:v>28</c:v>
                </c:pt>
                <c:pt idx="233">
                  <c:v>29</c:v>
                </c:pt>
                <c:pt idx="234">
                  <c:v>30</c:v>
                </c:pt>
                <c:pt idx="235">
                  <c:v>30</c:v>
                </c:pt>
                <c:pt idx="236">
                  <c:v>30</c:v>
                </c:pt>
                <c:pt idx="237">
                  <c:v>30</c:v>
                </c:pt>
                <c:pt idx="238">
                  <c:v>30</c:v>
                </c:pt>
                <c:pt idx="239">
                  <c:v>30</c:v>
                </c:pt>
                <c:pt idx="240">
                  <c:v>30</c:v>
                </c:pt>
                <c:pt idx="241">
                  <c:v>30</c:v>
                </c:pt>
                <c:pt idx="242">
                  <c:v>31</c:v>
                </c:pt>
                <c:pt idx="243">
                  <c:v>31</c:v>
                </c:pt>
                <c:pt idx="244">
                  <c:v>31</c:v>
                </c:pt>
                <c:pt idx="245">
                  <c:v>31</c:v>
                </c:pt>
                <c:pt idx="246">
                  <c:v>31</c:v>
                </c:pt>
                <c:pt idx="247">
                  <c:v>31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31</c:v>
                </c:pt>
                <c:pt idx="252">
                  <c:v>31</c:v>
                </c:pt>
                <c:pt idx="253">
                  <c:v>32</c:v>
                </c:pt>
                <c:pt idx="254">
                  <c:v>33</c:v>
                </c:pt>
                <c:pt idx="255">
                  <c:v>33</c:v>
                </c:pt>
                <c:pt idx="256">
                  <c:v>33</c:v>
                </c:pt>
                <c:pt idx="257">
                  <c:v>33</c:v>
                </c:pt>
                <c:pt idx="258">
                  <c:v>33</c:v>
                </c:pt>
                <c:pt idx="259">
                  <c:v>33</c:v>
                </c:pt>
                <c:pt idx="260">
                  <c:v>33</c:v>
                </c:pt>
                <c:pt idx="261">
                  <c:v>33</c:v>
                </c:pt>
                <c:pt idx="262">
                  <c:v>33</c:v>
                </c:pt>
                <c:pt idx="263">
                  <c:v>33</c:v>
                </c:pt>
                <c:pt idx="264">
                  <c:v>33</c:v>
                </c:pt>
                <c:pt idx="265">
                  <c:v>33</c:v>
                </c:pt>
                <c:pt idx="266">
                  <c:v>33</c:v>
                </c:pt>
                <c:pt idx="267">
                  <c:v>33</c:v>
                </c:pt>
                <c:pt idx="268">
                  <c:v>33</c:v>
                </c:pt>
                <c:pt idx="269">
                  <c:v>33</c:v>
                </c:pt>
                <c:pt idx="270">
                  <c:v>33</c:v>
                </c:pt>
                <c:pt idx="271">
                  <c:v>33</c:v>
                </c:pt>
                <c:pt idx="272">
                  <c:v>33</c:v>
                </c:pt>
                <c:pt idx="273">
                  <c:v>33</c:v>
                </c:pt>
                <c:pt idx="274">
                  <c:v>33</c:v>
                </c:pt>
                <c:pt idx="275">
                  <c:v>33</c:v>
                </c:pt>
                <c:pt idx="276">
                  <c:v>33</c:v>
                </c:pt>
                <c:pt idx="277">
                  <c:v>33</c:v>
                </c:pt>
                <c:pt idx="278">
                  <c:v>33</c:v>
                </c:pt>
                <c:pt idx="279">
                  <c:v>33</c:v>
                </c:pt>
                <c:pt idx="280">
                  <c:v>33</c:v>
                </c:pt>
                <c:pt idx="281">
                  <c:v>33</c:v>
                </c:pt>
                <c:pt idx="282">
                  <c:v>33</c:v>
                </c:pt>
                <c:pt idx="283">
                  <c:v>33</c:v>
                </c:pt>
                <c:pt idx="284">
                  <c:v>33</c:v>
                </c:pt>
                <c:pt idx="285">
                  <c:v>33</c:v>
                </c:pt>
                <c:pt idx="286">
                  <c:v>33</c:v>
                </c:pt>
                <c:pt idx="287">
                  <c:v>33</c:v>
                </c:pt>
                <c:pt idx="288">
                  <c:v>33</c:v>
                </c:pt>
                <c:pt idx="289">
                  <c:v>33</c:v>
                </c:pt>
                <c:pt idx="290">
                  <c:v>33</c:v>
                </c:pt>
                <c:pt idx="291">
                  <c:v>33</c:v>
                </c:pt>
                <c:pt idx="292">
                  <c:v>33</c:v>
                </c:pt>
                <c:pt idx="293">
                  <c:v>33</c:v>
                </c:pt>
                <c:pt idx="294">
                  <c:v>33</c:v>
                </c:pt>
                <c:pt idx="295">
                  <c:v>33</c:v>
                </c:pt>
                <c:pt idx="296">
                  <c:v>33</c:v>
                </c:pt>
                <c:pt idx="297">
                  <c:v>33</c:v>
                </c:pt>
                <c:pt idx="298">
                  <c:v>33</c:v>
                </c:pt>
                <c:pt idx="299">
                  <c:v>33</c:v>
                </c:pt>
                <c:pt idx="300">
                  <c:v>33</c:v>
                </c:pt>
                <c:pt idx="301">
                  <c:v>33</c:v>
                </c:pt>
                <c:pt idx="302">
                  <c:v>33</c:v>
                </c:pt>
                <c:pt idx="303">
                  <c:v>33</c:v>
                </c:pt>
                <c:pt idx="304">
                  <c:v>33</c:v>
                </c:pt>
                <c:pt idx="305">
                  <c:v>33</c:v>
                </c:pt>
                <c:pt idx="306">
                  <c:v>33</c:v>
                </c:pt>
                <c:pt idx="307">
                  <c:v>33</c:v>
                </c:pt>
                <c:pt idx="308">
                  <c:v>33</c:v>
                </c:pt>
                <c:pt idx="309">
                  <c:v>33</c:v>
                </c:pt>
                <c:pt idx="310">
                  <c:v>33</c:v>
                </c:pt>
                <c:pt idx="311">
                  <c:v>33</c:v>
                </c:pt>
                <c:pt idx="312">
                  <c:v>33</c:v>
                </c:pt>
                <c:pt idx="313">
                  <c:v>33</c:v>
                </c:pt>
                <c:pt idx="314">
                  <c:v>33</c:v>
                </c:pt>
                <c:pt idx="315">
                  <c:v>33</c:v>
                </c:pt>
                <c:pt idx="316">
                  <c:v>33</c:v>
                </c:pt>
                <c:pt idx="317">
                  <c:v>33</c:v>
                </c:pt>
                <c:pt idx="318">
                  <c:v>33</c:v>
                </c:pt>
                <c:pt idx="319">
                  <c:v>33</c:v>
                </c:pt>
                <c:pt idx="320">
                  <c:v>33</c:v>
                </c:pt>
                <c:pt idx="321">
                  <c:v>33</c:v>
                </c:pt>
                <c:pt idx="322">
                  <c:v>33</c:v>
                </c:pt>
                <c:pt idx="323">
                  <c:v>33</c:v>
                </c:pt>
                <c:pt idx="324">
                  <c:v>33</c:v>
                </c:pt>
                <c:pt idx="325">
                  <c:v>33</c:v>
                </c:pt>
                <c:pt idx="326">
                  <c:v>33</c:v>
                </c:pt>
                <c:pt idx="327">
                  <c:v>33</c:v>
                </c:pt>
                <c:pt idx="328">
                  <c:v>33</c:v>
                </c:pt>
                <c:pt idx="329">
                  <c:v>33</c:v>
                </c:pt>
                <c:pt idx="330">
                  <c:v>33</c:v>
                </c:pt>
                <c:pt idx="331">
                  <c:v>33</c:v>
                </c:pt>
                <c:pt idx="332">
                  <c:v>33</c:v>
                </c:pt>
                <c:pt idx="333">
                  <c:v>33</c:v>
                </c:pt>
                <c:pt idx="334">
                  <c:v>33</c:v>
                </c:pt>
                <c:pt idx="335">
                  <c:v>33</c:v>
                </c:pt>
                <c:pt idx="336">
                  <c:v>33</c:v>
                </c:pt>
                <c:pt idx="337">
                  <c:v>33</c:v>
                </c:pt>
                <c:pt idx="338">
                  <c:v>33</c:v>
                </c:pt>
                <c:pt idx="339">
                  <c:v>33</c:v>
                </c:pt>
                <c:pt idx="340">
                  <c:v>33</c:v>
                </c:pt>
                <c:pt idx="341">
                  <c:v>33</c:v>
                </c:pt>
                <c:pt idx="342">
                  <c:v>33</c:v>
                </c:pt>
                <c:pt idx="343">
                  <c:v>33</c:v>
                </c:pt>
                <c:pt idx="344">
                  <c:v>33</c:v>
                </c:pt>
                <c:pt idx="345">
                  <c:v>33</c:v>
                </c:pt>
                <c:pt idx="346">
                  <c:v>33</c:v>
                </c:pt>
                <c:pt idx="347">
                  <c:v>33</c:v>
                </c:pt>
                <c:pt idx="348">
                  <c:v>33</c:v>
                </c:pt>
                <c:pt idx="349">
                  <c:v>33</c:v>
                </c:pt>
                <c:pt idx="350">
                  <c:v>33</c:v>
                </c:pt>
                <c:pt idx="351">
                  <c:v>33</c:v>
                </c:pt>
                <c:pt idx="352">
                  <c:v>33</c:v>
                </c:pt>
                <c:pt idx="353">
                  <c:v>33</c:v>
                </c:pt>
                <c:pt idx="354">
                  <c:v>33</c:v>
                </c:pt>
                <c:pt idx="355">
                  <c:v>33</c:v>
                </c:pt>
                <c:pt idx="356">
                  <c:v>33</c:v>
                </c:pt>
                <c:pt idx="357">
                  <c:v>33</c:v>
                </c:pt>
                <c:pt idx="358">
                  <c:v>33</c:v>
                </c:pt>
                <c:pt idx="359">
                  <c:v>33</c:v>
                </c:pt>
                <c:pt idx="360">
                  <c:v>33</c:v>
                </c:pt>
                <c:pt idx="361">
                  <c:v>33</c:v>
                </c:pt>
                <c:pt idx="362">
                  <c:v>33</c:v>
                </c:pt>
                <c:pt idx="363">
                  <c:v>33</c:v>
                </c:pt>
                <c:pt idx="364">
                  <c:v>33</c:v>
                </c:pt>
                <c:pt idx="365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011-0844-8364-DA0F5B1CFBCA}"/>
            </c:ext>
          </c:extLst>
        </c:ser>
        <c:ser>
          <c:idx val="14"/>
          <c:order val="14"/>
          <c:tx>
            <c:strRef>
              <c:f>List1!$S$4</c:f>
              <c:strCache>
                <c:ptCount val="1"/>
                <c:pt idx="0">
                  <c:v>2013</c:v>
                </c:pt>
              </c:strCache>
            </c:strRef>
          </c:tx>
          <c:spPr>
            <a:ln w="28800">
              <a:solidFill>
                <a:srgbClr val="81D41A">
                  <a:alpha val="6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List1!$S$5:$S$370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2</c:v>
                </c:pt>
                <c:pt idx="118">
                  <c:v>2</c:v>
                </c:pt>
                <c:pt idx="119">
                  <c:v>2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3</c:v>
                </c:pt>
                <c:pt idx="126">
                  <c:v>3</c:v>
                </c:pt>
                <c:pt idx="127">
                  <c:v>4</c:v>
                </c:pt>
                <c:pt idx="128">
                  <c:v>5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7</c:v>
                </c:pt>
                <c:pt idx="140">
                  <c:v>7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9</c:v>
                </c:pt>
                <c:pt idx="159">
                  <c:v>9</c:v>
                </c:pt>
                <c:pt idx="160">
                  <c:v>10</c:v>
                </c:pt>
                <c:pt idx="161">
                  <c:v>10</c:v>
                </c:pt>
                <c:pt idx="162">
                  <c:v>10</c:v>
                </c:pt>
                <c:pt idx="163">
                  <c:v>10</c:v>
                </c:pt>
                <c:pt idx="164">
                  <c:v>10</c:v>
                </c:pt>
                <c:pt idx="165">
                  <c:v>10</c:v>
                </c:pt>
                <c:pt idx="166">
                  <c:v>10</c:v>
                </c:pt>
                <c:pt idx="167">
                  <c:v>10</c:v>
                </c:pt>
                <c:pt idx="168">
                  <c:v>10</c:v>
                </c:pt>
                <c:pt idx="169">
                  <c:v>10</c:v>
                </c:pt>
                <c:pt idx="170">
                  <c:v>10</c:v>
                </c:pt>
                <c:pt idx="171">
                  <c:v>11</c:v>
                </c:pt>
                <c:pt idx="172">
                  <c:v>12</c:v>
                </c:pt>
                <c:pt idx="173">
                  <c:v>12</c:v>
                </c:pt>
                <c:pt idx="174">
                  <c:v>12</c:v>
                </c:pt>
                <c:pt idx="175">
                  <c:v>12</c:v>
                </c:pt>
                <c:pt idx="176">
                  <c:v>12</c:v>
                </c:pt>
                <c:pt idx="177">
                  <c:v>12</c:v>
                </c:pt>
                <c:pt idx="178">
                  <c:v>12</c:v>
                </c:pt>
                <c:pt idx="179">
                  <c:v>12</c:v>
                </c:pt>
                <c:pt idx="180">
                  <c:v>12</c:v>
                </c:pt>
                <c:pt idx="181">
                  <c:v>12</c:v>
                </c:pt>
                <c:pt idx="182">
                  <c:v>12</c:v>
                </c:pt>
                <c:pt idx="183">
                  <c:v>12</c:v>
                </c:pt>
                <c:pt idx="184">
                  <c:v>12</c:v>
                </c:pt>
                <c:pt idx="185">
                  <c:v>12</c:v>
                </c:pt>
                <c:pt idx="186">
                  <c:v>12</c:v>
                </c:pt>
                <c:pt idx="187">
                  <c:v>12</c:v>
                </c:pt>
                <c:pt idx="188">
                  <c:v>12</c:v>
                </c:pt>
                <c:pt idx="189">
                  <c:v>12</c:v>
                </c:pt>
                <c:pt idx="190">
                  <c:v>12</c:v>
                </c:pt>
                <c:pt idx="191">
                  <c:v>12</c:v>
                </c:pt>
                <c:pt idx="192">
                  <c:v>12</c:v>
                </c:pt>
                <c:pt idx="193">
                  <c:v>12</c:v>
                </c:pt>
                <c:pt idx="194">
                  <c:v>12</c:v>
                </c:pt>
                <c:pt idx="195">
                  <c:v>12</c:v>
                </c:pt>
                <c:pt idx="196">
                  <c:v>12</c:v>
                </c:pt>
                <c:pt idx="197">
                  <c:v>12</c:v>
                </c:pt>
                <c:pt idx="198">
                  <c:v>12</c:v>
                </c:pt>
                <c:pt idx="199">
                  <c:v>12</c:v>
                </c:pt>
                <c:pt idx="200">
                  <c:v>12</c:v>
                </c:pt>
                <c:pt idx="201">
                  <c:v>12</c:v>
                </c:pt>
                <c:pt idx="202">
                  <c:v>12</c:v>
                </c:pt>
                <c:pt idx="203">
                  <c:v>12</c:v>
                </c:pt>
                <c:pt idx="204">
                  <c:v>12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14</c:v>
                </c:pt>
                <c:pt idx="210">
                  <c:v>15</c:v>
                </c:pt>
                <c:pt idx="211">
                  <c:v>15</c:v>
                </c:pt>
                <c:pt idx="212">
                  <c:v>15</c:v>
                </c:pt>
                <c:pt idx="213">
                  <c:v>15</c:v>
                </c:pt>
                <c:pt idx="214">
                  <c:v>15</c:v>
                </c:pt>
                <c:pt idx="215">
                  <c:v>16</c:v>
                </c:pt>
                <c:pt idx="216">
                  <c:v>17</c:v>
                </c:pt>
                <c:pt idx="217">
                  <c:v>17</c:v>
                </c:pt>
                <c:pt idx="218">
                  <c:v>18</c:v>
                </c:pt>
                <c:pt idx="219">
                  <c:v>18</c:v>
                </c:pt>
                <c:pt idx="220">
                  <c:v>18</c:v>
                </c:pt>
                <c:pt idx="221">
                  <c:v>18</c:v>
                </c:pt>
                <c:pt idx="222">
                  <c:v>19</c:v>
                </c:pt>
                <c:pt idx="223">
                  <c:v>19</c:v>
                </c:pt>
                <c:pt idx="224">
                  <c:v>19</c:v>
                </c:pt>
                <c:pt idx="225">
                  <c:v>19</c:v>
                </c:pt>
                <c:pt idx="226">
                  <c:v>19</c:v>
                </c:pt>
                <c:pt idx="227">
                  <c:v>19</c:v>
                </c:pt>
                <c:pt idx="228">
                  <c:v>19</c:v>
                </c:pt>
                <c:pt idx="229">
                  <c:v>19</c:v>
                </c:pt>
                <c:pt idx="230">
                  <c:v>19</c:v>
                </c:pt>
                <c:pt idx="231">
                  <c:v>19</c:v>
                </c:pt>
                <c:pt idx="232">
                  <c:v>19</c:v>
                </c:pt>
                <c:pt idx="233">
                  <c:v>19</c:v>
                </c:pt>
                <c:pt idx="234">
                  <c:v>19</c:v>
                </c:pt>
                <c:pt idx="235">
                  <c:v>19</c:v>
                </c:pt>
                <c:pt idx="236">
                  <c:v>19</c:v>
                </c:pt>
                <c:pt idx="237">
                  <c:v>19</c:v>
                </c:pt>
                <c:pt idx="238">
                  <c:v>19</c:v>
                </c:pt>
                <c:pt idx="239">
                  <c:v>19</c:v>
                </c:pt>
                <c:pt idx="240">
                  <c:v>19</c:v>
                </c:pt>
                <c:pt idx="241">
                  <c:v>19</c:v>
                </c:pt>
                <c:pt idx="242">
                  <c:v>19</c:v>
                </c:pt>
                <c:pt idx="243">
                  <c:v>19</c:v>
                </c:pt>
                <c:pt idx="244">
                  <c:v>19</c:v>
                </c:pt>
                <c:pt idx="245">
                  <c:v>19</c:v>
                </c:pt>
                <c:pt idx="246">
                  <c:v>19</c:v>
                </c:pt>
                <c:pt idx="247">
                  <c:v>19</c:v>
                </c:pt>
                <c:pt idx="248">
                  <c:v>19</c:v>
                </c:pt>
                <c:pt idx="249">
                  <c:v>19</c:v>
                </c:pt>
                <c:pt idx="250">
                  <c:v>19</c:v>
                </c:pt>
                <c:pt idx="251">
                  <c:v>19</c:v>
                </c:pt>
                <c:pt idx="252">
                  <c:v>20</c:v>
                </c:pt>
                <c:pt idx="253">
                  <c:v>20</c:v>
                </c:pt>
                <c:pt idx="254">
                  <c:v>20</c:v>
                </c:pt>
                <c:pt idx="255">
                  <c:v>20</c:v>
                </c:pt>
                <c:pt idx="256">
                  <c:v>20</c:v>
                </c:pt>
                <c:pt idx="257">
                  <c:v>20</c:v>
                </c:pt>
                <c:pt idx="258">
                  <c:v>20</c:v>
                </c:pt>
                <c:pt idx="259">
                  <c:v>20</c:v>
                </c:pt>
                <c:pt idx="260">
                  <c:v>20</c:v>
                </c:pt>
                <c:pt idx="261">
                  <c:v>20</c:v>
                </c:pt>
                <c:pt idx="262">
                  <c:v>20</c:v>
                </c:pt>
                <c:pt idx="263">
                  <c:v>20</c:v>
                </c:pt>
                <c:pt idx="264">
                  <c:v>20</c:v>
                </c:pt>
                <c:pt idx="265">
                  <c:v>20</c:v>
                </c:pt>
                <c:pt idx="266">
                  <c:v>20</c:v>
                </c:pt>
                <c:pt idx="267">
                  <c:v>20</c:v>
                </c:pt>
                <c:pt idx="268">
                  <c:v>20</c:v>
                </c:pt>
                <c:pt idx="269">
                  <c:v>20</c:v>
                </c:pt>
                <c:pt idx="270">
                  <c:v>20</c:v>
                </c:pt>
                <c:pt idx="271">
                  <c:v>20</c:v>
                </c:pt>
                <c:pt idx="272">
                  <c:v>20</c:v>
                </c:pt>
                <c:pt idx="273">
                  <c:v>20</c:v>
                </c:pt>
                <c:pt idx="274">
                  <c:v>20</c:v>
                </c:pt>
                <c:pt idx="275">
                  <c:v>20</c:v>
                </c:pt>
                <c:pt idx="276">
                  <c:v>20</c:v>
                </c:pt>
                <c:pt idx="277">
                  <c:v>20</c:v>
                </c:pt>
                <c:pt idx="278">
                  <c:v>20</c:v>
                </c:pt>
                <c:pt idx="279">
                  <c:v>20</c:v>
                </c:pt>
                <c:pt idx="280">
                  <c:v>20</c:v>
                </c:pt>
                <c:pt idx="281">
                  <c:v>20</c:v>
                </c:pt>
                <c:pt idx="282">
                  <c:v>20</c:v>
                </c:pt>
                <c:pt idx="283">
                  <c:v>20</c:v>
                </c:pt>
                <c:pt idx="284">
                  <c:v>20</c:v>
                </c:pt>
                <c:pt idx="285">
                  <c:v>20</c:v>
                </c:pt>
                <c:pt idx="286">
                  <c:v>20</c:v>
                </c:pt>
                <c:pt idx="287">
                  <c:v>20</c:v>
                </c:pt>
                <c:pt idx="288">
                  <c:v>20</c:v>
                </c:pt>
                <c:pt idx="289">
                  <c:v>20</c:v>
                </c:pt>
                <c:pt idx="290">
                  <c:v>20</c:v>
                </c:pt>
                <c:pt idx="291">
                  <c:v>20</c:v>
                </c:pt>
                <c:pt idx="292">
                  <c:v>20</c:v>
                </c:pt>
                <c:pt idx="293">
                  <c:v>20</c:v>
                </c:pt>
                <c:pt idx="294">
                  <c:v>20</c:v>
                </c:pt>
                <c:pt idx="295">
                  <c:v>20</c:v>
                </c:pt>
                <c:pt idx="296">
                  <c:v>20</c:v>
                </c:pt>
                <c:pt idx="297">
                  <c:v>20</c:v>
                </c:pt>
                <c:pt idx="298">
                  <c:v>20</c:v>
                </c:pt>
                <c:pt idx="299">
                  <c:v>20</c:v>
                </c:pt>
                <c:pt idx="300">
                  <c:v>20</c:v>
                </c:pt>
                <c:pt idx="301">
                  <c:v>20</c:v>
                </c:pt>
                <c:pt idx="302">
                  <c:v>20</c:v>
                </c:pt>
                <c:pt idx="303">
                  <c:v>20</c:v>
                </c:pt>
                <c:pt idx="304">
                  <c:v>20</c:v>
                </c:pt>
                <c:pt idx="305">
                  <c:v>20</c:v>
                </c:pt>
                <c:pt idx="306">
                  <c:v>20</c:v>
                </c:pt>
                <c:pt idx="307">
                  <c:v>20</c:v>
                </c:pt>
                <c:pt idx="308">
                  <c:v>20</c:v>
                </c:pt>
                <c:pt idx="309">
                  <c:v>20</c:v>
                </c:pt>
                <c:pt idx="310">
                  <c:v>20</c:v>
                </c:pt>
                <c:pt idx="311">
                  <c:v>20</c:v>
                </c:pt>
                <c:pt idx="312">
                  <c:v>20</c:v>
                </c:pt>
                <c:pt idx="313">
                  <c:v>20</c:v>
                </c:pt>
                <c:pt idx="314">
                  <c:v>20</c:v>
                </c:pt>
                <c:pt idx="315">
                  <c:v>20</c:v>
                </c:pt>
                <c:pt idx="316">
                  <c:v>20</c:v>
                </c:pt>
                <c:pt idx="317">
                  <c:v>20</c:v>
                </c:pt>
                <c:pt idx="318">
                  <c:v>20</c:v>
                </c:pt>
                <c:pt idx="319">
                  <c:v>20</c:v>
                </c:pt>
                <c:pt idx="320">
                  <c:v>20</c:v>
                </c:pt>
                <c:pt idx="321">
                  <c:v>20</c:v>
                </c:pt>
                <c:pt idx="322">
                  <c:v>20</c:v>
                </c:pt>
                <c:pt idx="323">
                  <c:v>20</c:v>
                </c:pt>
                <c:pt idx="324">
                  <c:v>20</c:v>
                </c:pt>
                <c:pt idx="325">
                  <c:v>20</c:v>
                </c:pt>
                <c:pt idx="326">
                  <c:v>20</c:v>
                </c:pt>
                <c:pt idx="327">
                  <c:v>20</c:v>
                </c:pt>
                <c:pt idx="328">
                  <c:v>20</c:v>
                </c:pt>
                <c:pt idx="329">
                  <c:v>20</c:v>
                </c:pt>
                <c:pt idx="330">
                  <c:v>20</c:v>
                </c:pt>
                <c:pt idx="331">
                  <c:v>20</c:v>
                </c:pt>
                <c:pt idx="332">
                  <c:v>20</c:v>
                </c:pt>
                <c:pt idx="333">
                  <c:v>20</c:v>
                </c:pt>
                <c:pt idx="334">
                  <c:v>20</c:v>
                </c:pt>
                <c:pt idx="335">
                  <c:v>20</c:v>
                </c:pt>
                <c:pt idx="336">
                  <c:v>20</c:v>
                </c:pt>
                <c:pt idx="337">
                  <c:v>20</c:v>
                </c:pt>
                <c:pt idx="338">
                  <c:v>20</c:v>
                </c:pt>
                <c:pt idx="339">
                  <c:v>20</c:v>
                </c:pt>
                <c:pt idx="340">
                  <c:v>20</c:v>
                </c:pt>
                <c:pt idx="341">
                  <c:v>20</c:v>
                </c:pt>
                <c:pt idx="342">
                  <c:v>20</c:v>
                </c:pt>
                <c:pt idx="343">
                  <c:v>20</c:v>
                </c:pt>
                <c:pt idx="344">
                  <c:v>20</c:v>
                </c:pt>
                <c:pt idx="345">
                  <c:v>20</c:v>
                </c:pt>
                <c:pt idx="346">
                  <c:v>20</c:v>
                </c:pt>
                <c:pt idx="347">
                  <c:v>20</c:v>
                </c:pt>
                <c:pt idx="348">
                  <c:v>20</c:v>
                </c:pt>
                <c:pt idx="349">
                  <c:v>20</c:v>
                </c:pt>
                <c:pt idx="350">
                  <c:v>20</c:v>
                </c:pt>
                <c:pt idx="351">
                  <c:v>20</c:v>
                </c:pt>
                <c:pt idx="352">
                  <c:v>20</c:v>
                </c:pt>
                <c:pt idx="353">
                  <c:v>20</c:v>
                </c:pt>
                <c:pt idx="354">
                  <c:v>20</c:v>
                </c:pt>
                <c:pt idx="355">
                  <c:v>20</c:v>
                </c:pt>
                <c:pt idx="356">
                  <c:v>20</c:v>
                </c:pt>
                <c:pt idx="357">
                  <c:v>20</c:v>
                </c:pt>
                <c:pt idx="358">
                  <c:v>20</c:v>
                </c:pt>
                <c:pt idx="359">
                  <c:v>20</c:v>
                </c:pt>
                <c:pt idx="360">
                  <c:v>20</c:v>
                </c:pt>
                <c:pt idx="361">
                  <c:v>20</c:v>
                </c:pt>
                <c:pt idx="362">
                  <c:v>20</c:v>
                </c:pt>
                <c:pt idx="363">
                  <c:v>20</c:v>
                </c:pt>
                <c:pt idx="364">
                  <c:v>20</c:v>
                </c:pt>
                <c:pt idx="365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011-0844-8364-DA0F5B1CFBCA}"/>
            </c:ext>
          </c:extLst>
        </c:ser>
        <c:ser>
          <c:idx val="15"/>
          <c:order val="15"/>
          <c:tx>
            <c:strRef>
              <c:f>List1!$T$4</c:f>
              <c:strCache>
                <c:ptCount val="1"/>
                <c:pt idx="0">
                  <c:v>2014</c:v>
                </c:pt>
              </c:strCache>
            </c:strRef>
          </c:tx>
          <c:spPr>
            <a:ln w="28800" cap="rnd">
              <a:solidFill>
                <a:srgbClr val="FFFF00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List1!$T$5:$T$370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3</c:v>
                </c:pt>
                <c:pt idx="113">
                  <c:v>3</c:v>
                </c:pt>
                <c:pt idx="114">
                  <c:v>4</c:v>
                </c:pt>
                <c:pt idx="115">
                  <c:v>4</c:v>
                </c:pt>
                <c:pt idx="116">
                  <c:v>5</c:v>
                </c:pt>
                <c:pt idx="117">
                  <c:v>5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7</c:v>
                </c:pt>
                <c:pt idx="122">
                  <c:v>8</c:v>
                </c:pt>
                <c:pt idx="123">
                  <c:v>8</c:v>
                </c:pt>
                <c:pt idx="124">
                  <c:v>8</c:v>
                </c:pt>
                <c:pt idx="125">
                  <c:v>8</c:v>
                </c:pt>
                <c:pt idx="126">
                  <c:v>9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10</c:v>
                </c:pt>
                <c:pt idx="140">
                  <c:v>10</c:v>
                </c:pt>
                <c:pt idx="141">
                  <c:v>10</c:v>
                </c:pt>
                <c:pt idx="142">
                  <c:v>10</c:v>
                </c:pt>
                <c:pt idx="143">
                  <c:v>11</c:v>
                </c:pt>
                <c:pt idx="144">
                  <c:v>12</c:v>
                </c:pt>
                <c:pt idx="145">
                  <c:v>12</c:v>
                </c:pt>
                <c:pt idx="146">
                  <c:v>12</c:v>
                </c:pt>
                <c:pt idx="147">
                  <c:v>13</c:v>
                </c:pt>
                <c:pt idx="148">
                  <c:v>13</c:v>
                </c:pt>
                <c:pt idx="149">
                  <c:v>13</c:v>
                </c:pt>
                <c:pt idx="150">
                  <c:v>13</c:v>
                </c:pt>
                <c:pt idx="151">
                  <c:v>13</c:v>
                </c:pt>
                <c:pt idx="152">
                  <c:v>13</c:v>
                </c:pt>
                <c:pt idx="153">
                  <c:v>13</c:v>
                </c:pt>
                <c:pt idx="154">
                  <c:v>13</c:v>
                </c:pt>
                <c:pt idx="155">
                  <c:v>13</c:v>
                </c:pt>
                <c:pt idx="156">
                  <c:v>13</c:v>
                </c:pt>
                <c:pt idx="157">
                  <c:v>13</c:v>
                </c:pt>
                <c:pt idx="158">
                  <c:v>13</c:v>
                </c:pt>
                <c:pt idx="159">
                  <c:v>13</c:v>
                </c:pt>
                <c:pt idx="160">
                  <c:v>13</c:v>
                </c:pt>
                <c:pt idx="161">
                  <c:v>13</c:v>
                </c:pt>
                <c:pt idx="162">
                  <c:v>14</c:v>
                </c:pt>
                <c:pt idx="163">
                  <c:v>14</c:v>
                </c:pt>
                <c:pt idx="164">
                  <c:v>14</c:v>
                </c:pt>
                <c:pt idx="165">
                  <c:v>14</c:v>
                </c:pt>
                <c:pt idx="166">
                  <c:v>14</c:v>
                </c:pt>
                <c:pt idx="167">
                  <c:v>14</c:v>
                </c:pt>
                <c:pt idx="168">
                  <c:v>14</c:v>
                </c:pt>
                <c:pt idx="169">
                  <c:v>14</c:v>
                </c:pt>
                <c:pt idx="170">
                  <c:v>14</c:v>
                </c:pt>
                <c:pt idx="171">
                  <c:v>14</c:v>
                </c:pt>
                <c:pt idx="172">
                  <c:v>14</c:v>
                </c:pt>
                <c:pt idx="173">
                  <c:v>14</c:v>
                </c:pt>
                <c:pt idx="174">
                  <c:v>14</c:v>
                </c:pt>
                <c:pt idx="175">
                  <c:v>15</c:v>
                </c:pt>
                <c:pt idx="176">
                  <c:v>16</c:v>
                </c:pt>
                <c:pt idx="177">
                  <c:v>16</c:v>
                </c:pt>
                <c:pt idx="178">
                  <c:v>16</c:v>
                </c:pt>
                <c:pt idx="179">
                  <c:v>16</c:v>
                </c:pt>
                <c:pt idx="180">
                  <c:v>16</c:v>
                </c:pt>
                <c:pt idx="181">
                  <c:v>16</c:v>
                </c:pt>
                <c:pt idx="182">
                  <c:v>16</c:v>
                </c:pt>
                <c:pt idx="183">
                  <c:v>16</c:v>
                </c:pt>
                <c:pt idx="184">
                  <c:v>16</c:v>
                </c:pt>
                <c:pt idx="185">
                  <c:v>16</c:v>
                </c:pt>
                <c:pt idx="186">
                  <c:v>17</c:v>
                </c:pt>
                <c:pt idx="187">
                  <c:v>17</c:v>
                </c:pt>
                <c:pt idx="188">
                  <c:v>18</c:v>
                </c:pt>
                <c:pt idx="189">
                  <c:v>19</c:v>
                </c:pt>
                <c:pt idx="190">
                  <c:v>19</c:v>
                </c:pt>
                <c:pt idx="191">
                  <c:v>19</c:v>
                </c:pt>
                <c:pt idx="192">
                  <c:v>20</c:v>
                </c:pt>
                <c:pt idx="193">
                  <c:v>20</c:v>
                </c:pt>
                <c:pt idx="194">
                  <c:v>20</c:v>
                </c:pt>
                <c:pt idx="195">
                  <c:v>21</c:v>
                </c:pt>
                <c:pt idx="196">
                  <c:v>21</c:v>
                </c:pt>
                <c:pt idx="197">
                  <c:v>21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23</c:v>
                </c:pt>
                <c:pt idx="203">
                  <c:v>23</c:v>
                </c:pt>
                <c:pt idx="204">
                  <c:v>23</c:v>
                </c:pt>
                <c:pt idx="205">
                  <c:v>23</c:v>
                </c:pt>
                <c:pt idx="206">
                  <c:v>24</c:v>
                </c:pt>
                <c:pt idx="207">
                  <c:v>25</c:v>
                </c:pt>
                <c:pt idx="208">
                  <c:v>26</c:v>
                </c:pt>
                <c:pt idx="209">
                  <c:v>27</c:v>
                </c:pt>
                <c:pt idx="210">
                  <c:v>28</c:v>
                </c:pt>
                <c:pt idx="211">
                  <c:v>29</c:v>
                </c:pt>
                <c:pt idx="212">
                  <c:v>29</c:v>
                </c:pt>
                <c:pt idx="213">
                  <c:v>29</c:v>
                </c:pt>
                <c:pt idx="214">
                  <c:v>30</c:v>
                </c:pt>
                <c:pt idx="215">
                  <c:v>31</c:v>
                </c:pt>
                <c:pt idx="216">
                  <c:v>32</c:v>
                </c:pt>
                <c:pt idx="217">
                  <c:v>33</c:v>
                </c:pt>
                <c:pt idx="218">
                  <c:v>33</c:v>
                </c:pt>
                <c:pt idx="219">
                  <c:v>33</c:v>
                </c:pt>
                <c:pt idx="220">
                  <c:v>33</c:v>
                </c:pt>
                <c:pt idx="221">
                  <c:v>33</c:v>
                </c:pt>
                <c:pt idx="222">
                  <c:v>33</c:v>
                </c:pt>
                <c:pt idx="223">
                  <c:v>33</c:v>
                </c:pt>
                <c:pt idx="224">
                  <c:v>33</c:v>
                </c:pt>
                <c:pt idx="225">
                  <c:v>33</c:v>
                </c:pt>
                <c:pt idx="226">
                  <c:v>33</c:v>
                </c:pt>
                <c:pt idx="227">
                  <c:v>33</c:v>
                </c:pt>
                <c:pt idx="228">
                  <c:v>33</c:v>
                </c:pt>
                <c:pt idx="229">
                  <c:v>33</c:v>
                </c:pt>
                <c:pt idx="230">
                  <c:v>33</c:v>
                </c:pt>
                <c:pt idx="231">
                  <c:v>33</c:v>
                </c:pt>
                <c:pt idx="232">
                  <c:v>33</c:v>
                </c:pt>
                <c:pt idx="233">
                  <c:v>33</c:v>
                </c:pt>
                <c:pt idx="234">
                  <c:v>33</c:v>
                </c:pt>
                <c:pt idx="235">
                  <c:v>33</c:v>
                </c:pt>
                <c:pt idx="236">
                  <c:v>33</c:v>
                </c:pt>
                <c:pt idx="237">
                  <c:v>33</c:v>
                </c:pt>
                <c:pt idx="238">
                  <c:v>33</c:v>
                </c:pt>
                <c:pt idx="239">
                  <c:v>33</c:v>
                </c:pt>
                <c:pt idx="240">
                  <c:v>33</c:v>
                </c:pt>
                <c:pt idx="241">
                  <c:v>33</c:v>
                </c:pt>
                <c:pt idx="242">
                  <c:v>34</c:v>
                </c:pt>
                <c:pt idx="243">
                  <c:v>34</c:v>
                </c:pt>
                <c:pt idx="244">
                  <c:v>34</c:v>
                </c:pt>
                <c:pt idx="245">
                  <c:v>34</c:v>
                </c:pt>
                <c:pt idx="246">
                  <c:v>34</c:v>
                </c:pt>
                <c:pt idx="247">
                  <c:v>34</c:v>
                </c:pt>
                <c:pt idx="248">
                  <c:v>34</c:v>
                </c:pt>
                <c:pt idx="249">
                  <c:v>35</c:v>
                </c:pt>
                <c:pt idx="250">
                  <c:v>36</c:v>
                </c:pt>
                <c:pt idx="251">
                  <c:v>37</c:v>
                </c:pt>
                <c:pt idx="252">
                  <c:v>37</c:v>
                </c:pt>
                <c:pt idx="253">
                  <c:v>37</c:v>
                </c:pt>
                <c:pt idx="254">
                  <c:v>37</c:v>
                </c:pt>
                <c:pt idx="255">
                  <c:v>37</c:v>
                </c:pt>
                <c:pt idx="256">
                  <c:v>37</c:v>
                </c:pt>
                <c:pt idx="257">
                  <c:v>37</c:v>
                </c:pt>
                <c:pt idx="258">
                  <c:v>37</c:v>
                </c:pt>
                <c:pt idx="259">
                  <c:v>37</c:v>
                </c:pt>
                <c:pt idx="260">
                  <c:v>37</c:v>
                </c:pt>
                <c:pt idx="261">
                  <c:v>37</c:v>
                </c:pt>
                <c:pt idx="262">
                  <c:v>38</c:v>
                </c:pt>
                <c:pt idx="263">
                  <c:v>39</c:v>
                </c:pt>
                <c:pt idx="264">
                  <c:v>39</c:v>
                </c:pt>
                <c:pt idx="265">
                  <c:v>39</c:v>
                </c:pt>
                <c:pt idx="266">
                  <c:v>39</c:v>
                </c:pt>
                <c:pt idx="267">
                  <c:v>39</c:v>
                </c:pt>
                <c:pt idx="268">
                  <c:v>39</c:v>
                </c:pt>
                <c:pt idx="269">
                  <c:v>39</c:v>
                </c:pt>
                <c:pt idx="270">
                  <c:v>39</c:v>
                </c:pt>
                <c:pt idx="271">
                  <c:v>39</c:v>
                </c:pt>
                <c:pt idx="272">
                  <c:v>39</c:v>
                </c:pt>
                <c:pt idx="273">
                  <c:v>39</c:v>
                </c:pt>
                <c:pt idx="274">
                  <c:v>40</c:v>
                </c:pt>
                <c:pt idx="275">
                  <c:v>40</c:v>
                </c:pt>
                <c:pt idx="276">
                  <c:v>40</c:v>
                </c:pt>
                <c:pt idx="277">
                  <c:v>40</c:v>
                </c:pt>
                <c:pt idx="278">
                  <c:v>40</c:v>
                </c:pt>
                <c:pt idx="279">
                  <c:v>40</c:v>
                </c:pt>
                <c:pt idx="280">
                  <c:v>40</c:v>
                </c:pt>
                <c:pt idx="281">
                  <c:v>40</c:v>
                </c:pt>
                <c:pt idx="282">
                  <c:v>40</c:v>
                </c:pt>
                <c:pt idx="283">
                  <c:v>40</c:v>
                </c:pt>
                <c:pt idx="284">
                  <c:v>40</c:v>
                </c:pt>
                <c:pt idx="285">
                  <c:v>40</c:v>
                </c:pt>
                <c:pt idx="286">
                  <c:v>40</c:v>
                </c:pt>
                <c:pt idx="287">
                  <c:v>40</c:v>
                </c:pt>
                <c:pt idx="288">
                  <c:v>40</c:v>
                </c:pt>
                <c:pt idx="289">
                  <c:v>40</c:v>
                </c:pt>
                <c:pt idx="290">
                  <c:v>40</c:v>
                </c:pt>
                <c:pt idx="291">
                  <c:v>40</c:v>
                </c:pt>
                <c:pt idx="292">
                  <c:v>40</c:v>
                </c:pt>
                <c:pt idx="293">
                  <c:v>40</c:v>
                </c:pt>
                <c:pt idx="294">
                  <c:v>40</c:v>
                </c:pt>
                <c:pt idx="295">
                  <c:v>40</c:v>
                </c:pt>
                <c:pt idx="296">
                  <c:v>40</c:v>
                </c:pt>
                <c:pt idx="297">
                  <c:v>40</c:v>
                </c:pt>
                <c:pt idx="298">
                  <c:v>40</c:v>
                </c:pt>
                <c:pt idx="299">
                  <c:v>40</c:v>
                </c:pt>
                <c:pt idx="300">
                  <c:v>40</c:v>
                </c:pt>
                <c:pt idx="301">
                  <c:v>40</c:v>
                </c:pt>
                <c:pt idx="302">
                  <c:v>40</c:v>
                </c:pt>
                <c:pt idx="303">
                  <c:v>40</c:v>
                </c:pt>
                <c:pt idx="304">
                  <c:v>40</c:v>
                </c:pt>
                <c:pt idx="305">
                  <c:v>40</c:v>
                </c:pt>
                <c:pt idx="306">
                  <c:v>40</c:v>
                </c:pt>
                <c:pt idx="307">
                  <c:v>40</c:v>
                </c:pt>
                <c:pt idx="308">
                  <c:v>40</c:v>
                </c:pt>
                <c:pt idx="309">
                  <c:v>40</c:v>
                </c:pt>
                <c:pt idx="310">
                  <c:v>40</c:v>
                </c:pt>
                <c:pt idx="311">
                  <c:v>40</c:v>
                </c:pt>
                <c:pt idx="312">
                  <c:v>40</c:v>
                </c:pt>
                <c:pt idx="313">
                  <c:v>40</c:v>
                </c:pt>
                <c:pt idx="314">
                  <c:v>40</c:v>
                </c:pt>
                <c:pt idx="315">
                  <c:v>40</c:v>
                </c:pt>
                <c:pt idx="316">
                  <c:v>40</c:v>
                </c:pt>
                <c:pt idx="317">
                  <c:v>40</c:v>
                </c:pt>
                <c:pt idx="318">
                  <c:v>40</c:v>
                </c:pt>
                <c:pt idx="319">
                  <c:v>40</c:v>
                </c:pt>
                <c:pt idx="320">
                  <c:v>40</c:v>
                </c:pt>
                <c:pt idx="321">
                  <c:v>40</c:v>
                </c:pt>
                <c:pt idx="322">
                  <c:v>40</c:v>
                </c:pt>
                <c:pt idx="323">
                  <c:v>40</c:v>
                </c:pt>
                <c:pt idx="324">
                  <c:v>40</c:v>
                </c:pt>
                <c:pt idx="325">
                  <c:v>40</c:v>
                </c:pt>
                <c:pt idx="326">
                  <c:v>40</c:v>
                </c:pt>
                <c:pt idx="327">
                  <c:v>40</c:v>
                </c:pt>
                <c:pt idx="328">
                  <c:v>40</c:v>
                </c:pt>
                <c:pt idx="329">
                  <c:v>40</c:v>
                </c:pt>
                <c:pt idx="330">
                  <c:v>40</c:v>
                </c:pt>
                <c:pt idx="331">
                  <c:v>40</c:v>
                </c:pt>
                <c:pt idx="332">
                  <c:v>40</c:v>
                </c:pt>
                <c:pt idx="333">
                  <c:v>40</c:v>
                </c:pt>
                <c:pt idx="334">
                  <c:v>40</c:v>
                </c:pt>
                <c:pt idx="335">
                  <c:v>40</c:v>
                </c:pt>
                <c:pt idx="336">
                  <c:v>40</c:v>
                </c:pt>
                <c:pt idx="337">
                  <c:v>40</c:v>
                </c:pt>
                <c:pt idx="338">
                  <c:v>40</c:v>
                </c:pt>
                <c:pt idx="339">
                  <c:v>40</c:v>
                </c:pt>
                <c:pt idx="340">
                  <c:v>40</c:v>
                </c:pt>
                <c:pt idx="341">
                  <c:v>40</c:v>
                </c:pt>
                <c:pt idx="342">
                  <c:v>40</c:v>
                </c:pt>
                <c:pt idx="343">
                  <c:v>40</c:v>
                </c:pt>
                <c:pt idx="344">
                  <c:v>40</c:v>
                </c:pt>
                <c:pt idx="345">
                  <c:v>40</c:v>
                </c:pt>
                <c:pt idx="346">
                  <c:v>40</c:v>
                </c:pt>
                <c:pt idx="347">
                  <c:v>40</c:v>
                </c:pt>
                <c:pt idx="348">
                  <c:v>40</c:v>
                </c:pt>
                <c:pt idx="349">
                  <c:v>40</c:v>
                </c:pt>
                <c:pt idx="350">
                  <c:v>40</c:v>
                </c:pt>
                <c:pt idx="351">
                  <c:v>40</c:v>
                </c:pt>
                <c:pt idx="352">
                  <c:v>40</c:v>
                </c:pt>
                <c:pt idx="353">
                  <c:v>40</c:v>
                </c:pt>
                <c:pt idx="354">
                  <c:v>40</c:v>
                </c:pt>
                <c:pt idx="355">
                  <c:v>40</c:v>
                </c:pt>
                <c:pt idx="356">
                  <c:v>40</c:v>
                </c:pt>
                <c:pt idx="357">
                  <c:v>40</c:v>
                </c:pt>
                <c:pt idx="358">
                  <c:v>40</c:v>
                </c:pt>
                <c:pt idx="359">
                  <c:v>40</c:v>
                </c:pt>
                <c:pt idx="360">
                  <c:v>40</c:v>
                </c:pt>
                <c:pt idx="361">
                  <c:v>40</c:v>
                </c:pt>
                <c:pt idx="362">
                  <c:v>40</c:v>
                </c:pt>
                <c:pt idx="363">
                  <c:v>40</c:v>
                </c:pt>
                <c:pt idx="364">
                  <c:v>40</c:v>
                </c:pt>
                <c:pt idx="365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011-0844-8364-DA0F5B1CFBCA}"/>
            </c:ext>
          </c:extLst>
        </c:ser>
        <c:ser>
          <c:idx val="16"/>
          <c:order val="16"/>
          <c:tx>
            <c:strRef>
              <c:f>List1!$U$4</c:f>
              <c:strCache>
                <c:ptCount val="1"/>
                <c:pt idx="0">
                  <c:v>2015</c:v>
                </c:pt>
              </c:strCache>
            </c:strRef>
          </c:tx>
          <c:spPr>
            <a:ln w="28800" cap="rnd">
              <a:solidFill>
                <a:srgbClr val="FFBF00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List1!$U$5:$U$370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3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5</c:v>
                </c:pt>
                <c:pt idx="130">
                  <c:v>5</c:v>
                </c:pt>
                <c:pt idx="131">
                  <c:v>5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6</c:v>
                </c:pt>
                <c:pt idx="145">
                  <c:v>6</c:v>
                </c:pt>
                <c:pt idx="146">
                  <c:v>6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8</c:v>
                </c:pt>
                <c:pt idx="159">
                  <c:v>9</c:v>
                </c:pt>
                <c:pt idx="160">
                  <c:v>9</c:v>
                </c:pt>
                <c:pt idx="161">
                  <c:v>9</c:v>
                </c:pt>
                <c:pt idx="162">
                  <c:v>9</c:v>
                </c:pt>
                <c:pt idx="163">
                  <c:v>9</c:v>
                </c:pt>
                <c:pt idx="164">
                  <c:v>10</c:v>
                </c:pt>
                <c:pt idx="165">
                  <c:v>11</c:v>
                </c:pt>
                <c:pt idx="166">
                  <c:v>11</c:v>
                </c:pt>
                <c:pt idx="167">
                  <c:v>11</c:v>
                </c:pt>
                <c:pt idx="168">
                  <c:v>11</c:v>
                </c:pt>
                <c:pt idx="169">
                  <c:v>11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12</c:v>
                </c:pt>
                <c:pt idx="174">
                  <c:v>13</c:v>
                </c:pt>
                <c:pt idx="175">
                  <c:v>13</c:v>
                </c:pt>
                <c:pt idx="176">
                  <c:v>13</c:v>
                </c:pt>
                <c:pt idx="177">
                  <c:v>13</c:v>
                </c:pt>
                <c:pt idx="178">
                  <c:v>13</c:v>
                </c:pt>
                <c:pt idx="179">
                  <c:v>13</c:v>
                </c:pt>
                <c:pt idx="180">
                  <c:v>13</c:v>
                </c:pt>
                <c:pt idx="181">
                  <c:v>13</c:v>
                </c:pt>
                <c:pt idx="182">
                  <c:v>13</c:v>
                </c:pt>
                <c:pt idx="183">
                  <c:v>13</c:v>
                </c:pt>
                <c:pt idx="184">
                  <c:v>13</c:v>
                </c:pt>
                <c:pt idx="185">
                  <c:v>13</c:v>
                </c:pt>
                <c:pt idx="186">
                  <c:v>14</c:v>
                </c:pt>
                <c:pt idx="187">
                  <c:v>15</c:v>
                </c:pt>
                <c:pt idx="188">
                  <c:v>16</c:v>
                </c:pt>
                <c:pt idx="189">
                  <c:v>17</c:v>
                </c:pt>
                <c:pt idx="190">
                  <c:v>17</c:v>
                </c:pt>
                <c:pt idx="191">
                  <c:v>17</c:v>
                </c:pt>
                <c:pt idx="192">
                  <c:v>17</c:v>
                </c:pt>
                <c:pt idx="193">
                  <c:v>17</c:v>
                </c:pt>
                <c:pt idx="194">
                  <c:v>17</c:v>
                </c:pt>
                <c:pt idx="195">
                  <c:v>17</c:v>
                </c:pt>
                <c:pt idx="196">
                  <c:v>17</c:v>
                </c:pt>
                <c:pt idx="197">
                  <c:v>17</c:v>
                </c:pt>
                <c:pt idx="198">
                  <c:v>17</c:v>
                </c:pt>
                <c:pt idx="199">
                  <c:v>18</c:v>
                </c:pt>
                <c:pt idx="200">
                  <c:v>19</c:v>
                </c:pt>
                <c:pt idx="201">
                  <c:v>19</c:v>
                </c:pt>
                <c:pt idx="202">
                  <c:v>19</c:v>
                </c:pt>
                <c:pt idx="203">
                  <c:v>20</c:v>
                </c:pt>
                <c:pt idx="204">
                  <c:v>20</c:v>
                </c:pt>
                <c:pt idx="205">
                  <c:v>20</c:v>
                </c:pt>
                <c:pt idx="206">
                  <c:v>21</c:v>
                </c:pt>
                <c:pt idx="207">
                  <c:v>21</c:v>
                </c:pt>
                <c:pt idx="208">
                  <c:v>22</c:v>
                </c:pt>
                <c:pt idx="209">
                  <c:v>22</c:v>
                </c:pt>
                <c:pt idx="210">
                  <c:v>22</c:v>
                </c:pt>
                <c:pt idx="211">
                  <c:v>22</c:v>
                </c:pt>
                <c:pt idx="212">
                  <c:v>22</c:v>
                </c:pt>
                <c:pt idx="213">
                  <c:v>22</c:v>
                </c:pt>
                <c:pt idx="214">
                  <c:v>22</c:v>
                </c:pt>
                <c:pt idx="215">
                  <c:v>22</c:v>
                </c:pt>
                <c:pt idx="216">
                  <c:v>22</c:v>
                </c:pt>
                <c:pt idx="217">
                  <c:v>22</c:v>
                </c:pt>
                <c:pt idx="218">
                  <c:v>22</c:v>
                </c:pt>
                <c:pt idx="219">
                  <c:v>22</c:v>
                </c:pt>
                <c:pt idx="220">
                  <c:v>22</c:v>
                </c:pt>
                <c:pt idx="221">
                  <c:v>22</c:v>
                </c:pt>
                <c:pt idx="222">
                  <c:v>22</c:v>
                </c:pt>
                <c:pt idx="223">
                  <c:v>22</c:v>
                </c:pt>
                <c:pt idx="224">
                  <c:v>22</c:v>
                </c:pt>
                <c:pt idx="225">
                  <c:v>22</c:v>
                </c:pt>
                <c:pt idx="226">
                  <c:v>23</c:v>
                </c:pt>
                <c:pt idx="227">
                  <c:v>24</c:v>
                </c:pt>
                <c:pt idx="228">
                  <c:v>25</c:v>
                </c:pt>
                <c:pt idx="229">
                  <c:v>25</c:v>
                </c:pt>
                <c:pt idx="230">
                  <c:v>25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25</c:v>
                </c:pt>
                <c:pt idx="235">
                  <c:v>25</c:v>
                </c:pt>
                <c:pt idx="236">
                  <c:v>25</c:v>
                </c:pt>
                <c:pt idx="237">
                  <c:v>26</c:v>
                </c:pt>
                <c:pt idx="238">
                  <c:v>26</c:v>
                </c:pt>
                <c:pt idx="239">
                  <c:v>26</c:v>
                </c:pt>
                <c:pt idx="240">
                  <c:v>26</c:v>
                </c:pt>
                <c:pt idx="241">
                  <c:v>26</c:v>
                </c:pt>
                <c:pt idx="242">
                  <c:v>26</c:v>
                </c:pt>
                <c:pt idx="243">
                  <c:v>26</c:v>
                </c:pt>
                <c:pt idx="244">
                  <c:v>27</c:v>
                </c:pt>
                <c:pt idx="245">
                  <c:v>27</c:v>
                </c:pt>
                <c:pt idx="246">
                  <c:v>27</c:v>
                </c:pt>
                <c:pt idx="247">
                  <c:v>27</c:v>
                </c:pt>
                <c:pt idx="248">
                  <c:v>27</c:v>
                </c:pt>
                <c:pt idx="249">
                  <c:v>27</c:v>
                </c:pt>
                <c:pt idx="250">
                  <c:v>27</c:v>
                </c:pt>
                <c:pt idx="251">
                  <c:v>27</c:v>
                </c:pt>
                <c:pt idx="252">
                  <c:v>27</c:v>
                </c:pt>
                <c:pt idx="253">
                  <c:v>27</c:v>
                </c:pt>
                <c:pt idx="254">
                  <c:v>27</c:v>
                </c:pt>
                <c:pt idx="255">
                  <c:v>27</c:v>
                </c:pt>
                <c:pt idx="256">
                  <c:v>27</c:v>
                </c:pt>
                <c:pt idx="257">
                  <c:v>27</c:v>
                </c:pt>
                <c:pt idx="258">
                  <c:v>27</c:v>
                </c:pt>
                <c:pt idx="259">
                  <c:v>27</c:v>
                </c:pt>
                <c:pt idx="260">
                  <c:v>28</c:v>
                </c:pt>
                <c:pt idx="261">
                  <c:v>28</c:v>
                </c:pt>
                <c:pt idx="262">
                  <c:v>28</c:v>
                </c:pt>
                <c:pt idx="263">
                  <c:v>28</c:v>
                </c:pt>
                <c:pt idx="264">
                  <c:v>28</c:v>
                </c:pt>
                <c:pt idx="265">
                  <c:v>28</c:v>
                </c:pt>
                <c:pt idx="266">
                  <c:v>28</c:v>
                </c:pt>
                <c:pt idx="267">
                  <c:v>28</c:v>
                </c:pt>
                <c:pt idx="268">
                  <c:v>28</c:v>
                </c:pt>
                <c:pt idx="269">
                  <c:v>28</c:v>
                </c:pt>
                <c:pt idx="270">
                  <c:v>28</c:v>
                </c:pt>
                <c:pt idx="271">
                  <c:v>28</c:v>
                </c:pt>
                <c:pt idx="272">
                  <c:v>28</c:v>
                </c:pt>
                <c:pt idx="273">
                  <c:v>28</c:v>
                </c:pt>
                <c:pt idx="274">
                  <c:v>28</c:v>
                </c:pt>
                <c:pt idx="275">
                  <c:v>28</c:v>
                </c:pt>
                <c:pt idx="276">
                  <c:v>28</c:v>
                </c:pt>
                <c:pt idx="277">
                  <c:v>28</c:v>
                </c:pt>
                <c:pt idx="278">
                  <c:v>28</c:v>
                </c:pt>
                <c:pt idx="279">
                  <c:v>28</c:v>
                </c:pt>
                <c:pt idx="280">
                  <c:v>28</c:v>
                </c:pt>
                <c:pt idx="281">
                  <c:v>28</c:v>
                </c:pt>
                <c:pt idx="282">
                  <c:v>28</c:v>
                </c:pt>
                <c:pt idx="283">
                  <c:v>28</c:v>
                </c:pt>
                <c:pt idx="284">
                  <c:v>28</c:v>
                </c:pt>
                <c:pt idx="285">
                  <c:v>28</c:v>
                </c:pt>
                <c:pt idx="286">
                  <c:v>28</c:v>
                </c:pt>
                <c:pt idx="287">
                  <c:v>28</c:v>
                </c:pt>
                <c:pt idx="288">
                  <c:v>28</c:v>
                </c:pt>
                <c:pt idx="289">
                  <c:v>28</c:v>
                </c:pt>
                <c:pt idx="290">
                  <c:v>28</c:v>
                </c:pt>
                <c:pt idx="291">
                  <c:v>28</c:v>
                </c:pt>
                <c:pt idx="292">
                  <c:v>28</c:v>
                </c:pt>
                <c:pt idx="293">
                  <c:v>28</c:v>
                </c:pt>
                <c:pt idx="294">
                  <c:v>28</c:v>
                </c:pt>
                <c:pt idx="295">
                  <c:v>28</c:v>
                </c:pt>
                <c:pt idx="296">
                  <c:v>28</c:v>
                </c:pt>
                <c:pt idx="297">
                  <c:v>28</c:v>
                </c:pt>
                <c:pt idx="298">
                  <c:v>28</c:v>
                </c:pt>
                <c:pt idx="299">
                  <c:v>28</c:v>
                </c:pt>
                <c:pt idx="300">
                  <c:v>28</c:v>
                </c:pt>
                <c:pt idx="301">
                  <c:v>28</c:v>
                </c:pt>
                <c:pt idx="302">
                  <c:v>28</c:v>
                </c:pt>
                <c:pt idx="303">
                  <c:v>28</c:v>
                </c:pt>
                <c:pt idx="304">
                  <c:v>28</c:v>
                </c:pt>
                <c:pt idx="305">
                  <c:v>28</c:v>
                </c:pt>
                <c:pt idx="306">
                  <c:v>28</c:v>
                </c:pt>
                <c:pt idx="307">
                  <c:v>28</c:v>
                </c:pt>
                <c:pt idx="308">
                  <c:v>28</c:v>
                </c:pt>
                <c:pt idx="309">
                  <c:v>28</c:v>
                </c:pt>
                <c:pt idx="310">
                  <c:v>28</c:v>
                </c:pt>
                <c:pt idx="311">
                  <c:v>28</c:v>
                </c:pt>
                <c:pt idx="312">
                  <c:v>28</c:v>
                </c:pt>
                <c:pt idx="313">
                  <c:v>28</c:v>
                </c:pt>
                <c:pt idx="314">
                  <c:v>28</c:v>
                </c:pt>
                <c:pt idx="315">
                  <c:v>28</c:v>
                </c:pt>
                <c:pt idx="316">
                  <c:v>28</c:v>
                </c:pt>
                <c:pt idx="317">
                  <c:v>28</c:v>
                </c:pt>
                <c:pt idx="318">
                  <c:v>28</c:v>
                </c:pt>
                <c:pt idx="319">
                  <c:v>28</c:v>
                </c:pt>
                <c:pt idx="320">
                  <c:v>28</c:v>
                </c:pt>
                <c:pt idx="321">
                  <c:v>28</c:v>
                </c:pt>
                <c:pt idx="322">
                  <c:v>28</c:v>
                </c:pt>
                <c:pt idx="323">
                  <c:v>28</c:v>
                </c:pt>
                <c:pt idx="324">
                  <c:v>28</c:v>
                </c:pt>
                <c:pt idx="325">
                  <c:v>28</c:v>
                </c:pt>
                <c:pt idx="326">
                  <c:v>28</c:v>
                </c:pt>
                <c:pt idx="327">
                  <c:v>28</c:v>
                </c:pt>
                <c:pt idx="328">
                  <c:v>28</c:v>
                </c:pt>
                <c:pt idx="329">
                  <c:v>28</c:v>
                </c:pt>
                <c:pt idx="330">
                  <c:v>28</c:v>
                </c:pt>
                <c:pt idx="331">
                  <c:v>28</c:v>
                </c:pt>
                <c:pt idx="332">
                  <c:v>28</c:v>
                </c:pt>
                <c:pt idx="333">
                  <c:v>28</c:v>
                </c:pt>
                <c:pt idx="334">
                  <c:v>28</c:v>
                </c:pt>
                <c:pt idx="335">
                  <c:v>28</c:v>
                </c:pt>
                <c:pt idx="336">
                  <c:v>28</c:v>
                </c:pt>
                <c:pt idx="337">
                  <c:v>28</c:v>
                </c:pt>
                <c:pt idx="338">
                  <c:v>28</c:v>
                </c:pt>
                <c:pt idx="339">
                  <c:v>28</c:v>
                </c:pt>
                <c:pt idx="340">
                  <c:v>28</c:v>
                </c:pt>
                <c:pt idx="341">
                  <c:v>28</c:v>
                </c:pt>
                <c:pt idx="342">
                  <c:v>28</c:v>
                </c:pt>
                <c:pt idx="343">
                  <c:v>28</c:v>
                </c:pt>
                <c:pt idx="344">
                  <c:v>28</c:v>
                </c:pt>
                <c:pt idx="345">
                  <c:v>28</c:v>
                </c:pt>
                <c:pt idx="346">
                  <c:v>28</c:v>
                </c:pt>
                <c:pt idx="347">
                  <c:v>28</c:v>
                </c:pt>
                <c:pt idx="348">
                  <c:v>28</c:v>
                </c:pt>
                <c:pt idx="349">
                  <c:v>28</c:v>
                </c:pt>
                <c:pt idx="350">
                  <c:v>28</c:v>
                </c:pt>
                <c:pt idx="351">
                  <c:v>28</c:v>
                </c:pt>
                <c:pt idx="352">
                  <c:v>28</c:v>
                </c:pt>
                <c:pt idx="353">
                  <c:v>28</c:v>
                </c:pt>
                <c:pt idx="354">
                  <c:v>28</c:v>
                </c:pt>
                <c:pt idx="355">
                  <c:v>28</c:v>
                </c:pt>
                <c:pt idx="356">
                  <c:v>28</c:v>
                </c:pt>
                <c:pt idx="357">
                  <c:v>28</c:v>
                </c:pt>
                <c:pt idx="358">
                  <c:v>28</c:v>
                </c:pt>
                <c:pt idx="359">
                  <c:v>28</c:v>
                </c:pt>
                <c:pt idx="360">
                  <c:v>28</c:v>
                </c:pt>
                <c:pt idx="361">
                  <c:v>28</c:v>
                </c:pt>
                <c:pt idx="362">
                  <c:v>28</c:v>
                </c:pt>
                <c:pt idx="363">
                  <c:v>28</c:v>
                </c:pt>
                <c:pt idx="364">
                  <c:v>28</c:v>
                </c:pt>
                <c:pt idx="365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011-0844-8364-DA0F5B1CFBCA}"/>
            </c:ext>
          </c:extLst>
        </c:ser>
        <c:ser>
          <c:idx val="17"/>
          <c:order val="17"/>
          <c:tx>
            <c:strRef>
              <c:f>List1!$V$4</c:f>
              <c:strCache>
                <c:ptCount val="1"/>
                <c:pt idx="0">
                  <c:v>2016</c:v>
                </c:pt>
              </c:strCache>
            </c:strRef>
          </c:tx>
          <c:spPr>
            <a:ln w="28800" cap="rnd">
              <a:solidFill>
                <a:srgbClr val="FF8000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List1!$V$5:$V$370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2</c:v>
                </c:pt>
                <c:pt idx="137">
                  <c:v>2</c:v>
                </c:pt>
                <c:pt idx="138">
                  <c:v>2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4</c:v>
                </c:pt>
                <c:pt idx="149">
                  <c:v>4</c:v>
                </c:pt>
                <c:pt idx="150">
                  <c:v>5</c:v>
                </c:pt>
                <c:pt idx="151">
                  <c:v>6</c:v>
                </c:pt>
                <c:pt idx="152">
                  <c:v>7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9</c:v>
                </c:pt>
                <c:pt idx="157">
                  <c:v>10</c:v>
                </c:pt>
                <c:pt idx="158">
                  <c:v>10</c:v>
                </c:pt>
                <c:pt idx="159">
                  <c:v>11</c:v>
                </c:pt>
                <c:pt idx="160">
                  <c:v>11</c:v>
                </c:pt>
                <c:pt idx="161">
                  <c:v>11</c:v>
                </c:pt>
                <c:pt idx="162">
                  <c:v>11</c:v>
                </c:pt>
                <c:pt idx="163">
                  <c:v>12</c:v>
                </c:pt>
                <c:pt idx="164">
                  <c:v>13</c:v>
                </c:pt>
                <c:pt idx="165">
                  <c:v>13</c:v>
                </c:pt>
                <c:pt idx="166">
                  <c:v>14</c:v>
                </c:pt>
                <c:pt idx="167">
                  <c:v>15</c:v>
                </c:pt>
                <c:pt idx="168">
                  <c:v>15</c:v>
                </c:pt>
                <c:pt idx="169">
                  <c:v>16</c:v>
                </c:pt>
                <c:pt idx="170">
                  <c:v>16</c:v>
                </c:pt>
                <c:pt idx="171">
                  <c:v>16</c:v>
                </c:pt>
                <c:pt idx="172">
                  <c:v>16</c:v>
                </c:pt>
                <c:pt idx="173">
                  <c:v>16</c:v>
                </c:pt>
                <c:pt idx="174">
                  <c:v>16</c:v>
                </c:pt>
                <c:pt idx="175">
                  <c:v>16</c:v>
                </c:pt>
                <c:pt idx="176">
                  <c:v>17</c:v>
                </c:pt>
                <c:pt idx="177">
                  <c:v>17</c:v>
                </c:pt>
                <c:pt idx="178">
                  <c:v>17</c:v>
                </c:pt>
                <c:pt idx="179">
                  <c:v>18</c:v>
                </c:pt>
                <c:pt idx="180">
                  <c:v>18</c:v>
                </c:pt>
                <c:pt idx="181">
                  <c:v>19</c:v>
                </c:pt>
                <c:pt idx="182">
                  <c:v>19</c:v>
                </c:pt>
                <c:pt idx="183">
                  <c:v>20</c:v>
                </c:pt>
                <c:pt idx="184">
                  <c:v>21</c:v>
                </c:pt>
                <c:pt idx="185">
                  <c:v>21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23</c:v>
                </c:pt>
                <c:pt idx="195">
                  <c:v>23</c:v>
                </c:pt>
                <c:pt idx="196">
                  <c:v>23</c:v>
                </c:pt>
                <c:pt idx="197">
                  <c:v>23</c:v>
                </c:pt>
                <c:pt idx="198">
                  <c:v>24</c:v>
                </c:pt>
                <c:pt idx="199">
                  <c:v>24</c:v>
                </c:pt>
                <c:pt idx="200">
                  <c:v>24</c:v>
                </c:pt>
                <c:pt idx="201">
                  <c:v>24</c:v>
                </c:pt>
                <c:pt idx="202">
                  <c:v>24</c:v>
                </c:pt>
                <c:pt idx="203">
                  <c:v>24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26</c:v>
                </c:pt>
                <c:pt idx="208">
                  <c:v>27</c:v>
                </c:pt>
                <c:pt idx="209">
                  <c:v>28</c:v>
                </c:pt>
                <c:pt idx="210">
                  <c:v>29</c:v>
                </c:pt>
                <c:pt idx="211">
                  <c:v>29</c:v>
                </c:pt>
                <c:pt idx="212">
                  <c:v>30</c:v>
                </c:pt>
                <c:pt idx="213">
                  <c:v>30</c:v>
                </c:pt>
                <c:pt idx="214">
                  <c:v>30</c:v>
                </c:pt>
                <c:pt idx="215">
                  <c:v>30</c:v>
                </c:pt>
                <c:pt idx="216">
                  <c:v>30</c:v>
                </c:pt>
                <c:pt idx="217">
                  <c:v>31</c:v>
                </c:pt>
                <c:pt idx="218">
                  <c:v>31</c:v>
                </c:pt>
                <c:pt idx="219">
                  <c:v>31</c:v>
                </c:pt>
                <c:pt idx="220">
                  <c:v>31</c:v>
                </c:pt>
                <c:pt idx="221">
                  <c:v>31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</c:v>
                </c:pt>
                <c:pt idx="230">
                  <c:v>32</c:v>
                </c:pt>
                <c:pt idx="231">
                  <c:v>32</c:v>
                </c:pt>
                <c:pt idx="232">
                  <c:v>32</c:v>
                </c:pt>
                <c:pt idx="233">
                  <c:v>32</c:v>
                </c:pt>
                <c:pt idx="234">
                  <c:v>32</c:v>
                </c:pt>
                <c:pt idx="235">
                  <c:v>32</c:v>
                </c:pt>
                <c:pt idx="236">
                  <c:v>32</c:v>
                </c:pt>
                <c:pt idx="237">
                  <c:v>32</c:v>
                </c:pt>
                <c:pt idx="238">
                  <c:v>32</c:v>
                </c:pt>
                <c:pt idx="239">
                  <c:v>32</c:v>
                </c:pt>
                <c:pt idx="240">
                  <c:v>32</c:v>
                </c:pt>
                <c:pt idx="241">
                  <c:v>32</c:v>
                </c:pt>
                <c:pt idx="242">
                  <c:v>32</c:v>
                </c:pt>
                <c:pt idx="243">
                  <c:v>32</c:v>
                </c:pt>
                <c:pt idx="244">
                  <c:v>32</c:v>
                </c:pt>
                <c:pt idx="245">
                  <c:v>32</c:v>
                </c:pt>
                <c:pt idx="246">
                  <c:v>32</c:v>
                </c:pt>
                <c:pt idx="247">
                  <c:v>33</c:v>
                </c:pt>
                <c:pt idx="248">
                  <c:v>33</c:v>
                </c:pt>
                <c:pt idx="249">
                  <c:v>33</c:v>
                </c:pt>
                <c:pt idx="250">
                  <c:v>33</c:v>
                </c:pt>
                <c:pt idx="251">
                  <c:v>33</c:v>
                </c:pt>
                <c:pt idx="252">
                  <c:v>33</c:v>
                </c:pt>
                <c:pt idx="253">
                  <c:v>33</c:v>
                </c:pt>
                <c:pt idx="254">
                  <c:v>33</c:v>
                </c:pt>
                <c:pt idx="255">
                  <c:v>33</c:v>
                </c:pt>
                <c:pt idx="256">
                  <c:v>33</c:v>
                </c:pt>
                <c:pt idx="257">
                  <c:v>33</c:v>
                </c:pt>
                <c:pt idx="258">
                  <c:v>33</c:v>
                </c:pt>
                <c:pt idx="259">
                  <c:v>33</c:v>
                </c:pt>
                <c:pt idx="260">
                  <c:v>33</c:v>
                </c:pt>
                <c:pt idx="261">
                  <c:v>33</c:v>
                </c:pt>
                <c:pt idx="262">
                  <c:v>33</c:v>
                </c:pt>
                <c:pt idx="263">
                  <c:v>33</c:v>
                </c:pt>
                <c:pt idx="264">
                  <c:v>33</c:v>
                </c:pt>
                <c:pt idx="265">
                  <c:v>33</c:v>
                </c:pt>
                <c:pt idx="266">
                  <c:v>33</c:v>
                </c:pt>
                <c:pt idx="267">
                  <c:v>33</c:v>
                </c:pt>
                <c:pt idx="268">
                  <c:v>33</c:v>
                </c:pt>
                <c:pt idx="269">
                  <c:v>33</c:v>
                </c:pt>
                <c:pt idx="270">
                  <c:v>33</c:v>
                </c:pt>
                <c:pt idx="271">
                  <c:v>33</c:v>
                </c:pt>
                <c:pt idx="272">
                  <c:v>33</c:v>
                </c:pt>
                <c:pt idx="273">
                  <c:v>33</c:v>
                </c:pt>
                <c:pt idx="274">
                  <c:v>33</c:v>
                </c:pt>
                <c:pt idx="275">
                  <c:v>33</c:v>
                </c:pt>
                <c:pt idx="276">
                  <c:v>33</c:v>
                </c:pt>
                <c:pt idx="277">
                  <c:v>33</c:v>
                </c:pt>
                <c:pt idx="278">
                  <c:v>33</c:v>
                </c:pt>
                <c:pt idx="279">
                  <c:v>33</c:v>
                </c:pt>
                <c:pt idx="280">
                  <c:v>33</c:v>
                </c:pt>
                <c:pt idx="281">
                  <c:v>33</c:v>
                </c:pt>
                <c:pt idx="282">
                  <c:v>33</c:v>
                </c:pt>
                <c:pt idx="283">
                  <c:v>33</c:v>
                </c:pt>
                <c:pt idx="284">
                  <c:v>33</c:v>
                </c:pt>
                <c:pt idx="285">
                  <c:v>33</c:v>
                </c:pt>
                <c:pt idx="286">
                  <c:v>33</c:v>
                </c:pt>
                <c:pt idx="287">
                  <c:v>33</c:v>
                </c:pt>
                <c:pt idx="288">
                  <c:v>33</c:v>
                </c:pt>
                <c:pt idx="289">
                  <c:v>33</c:v>
                </c:pt>
                <c:pt idx="290">
                  <c:v>33</c:v>
                </c:pt>
                <c:pt idx="291">
                  <c:v>33</c:v>
                </c:pt>
                <c:pt idx="292">
                  <c:v>33</c:v>
                </c:pt>
                <c:pt idx="293">
                  <c:v>33</c:v>
                </c:pt>
                <c:pt idx="294">
                  <c:v>33</c:v>
                </c:pt>
                <c:pt idx="295">
                  <c:v>33</c:v>
                </c:pt>
                <c:pt idx="296">
                  <c:v>33</c:v>
                </c:pt>
                <c:pt idx="297">
                  <c:v>33</c:v>
                </c:pt>
                <c:pt idx="298">
                  <c:v>33</c:v>
                </c:pt>
                <c:pt idx="299">
                  <c:v>33</c:v>
                </c:pt>
                <c:pt idx="300">
                  <c:v>33</c:v>
                </c:pt>
                <c:pt idx="301">
                  <c:v>33</c:v>
                </c:pt>
                <c:pt idx="302">
                  <c:v>33</c:v>
                </c:pt>
                <c:pt idx="303">
                  <c:v>33</c:v>
                </c:pt>
                <c:pt idx="304">
                  <c:v>33</c:v>
                </c:pt>
                <c:pt idx="305">
                  <c:v>33</c:v>
                </c:pt>
                <c:pt idx="306">
                  <c:v>33</c:v>
                </c:pt>
                <c:pt idx="307">
                  <c:v>33</c:v>
                </c:pt>
                <c:pt idx="308">
                  <c:v>33</c:v>
                </c:pt>
                <c:pt idx="309">
                  <c:v>33</c:v>
                </c:pt>
                <c:pt idx="310">
                  <c:v>33</c:v>
                </c:pt>
                <c:pt idx="311">
                  <c:v>33</c:v>
                </c:pt>
                <c:pt idx="312">
                  <c:v>33</c:v>
                </c:pt>
                <c:pt idx="313">
                  <c:v>33</c:v>
                </c:pt>
                <c:pt idx="314">
                  <c:v>33</c:v>
                </c:pt>
                <c:pt idx="315">
                  <c:v>33</c:v>
                </c:pt>
                <c:pt idx="316">
                  <c:v>33</c:v>
                </c:pt>
                <c:pt idx="317">
                  <c:v>33</c:v>
                </c:pt>
                <c:pt idx="318">
                  <c:v>33</c:v>
                </c:pt>
                <c:pt idx="319">
                  <c:v>33</c:v>
                </c:pt>
                <c:pt idx="320">
                  <c:v>33</c:v>
                </c:pt>
                <c:pt idx="321">
                  <c:v>33</c:v>
                </c:pt>
                <c:pt idx="322">
                  <c:v>33</c:v>
                </c:pt>
                <c:pt idx="323">
                  <c:v>33</c:v>
                </c:pt>
                <c:pt idx="324">
                  <c:v>33</c:v>
                </c:pt>
                <c:pt idx="325">
                  <c:v>33</c:v>
                </c:pt>
                <c:pt idx="326">
                  <c:v>33</c:v>
                </c:pt>
                <c:pt idx="327">
                  <c:v>33</c:v>
                </c:pt>
                <c:pt idx="328">
                  <c:v>33</c:v>
                </c:pt>
                <c:pt idx="329">
                  <c:v>33</c:v>
                </c:pt>
                <c:pt idx="330">
                  <c:v>33</c:v>
                </c:pt>
                <c:pt idx="331">
                  <c:v>33</c:v>
                </c:pt>
                <c:pt idx="332">
                  <c:v>33</c:v>
                </c:pt>
                <c:pt idx="333">
                  <c:v>33</c:v>
                </c:pt>
                <c:pt idx="334">
                  <c:v>33</c:v>
                </c:pt>
                <c:pt idx="335">
                  <c:v>33</c:v>
                </c:pt>
                <c:pt idx="336">
                  <c:v>33</c:v>
                </c:pt>
                <c:pt idx="337">
                  <c:v>33</c:v>
                </c:pt>
                <c:pt idx="338">
                  <c:v>33</c:v>
                </c:pt>
                <c:pt idx="339">
                  <c:v>33</c:v>
                </c:pt>
                <c:pt idx="340">
                  <c:v>33</c:v>
                </c:pt>
                <c:pt idx="341">
                  <c:v>33</c:v>
                </c:pt>
                <c:pt idx="342">
                  <c:v>33</c:v>
                </c:pt>
                <c:pt idx="343">
                  <c:v>33</c:v>
                </c:pt>
                <c:pt idx="344">
                  <c:v>33</c:v>
                </c:pt>
                <c:pt idx="345">
                  <c:v>33</c:v>
                </c:pt>
                <c:pt idx="346">
                  <c:v>33</c:v>
                </c:pt>
                <c:pt idx="347">
                  <c:v>33</c:v>
                </c:pt>
                <c:pt idx="348">
                  <c:v>33</c:v>
                </c:pt>
                <c:pt idx="349">
                  <c:v>33</c:v>
                </c:pt>
                <c:pt idx="350">
                  <c:v>33</c:v>
                </c:pt>
                <c:pt idx="351">
                  <c:v>33</c:v>
                </c:pt>
                <c:pt idx="352">
                  <c:v>33</c:v>
                </c:pt>
                <c:pt idx="353">
                  <c:v>33</c:v>
                </c:pt>
                <c:pt idx="354">
                  <c:v>33</c:v>
                </c:pt>
                <c:pt idx="355">
                  <c:v>33</c:v>
                </c:pt>
                <c:pt idx="356">
                  <c:v>33</c:v>
                </c:pt>
                <c:pt idx="357">
                  <c:v>33</c:v>
                </c:pt>
                <c:pt idx="358">
                  <c:v>33</c:v>
                </c:pt>
                <c:pt idx="359">
                  <c:v>33</c:v>
                </c:pt>
                <c:pt idx="360">
                  <c:v>33</c:v>
                </c:pt>
                <c:pt idx="361">
                  <c:v>33</c:v>
                </c:pt>
                <c:pt idx="362">
                  <c:v>33</c:v>
                </c:pt>
                <c:pt idx="363">
                  <c:v>33</c:v>
                </c:pt>
                <c:pt idx="364">
                  <c:v>33</c:v>
                </c:pt>
                <c:pt idx="365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011-0844-8364-DA0F5B1CFBCA}"/>
            </c:ext>
          </c:extLst>
        </c:ser>
        <c:ser>
          <c:idx val="18"/>
          <c:order val="18"/>
          <c:tx>
            <c:strRef>
              <c:f>List1!$W$4</c:f>
              <c:strCache>
                <c:ptCount val="1"/>
                <c:pt idx="0">
                  <c:v>2017</c:v>
                </c:pt>
              </c:strCache>
            </c:strRef>
          </c:tx>
          <c:spPr>
            <a:ln w="28800" cap="rnd">
              <a:solidFill>
                <a:srgbClr val="FF4000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List1!$W$5:$W$370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2</c:v>
                </c:pt>
                <c:pt idx="133">
                  <c:v>3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5</c:v>
                </c:pt>
                <c:pt idx="144">
                  <c:v>5</c:v>
                </c:pt>
                <c:pt idx="145">
                  <c:v>5</c:v>
                </c:pt>
                <c:pt idx="146">
                  <c:v>5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8</c:v>
                </c:pt>
                <c:pt idx="159">
                  <c:v>8</c:v>
                </c:pt>
                <c:pt idx="160">
                  <c:v>9</c:v>
                </c:pt>
                <c:pt idx="161">
                  <c:v>9</c:v>
                </c:pt>
                <c:pt idx="162">
                  <c:v>9</c:v>
                </c:pt>
                <c:pt idx="163">
                  <c:v>9</c:v>
                </c:pt>
                <c:pt idx="164">
                  <c:v>9</c:v>
                </c:pt>
                <c:pt idx="165">
                  <c:v>9</c:v>
                </c:pt>
                <c:pt idx="166">
                  <c:v>9</c:v>
                </c:pt>
                <c:pt idx="167">
                  <c:v>10</c:v>
                </c:pt>
                <c:pt idx="168">
                  <c:v>10</c:v>
                </c:pt>
                <c:pt idx="169">
                  <c:v>10</c:v>
                </c:pt>
                <c:pt idx="170">
                  <c:v>10</c:v>
                </c:pt>
                <c:pt idx="171">
                  <c:v>10</c:v>
                </c:pt>
                <c:pt idx="172">
                  <c:v>10</c:v>
                </c:pt>
                <c:pt idx="173">
                  <c:v>11</c:v>
                </c:pt>
                <c:pt idx="174">
                  <c:v>12</c:v>
                </c:pt>
                <c:pt idx="175">
                  <c:v>12</c:v>
                </c:pt>
                <c:pt idx="176">
                  <c:v>12</c:v>
                </c:pt>
                <c:pt idx="177">
                  <c:v>12</c:v>
                </c:pt>
                <c:pt idx="178">
                  <c:v>12</c:v>
                </c:pt>
                <c:pt idx="179">
                  <c:v>13</c:v>
                </c:pt>
                <c:pt idx="180">
                  <c:v>13</c:v>
                </c:pt>
                <c:pt idx="181">
                  <c:v>14</c:v>
                </c:pt>
                <c:pt idx="182">
                  <c:v>14</c:v>
                </c:pt>
                <c:pt idx="183">
                  <c:v>14</c:v>
                </c:pt>
                <c:pt idx="184">
                  <c:v>14</c:v>
                </c:pt>
                <c:pt idx="185">
                  <c:v>14</c:v>
                </c:pt>
                <c:pt idx="186">
                  <c:v>15</c:v>
                </c:pt>
                <c:pt idx="187">
                  <c:v>16</c:v>
                </c:pt>
                <c:pt idx="188">
                  <c:v>17</c:v>
                </c:pt>
                <c:pt idx="189">
                  <c:v>17</c:v>
                </c:pt>
                <c:pt idx="190">
                  <c:v>18</c:v>
                </c:pt>
                <c:pt idx="191">
                  <c:v>18</c:v>
                </c:pt>
                <c:pt idx="192">
                  <c:v>19</c:v>
                </c:pt>
                <c:pt idx="193">
                  <c:v>19</c:v>
                </c:pt>
                <c:pt idx="194">
                  <c:v>19</c:v>
                </c:pt>
                <c:pt idx="195">
                  <c:v>19</c:v>
                </c:pt>
                <c:pt idx="196">
                  <c:v>19</c:v>
                </c:pt>
                <c:pt idx="197">
                  <c:v>19</c:v>
                </c:pt>
                <c:pt idx="198">
                  <c:v>20</c:v>
                </c:pt>
                <c:pt idx="199">
                  <c:v>20</c:v>
                </c:pt>
                <c:pt idx="200">
                  <c:v>20</c:v>
                </c:pt>
                <c:pt idx="201">
                  <c:v>21</c:v>
                </c:pt>
                <c:pt idx="202">
                  <c:v>21</c:v>
                </c:pt>
                <c:pt idx="203">
                  <c:v>22</c:v>
                </c:pt>
                <c:pt idx="204">
                  <c:v>23</c:v>
                </c:pt>
                <c:pt idx="205">
                  <c:v>23</c:v>
                </c:pt>
                <c:pt idx="206">
                  <c:v>23</c:v>
                </c:pt>
                <c:pt idx="207">
                  <c:v>23</c:v>
                </c:pt>
                <c:pt idx="208">
                  <c:v>23</c:v>
                </c:pt>
                <c:pt idx="209">
                  <c:v>24</c:v>
                </c:pt>
                <c:pt idx="210">
                  <c:v>24</c:v>
                </c:pt>
                <c:pt idx="211">
                  <c:v>24</c:v>
                </c:pt>
                <c:pt idx="212">
                  <c:v>24</c:v>
                </c:pt>
                <c:pt idx="213">
                  <c:v>25</c:v>
                </c:pt>
                <c:pt idx="214">
                  <c:v>25</c:v>
                </c:pt>
                <c:pt idx="215">
                  <c:v>25</c:v>
                </c:pt>
                <c:pt idx="216">
                  <c:v>25</c:v>
                </c:pt>
                <c:pt idx="217">
                  <c:v>25</c:v>
                </c:pt>
                <c:pt idx="218">
                  <c:v>25</c:v>
                </c:pt>
                <c:pt idx="219">
                  <c:v>25</c:v>
                </c:pt>
                <c:pt idx="220">
                  <c:v>26</c:v>
                </c:pt>
                <c:pt idx="221">
                  <c:v>27</c:v>
                </c:pt>
                <c:pt idx="222">
                  <c:v>28</c:v>
                </c:pt>
                <c:pt idx="223">
                  <c:v>29</c:v>
                </c:pt>
                <c:pt idx="224">
                  <c:v>29</c:v>
                </c:pt>
                <c:pt idx="225">
                  <c:v>29</c:v>
                </c:pt>
                <c:pt idx="226">
                  <c:v>29</c:v>
                </c:pt>
                <c:pt idx="227">
                  <c:v>29</c:v>
                </c:pt>
                <c:pt idx="228">
                  <c:v>29</c:v>
                </c:pt>
                <c:pt idx="229">
                  <c:v>29</c:v>
                </c:pt>
                <c:pt idx="230">
                  <c:v>30</c:v>
                </c:pt>
                <c:pt idx="231">
                  <c:v>30</c:v>
                </c:pt>
                <c:pt idx="232">
                  <c:v>30</c:v>
                </c:pt>
                <c:pt idx="233">
                  <c:v>30</c:v>
                </c:pt>
                <c:pt idx="234">
                  <c:v>30</c:v>
                </c:pt>
                <c:pt idx="235">
                  <c:v>30</c:v>
                </c:pt>
                <c:pt idx="236">
                  <c:v>30</c:v>
                </c:pt>
                <c:pt idx="237">
                  <c:v>30</c:v>
                </c:pt>
                <c:pt idx="238">
                  <c:v>31</c:v>
                </c:pt>
                <c:pt idx="239">
                  <c:v>31</c:v>
                </c:pt>
                <c:pt idx="240">
                  <c:v>31</c:v>
                </c:pt>
                <c:pt idx="241">
                  <c:v>31</c:v>
                </c:pt>
                <c:pt idx="242">
                  <c:v>31</c:v>
                </c:pt>
                <c:pt idx="243">
                  <c:v>31</c:v>
                </c:pt>
                <c:pt idx="244">
                  <c:v>31</c:v>
                </c:pt>
                <c:pt idx="245">
                  <c:v>31</c:v>
                </c:pt>
                <c:pt idx="246">
                  <c:v>31</c:v>
                </c:pt>
                <c:pt idx="247">
                  <c:v>31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31</c:v>
                </c:pt>
                <c:pt idx="252">
                  <c:v>31</c:v>
                </c:pt>
                <c:pt idx="253">
                  <c:v>31</c:v>
                </c:pt>
                <c:pt idx="254">
                  <c:v>31</c:v>
                </c:pt>
                <c:pt idx="255">
                  <c:v>31</c:v>
                </c:pt>
                <c:pt idx="256">
                  <c:v>31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32</c:v>
                </c:pt>
                <c:pt idx="261">
                  <c:v>32</c:v>
                </c:pt>
                <c:pt idx="262">
                  <c:v>32</c:v>
                </c:pt>
                <c:pt idx="263">
                  <c:v>32</c:v>
                </c:pt>
                <c:pt idx="264">
                  <c:v>32</c:v>
                </c:pt>
                <c:pt idx="265">
                  <c:v>32</c:v>
                </c:pt>
                <c:pt idx="266">
                  <c:v>32</c:v>
                </c:pt>
                <c:pt idx="267">
                  <c:v>32</c:v>
                </c:pt>
                <c:pt idx="268">
                  <c:v>32</c:v>
                </c:pt>
                <c:pt idx="269">
                  <c:v>32</c:v>
                </c:pt>
                <c:pt idx="270">
                  <c:v>32</c:v>
                </c:pt>
                <c:pt idx="271">
                  <c:v>32</c:v>
                </c:pt>
                <c:pt idx="272">
                  <c:v>32</c:v>
                </c:pt>
                <c:pt idx="273">
                  <c:v>32</c:v>
                </c:pt>
                <c:pt idx="274">
                  <c:v>32</c:v>
                </c:pt>
                <c:pt idx="275">
                  <c:v>32</c:v>
                </c:pt>
                <c:pt idx="276">
                  <c:v>32</c:v>
                </c:pt>
                <c:pt idx="277">
                  <c:v>32</c:v>
                </c:pt>
                <c:pt idx="278">
                  <c:v>32</c:v>
                </c:pt>
                <c:pt idx="279">
                  <c:v>32</c:v>
                </c:pt>
                <c:pt idx="280">
                  <c:v>32</c:v>
                </c:pt>
                <c:pt idx="281">
                  <c:v>32</c:v>
                </c:pt>
                <c:pt idx="282">
                  <c:v>32</c:v>
                </c:pt>
                <c:pt idx="283">
                  <c:v>32</c:v>
                </c:pt>
                <c:pt idx="284">
                  <c:v>32</c:v>
                </c:pt>
                <c:pt idx="285">
                  <c:v>32</c:v>
                </c:pt>
                <c:pt idx="286">
                  <c:v>32</c:v>
                </c:pt>
                <c:pt idx="287">
                  <c:v>32</c:v>
                </c:pt>
                <c:pt idx="288">
                  <c:v>32</c:v>
                </c:pt>
                <c:pt idx="289">
                  <c:v>32</c:v>
                </c:pt>
                <c:pt idx="290">
                  <c:v>32</c:v>
                </c:pt>
                <c:pt idx="291">
                  <c:v>32</c:v>
                </c:pt>
                <c:pt idx="292">
                  <c:v>32</c:v>
                </c:pt>
                <c:pt idx="293">
                  <c:v>32</c:v>
                </c:pt>
                <c:pt idx="294">
                  <c:v>32</c:v>
                </c:pt>
                <c:pt idx="295">
                  <c:v>32</c:v>
                </c:pt>
                <c:pt idx="296">
                  <c:v>32</c:v>
                </c:pt>
                <c:pt idx="297">
                  <c:v>32</c:v>
                </c:pt>
                <c:pt idx="298">
                  <c:v>32</c:v>
                </c:pt>
                <c:pt idx="299">
                  <c:v>32</c:v>
                </c:pt>
                <c:pt idx="300">
                  <c:v>32</c:v>
                </c:pt>
                <c:pt idx="301">
                  <c:v>32</c:v>
                </c:pt>
                <c:pt idx="302">
                  <c:v>33</c:v>
                </c:pt>
                <c:pt idx="303">
                  <c:v>33</c:v>
                </c:pt>
                <c:pt idx="304">
                  <c:v>33</c:v>
                </c:pt>
                <c:pt idx="305">
                  <c:v>33</c:v>
                </c:pt>
                <c:pt idx="306">
                  <c:v>33</c:v>
                </c:pt>
                <c:pt idx="307">
                  <c:v>33</c:v>
                </c:pt>
                <c:pt idx="308">
                  <c:v>33</c:v>
                </c:pt>
                <c:pt idx="309">
                  <c:v>33</c:v>
                </c:pt>
                <c:pt idx="310">
                  <c:v>33</c:v>
                </c:pt>
                <c:pt idx="311">
                  <c:v>33</c:v>
                </c:pt>
                <c:pt idx="312">
                  <c:v>33</c:v>
                </c:pt>
                <c:pt idx="313">
                  <c:v>33</c:v>
                </c:pt>
                <c:pt idx="314">
                  <c:v>33</c:v>
                </c:pt>
                <c:pt idx="315">
                  <c:v>33</c:v>
                </c:pt>
                <c:pt idx="316">
                  <c:v>33</c:v>
                </c:pt>
                <c:pt idx="317">
                  <c:v>33</c:v>
                </c:pt>
                <c:pt idx="318">
                  <c:v>33</c:v>
                </c:pt>
                <c:pt idx="319">
                  <c:v>33</c:v>
                </c:pt>
                <c:pt idx="320">
                  <c:v>33</c:v>
                </c:pt>
                <c:pt idx="321">
                  <c:v>33</c:v>
                </c:pt>
                <c:pt idx="322">
                  <c:v>33</c:v>
                </c:pt>
                <c:pt idx="323">
                  <c:v>33</c:v>
                </c:pt>
                <c:pt idx="324">
                  <c:v>33</c:v>
                </c:pt>
                <c:pt idx="325">
                  <c:v>33</c:v>
                </c:pt>
                <c:pt idx="326">
                  <c:v>33</c:v>
                </c:pt>
                <c:pt idx="327">
                  <c:v>33</c:v>
                </c:pt>
                <c:pt idx="328">
                  <c:v>33</c:v>
                </c:pt>
                <c:pt idx="329">
                  <c:v>33</c:v>
                </c:pt>
                <c:pt idx="330">
                  <c:v>33</c:v>
                </c:pt>
                <c:pt idx="331">
                  <c:v>33</c:v>
                </c:pt>
                <c:pt idx="332">
                  <c:v>33</c:v>
                </c:pt>
                <c:pt idx="333">
                  <c:v>33</c:v>
                </c:pt>
                <c:pt idx="334">
                  <c:v>33</c:v>
                </c:pt>
                <c:pt idx="335">
                  <c:v>33</c:v>
                </c:pt>
                <c:pt idx="336">
                  <c:v>33</c:v>
                </c:pt>
                <c:pt idx="337">
                  <c:v>33</c:v>
                </c:pt>
                <c:pt idx="338">
                  <c:v>33</c:v>
                </c:pt>
                <c:pt idx="339">
                  <c:v>33</c:v>
                </c:pt>
                <c:pt idx="340">
                  <c:v>33</c:v>
                </c:pt>
                <c:pt idx="341">
                  <c:v>33</c:v>
                </c:pt>
                <c:pt idx="342">
                  <c:v>33</c:v>
                </c:pt>
                <c:pt idx="343">
                  <c:v>33</c:v>
                </c:pt>
                <c:pt idx="344">
                  <c:v>33</c:v>
                </c:pt>
                <c:pt idx="345">
                  <c:v>33</c:v>
                </c:pt>
                <c:pt idx="346">
                  <c:v>33</c:v>
                </c:pt>
                <c:pt idx="347">
                  <c:v>33</c:v>
                </c:pt>
                <c:pt idx="348">
                  <c:v>33</c:v>
                </c:pt>
                <c:pt idx="349">
                  <c:v>33</c:v>
                </c:pt>
                <c:pt idx="350">
                  <c:v>33</c:v>
                </c:pt>
                <c:pt idx="351">
                  <c:v>33</c:v>
                </c:pt>
                <c:pt idx="352">
                  <c:v>33</c:v>
                </c:pt>
                <c:pt idx="353">
                  <c:v>33</c:v>
                </c:pt>
                <c:pt idx="354">
                  <c:v>33</c:v>
                </c:pt>
                <c:pt idx="355">
                  <c:v>33</c:v>
                </c:pt>
                <c:pt idx="356">
                  <c:v>33</c:v>
                </c:pt>
                <c:pt idx="357">
                  <c:v>33</c:v>
                </c:pt>
                <c:pt idx="358">
                  <c:v>33</c:v>
                </c:pt>
                <c:pt idx="359">
                  <c:v>33</c:v>
                </c:pt>
                <c:pt idx="360">
                  <c:v>33</c:v>
                </c:pt>
                <c:pt idx="361">
                  <c:v>33</c:v>
                </c:pt>
                <c:pt idx="362">
                  <c:v>33</c:v>
                </c:pt>
                <c:pt idx="363">
                  <c:v>33</c:v>
                </c:pt>
                <c:pt idx="364">
                  <c:v>33</c:v>
                </c:pt>
                <c:pt idx="365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011-0844-8364-DA0F5B1CFBCA}"/>
            </c:ext>
          </c:extLst>
        </c:ser>
        <c:ser>
          <c:idx val="19"/>
          <c:order val="19"/>
          <c:tx>
            <c:strRef>
              <c:f>List1!$X$4</c:f>
              <c:strCache>
                <c:ptCount val="1"/>
                <c:pt idx="0">
                  <c:v>2018</c:v>
                </c:pt>
              </c:strCache>
            </c:strRef>
          </c:tx>
          <c:spPr>
            <a:ln w="28800" cap="rnd">
              <a:solidFill>
                <a:srgbClr val="FF0000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List1!$X$5:$X$370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5</c:v>
                </c:pt>
                <c:pt idx="129">
                  <c:v>5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7</c:v>
                </c:pt>
                <c:pt idx="141">
                  <c:v>7</c:v>
                </c:pt>
                <c:pt idx="142">
                  <c:v>7</c:v>
                </c:pt>
                <c:pt idx="143">
                  <c:v>8</c:v>
                </c:pt>
                <c:pt idx="144">
                  <c:v>9</c:v>
                </c:pt>
                <c:pt idx="145">
                  <c:v>9</c:v>
                </c:pt>
                <c:pt idx="146">
                  <c:v>9</c:v>
                </c:pt>
                <c:pt idx="147">
                  <c:v>9</c:v>
                </c:pt>
                <c:pt idx="148">
                  <c:v>9</c:v>
                </c:pt>
                <c:pt idx="149">
                  <c:v>10</c:v>
                </c:pt>
                <c:pt idx="150">
                  <c:v>10</c:v>
                </c:pt>
                <c:pt idx="151">
                  <c:v>10</c:v>
                </c:pt>
                <c:pt idx="152">
                  <c:v>11</c:v>
                </c:pt>
                <c:pt idx="153">
                  <c:v>11</c:v>
                </c:pt>
                <c:pt idx="154">
                  <c:v>11</c:v>
                </c:pt>
                <c:pt idx="155">
                  <c:v>11</c:v>
                </c:pt>
                <c:pt idx="156">
                  <c:v>11</c:v>
                </c:pt>
                <c:pt idx="157">
                  <c:v>11</c:v>
                </c:pt>
                <c:pt idx="158">
                  <c:v>11</c:v>
                </c:pt>
                <c:pt idx="159">
                  <c:v>11</c:v>
                </c:pt>
                <c:pt idx="160">
                  <c:v>12</c:v>
                </c:pt>
                <c:pt idx="161">
                  <c:v>13</c:v>
                </c:pt>
                <c:pt idx="162">
                  <c:v>13</c:v>
                </c:pt>
                <c:pt idx="163">
                  <c:v>13</c:v>
                </c:pt>
                <c:pt idx="164">
                  <c:v>13</c:v>
                </c:pt>
                <c:pt idx="165">
                  <c:v>13</c:v>
                </c:pt>
                <c:pt idx="166">
                  <c:v>13</c:v>
                </c:pt>
                <c:pt idx="167">
                  <c:v>13</c:v>
                </c:pt>
                <c:pt idx="168">
                  <c:v>13</c:v>
                </c:pt>
                <c:pt idx="169">
                  <c:v>13</c:v>
                </c:pt>
                <c:pt idx="170">
                  <c:v>13</c:v>
                </c:pt>
                <c:pt idx="171">
                  <c:v>13</c:v>
                </c:pt>
                <c:pt idx="172">
                  <c:v>13</c:v>
                </c:pt>
                <c:pt idx="173">
                  <c:v>13</c:v>
                </c:pt>
                <c:pt idx="174">
                  <c:v>13</c:v>
                </c:pt>
                <c:pt idx="175">
                  <c:v>13</c:v>
                </c:pt>
                <c:pt idx="176">
                  <c:v>13</c:v>
                </c:pt>
                <c:pt idx="177">
                  <c:v>13</c:v>
                </c:pt>
                <c:pt idx="178">
                  <c:v>13</c:v>
                </c:pt>
                <c:pt idx="179">
                  <c:v>13</c:v>
                </c:pt>
                <c:pt idx="180">
                  <c:v>13</c:v>
                </c:pt>
                <c:pt idx="181">
                  <c:v>13</c:v>
                </c:pt>
                <c:pt idx="182">
                  <c:v>13</c:v>
                </c:pt>
                <c:pt idx="183">
                  <c:v>13</c:v>
                </c:pt>
                <c:pt idx="184">
                  <c:v>13</c:v>
                </c:pt>
                <c:pt idx="185">
                  <c:v>13</c:v>
                </c:pt>
                <c:pt idx="186">
                  <c:v>14</c:v>
                </c:pt>
                <c:pt idx="187">
                  <c:v>14</c:v>
                </c:pt>
                <c:pt idx="188">
                  <c:v>14</c:v>
                </c:pt>
                <c:pt idx="189">
                  <c:v>14</c:v>
                </c:pt>
                <c:pt idx="190">
                  <c:v>14</c:v>
                </c:pt>
                <c:pt idx="191">
                  <c:v>14</c:v>
                </c:pt>
                <c:pt idx="192">
                  <c:v>15</c:v>
                </c:pt>
                <c:pt idx="193">
                  <c:v>15</c:v>
                </c:pt>
                <c:pt idx="194">
                  <c:v>15</c:v>
                </c:pt>
                <c:pt idx="195">
                  <c:v>15</c:v>
                </c:pt>
                <c:pt idx="196">
                  <c:v>16</c:v>
                </c:pt>
                <c:pt idx="197">
                  <c:v>16</c:v>
                </c:pt>
                <c:pt idx="198">
                  <c:v>16</c:v>
                </c:pt>
                <c:pt idx="199">
                  <c:v>16</c:v>
                </c:pt>
                <c:pt idx="200">
                  <c:v>16</c:v>
                </c:pt>
                <c:pt idx="201">
                  <c:v>16</c:v>
                </c:pt>
                <c:pt idx="202">
                  <c:v>16</c:v>
                </c:pt>
                <c:pt idx="203">
                  <c:v>16</c:v>
                </c:pt>
                <c:pt idx="204">
                  <c:v>16</c:v>
                </c:pt>
                <c:pt idx="205">
                  <c:v>16</c:v>
                </c:pt>
                <c:pt idx="206">
                  <c:v>17</c:v>
                </c:pt>
                <c:pt idx="207">
                  <c:v>17</c:v>
                </c:pt>
                <c:pt idx="208">
                  <c:v>17</c:v>
                </c:pt>
                <c:pt idx="209">
                  <c:v>17</c:v>
                </c:pt>
                <c:pt idx="210">
                  <c:v>17</c:v>
                </c:pt>
                <c:pt idx="211">
                  <c:v>17</c:v>
                </c:pt>
                <c:pt idx="212">
                  <c:v>17</c:v>
                </c:pt>
                <c:pt idx="213">
                  <c:v>17</c:v>
                </c:pt>
                <c:pt idx="214">
                  <c:v>18</c:v>
                </c:pt>
                <c:pt idx="215">
                  <c:v>19</c:v>
                </c:pt>
                <c:pt idx="216">
                  <c:v>20</c:v>
                </c:pt>
                <c:pt idx="217">
                  <c:v>21</c:v>
                </c:pt>
                <c:pt idx="218">
                  <c:v>21</c:v>
                </c:pt>
                <c:pt idx="219">
                  <c:v>21</c:v>
                </c:pt>
                <c:pt idx="220">
                  <c:v>22</c:v>
                </c:pt>
                <c:pt idx="221">
                  <c:v>23</c:v>
                </c:pt>
                <c:pt idx="222">
                  <c:v>23</c:v>
                </c:pt>
                <c:pt idx="223">
                  <c:v>23</c:v>
                </c:pt>
                <c:pt idx="224">
                  <c:v>23</c:v>
                </c:pt>
                <c:pt idx="225">
                  <c:v>24</c:v>
                </c:pt>
                <c:pt idx="226">
                  <c:v>24</c:v>
                </c:pt>
                <c:pt idx="227">
                  <c:v>24</c:v>
                </c:pt>
                <c:pt idx="228">
                  <c:v>24</c:v>
                </c:pt>
                <c:pt idx="229">
                  <c:v>25</c:v>
                </c:pt>
                <c:pt idx="230">
                  <c:v>26</c:v>
                </c:pt>
                <c:pt idx="231">
                  <c:v>26</c:v>
                </c:pt>
                <c:pt idx="232">
                  <c:v>26</c:v>
                </c:pt>
                <c:pt idx="233">
                  <c:v>26</c:v>
                </c:pt>
                <c:pt idx="234">
                  <c:v>26</c:v>
                </c:pt>
                <c:pt idx="235">
                  <c:v>26</c:v>
                </c:pt>
                <c:pt idx="236">
                  <c:v>26</c:v>
                </c:pt>
                <c:pt idx="237">
                  <c:v>26</c:v>
                </c:pt>
                <c:pt idx="238">
                  <c:v>26</c:v>
                </c:pt>
                <c:pt idx="239">
                  <c:v>26</c:v>
                </c:pt>
                <c:pt idx="240">
                  <c:v>26</c:v>
                </c:pt>
                <c:pt idx="241">
                  <c:v>26</c:v>
                </c:pt>
                <c:pt idx="242">
                  <c:v>26</c:v>
                </c:pt>
                <c:pt idx="243">
                  <c:v>26</c:v>
                </c:pt>
                <c:pt idx="244">
                  <c:v>26</c:v>
                </c:pt>
                <c:pt idx="245">
                  <c:v>26</c:v>
                </c:pt>
                <c:pt idx="246">
                  <c:v>26</c:v>
                </c:pt>
                <c:pt idx="247">
                  <c:v>26</c:v>
                </c:pt>
                <c:pt idx="248">
                  <c:v>26</c:v>
                </c:pt>
                <c:pt idx="249">
                  <c:v>26</c:v>
                </c:pt>
                <c:pt idx="250">
                  <c:v>26</c:v>
                </c:pt>
                <c:pt idx="251">
                  <c:v>26</c:v>
                </c:pt>
                <c:pt idx="252">
                  <c:v>26</c:v>
                </c:pt>
                <c:pt idx="253">
                  <c:v>26</c:v>
                </c:pt>
                <c:pt idx="254">
                  <c:v>26</c:v>
                </c:pt>
                <c:pt idx="255">
                  <c:v>26</c:v>
                </c:pt>
                <c:pt idx="256">
                  <c:v>26</c:v>
                </c:pt>
                <c:pt idx="257">
                  <c:v>26</c:v>
                </c:pt>
                <c:pt idx="258">
                  <c:v>26</c:v>
                </c:pt>
                <c:pt idx="259">
                  <c:v>26</c:v>
                </c:pt>
                <c:pt idx="260">
                  <c:v>26</c:v>
                </c:pt>
                <c:pt idx="261">
                  <c:v>26</c:v>
                </c:pt>
                <c:pt idx="262">
                  <c:v>27</c:v>
                </c:pt>
                <c:pt idx="263">
                  <c:v>27</c:v>
                </c:pt>
                <c:pt idx="264">
                  <c:v>28</c:v>
                </c:pt>
                <c:pt idx="265">
                  <c:v>28</c:v>
                </c:pt>
                <c:pt idx="266">
                  <c:v>29</c:v>
                </c:pt>
                <c:pt idx="267">
                  <c:v>29</c:v>
                </c:pt>
                <c:pt idx="268">
                  <c:v>29</c:v>
                </c:pt>
                <c:pt idx="269">
                  <c:v>29</c:v>
                </c:pt>
                <c:pt idx="270">
                  <c:v>29</c:v>
                </c:pt>
                <c:pt idx="271">
                  <c:v>29</c:v>
                </c:pt>
                <c:pt idx="272">
                  <c:v>29</c:v>
                </c:pt>
                <c:pt idx="273">
                  <c:v>29</c:v>
                </c:pt>
                <c:pt idx="274">
                  <c:v>29</c:v>
                </c:pt>
                <c:pt idx="275">
                  <c:v>29</c:v>
                </c:pt>
                <c:pt idx="276">
                  <c:v>29</c:v>
                </c:pt>
                <c:pt idx="277">
                  <c:v>29</c:v>
                </c:pt>
                <c:pt idx="278">
                  <c:v>29</c:v>
                </c:pt>
                <c:pt idx="279">
                  <c:v>29</c:v>
                </c:pt>
                <c:pt idx="280">
                  <c:v>29</c:v>
                </c:pt>
                <c:pt idx="281">
                  <c:v>29</c:v>
                </c:pt>
                <c:pt idx="282">
                  <c:v>29</c:v>
                </c:pt>
                <c:pt idx="283">
                  <c:v>29</c:v>
                </c:pt>
                <c:pt idx="284">
                  <c:v>29</c:v>
                </c:pt>
                <c:pt idx="285">
                  <c:v>29</c:v>
                </c:pt>
                <c:pt idx="286">
                  <c:v>29</c:v>
                </c:pt>
                <c:pt idx="287">
                  <c:v>29</c:v>
                </c:pt>
                <c:pt idx="288">
                  <c:v>29</c:v>
                </c:pt>
                <c:pt idx="289">
                  <c:v>29</c:v>
                </c:pt>
                <c:pt idx="290">
                  <c:v>29</c:v>
                </c:pt>
                <c:pt idx="291">
                  <c:v>29</c:v>
                </c:pt>
                <c:pt idx="292">
                  <c:v>29</c:v>
                </c:pt>
                <c:pt idx="293">
                  <c:v>29</c:v>
                </c:pt>
                <c:pt idx="294">
                  <c:v>29</c:v>
                </c:pt>
                <c:pt idx="295">
                  <c:v>29</c:v>
                </c:pt>
                <c:pt idx="296">
                  <c:v>29</c:v>
                </c:pt>
                <c:pt idx="297">
                  <c:v>29</c:v>
                </c:pt>
                <c:pt idx="298">
                  <c:v>29</c:v>
                </c:pt>
                <c:pt idx="299">
                  <c:v>29</c:v>
                </c:pt>
                <c:pt idx="300">
                  <c:v>29</c:v>
                </c:pt>
                <c:pt idx="301">
                  <c:v>29</c:v>
                </c:pt>
                <c:pt idx="302">
                  <c:v>29</c:v>
                </c:pt>
                <c:pt idx="303">
                  <c:v>29</c:v>
                </c:pt>
                <c:pt idx="304">
                  <c:v>29</c:v>
                </c:pt>
                <c:pt idx="305">
                  <c:v>29</c:v>
                </c:pt>
                <c:pt idx="306">
                  <c:v>29</c:v>
                </c:pt>
                <c:pt idx="307">
                  <c:v>29</c:v>
                </c:pt>
                <c:pt idx="308">
                  <c:v>29</c:v>
                </c:pt>
                <c:pt idx="309">
                  <c:v>29</c:v>
                </c:pt>
                <c:pt idx="310">
                  <c:v>29</c:v>
                </c:pt>
                <c:pt idx="311">
                  <c:v>29</c:v>
                </c:pt>
                <c:pt idx="312">
                  <c:v>29</c:v>
                </c:pt>
                <c:pt idx="313">
                  <c:v>29</c:v>
                </c:pt>
                <c:pt idx="314">
                  <c:v>29</c:v>
                </c:pt>
                <c:pt idx="315">
                  <c:v>29</c:v>
                </c:pt>
                <c:pt idx="316">
                  <c:v>29</c:v>
                </c:pt>
                <c:pt idx="317">
                  <c:v>29</c:v>
                </c:pt>
                <c:pt idx="318">
                  <c:v>29</c:v>
                </c:pt>
                <c:pt idx="319">
                  <c:v>29</c:v>
                </c:pt>
                <c:pt idx="320">
                  <c:v>29</c:v>
                </c:pt>
                <c:pt idx="321">
                  <c:v>29</c:v>
                </c:pt>
                <c:pt idx="322">
                  <c:v>29</c:v>
                </c:pt>
                <c:pt idx="323">
                  <c:v>29</c:v>
                </c:pt>
                <c:pt idx="324">
                  <c:v>29</c:v>
                </c:pt>
                <c:pt idx="325">
                  <c:v>29</c:v>
                </c:pt>
                <c:pt idx="326">
                  <c:v>29</c:v>
                </c:pt>
                <c:pt idx="327">
                  <c:v>29</c:v>
                </c:pt>
                <c:pt idx="328">
                  <c:v>29</c:v>
                </c:pt>
                <c:pt idx="329">
                  <c:v>29</c:v>
                </c:pt>
                <c:pt idx="330">
                  <c:v>29</c:v>
                </c:pt>
                <c:pt idx="331">
                  <c:v>29</c:v>
                </c:pt>
                <c:pt idx="332">
                  <c:v>29</c:v>
                </c:pt>
                <c:pt idx="333">
                  <c:v>29</c:v>
                </c:pt>
                <c:pt idx="334">
                  <c:v>29</c:v>
                </c:pt>
                <c:pt idx="335">
                  <c:v>29</c:v>
                </c:pt>
                <c:pt idx="336">
                  <c:v>29</c:v>
                </c:pt>
                <c:pt idx="337">
                  <c:v>29</c:v>
                </c:pt>
                <c:pt idx="338">
                  <c:v>29</c:v>
                </c:pt>
                <c:pt idx="339">
                  <c:v>29</c:v>
                </c:pt>
                <c:pt idx="340">
                  <c:v>29</c:v>
                </c:pt>
                <c:pt idx="341">
                  <c:v>29</c:v>
                </c:pt>
                <c:pt idx="342">
                  <c:v>29</c:v>
                </c:pt>
                <c:pt idx="343">
                  <c:v>29</c:v>
                </c:pt>
                <c:pt idx="344">
                  <c:v>29</c:v>
                </c:pt>
                <c:pt idx="345">
                  <c:v>29</c:v>
                </c:pt>
                <c:pt idx="346">
                  <c:v>29</c:v>
                </c:pt>
                <c:pt idx="347">
                  <c:v>29</c:v>
                </c:pt>
                <c:pt idx="348">
                  <c:v>29</c:v>
                </c:pt>
                <c:pt idx="349">
                  <c:v>29</c:v>
                </c:pt>
                <c:pt idx="350">
                  <c:v>29</c:v>
                </c:pt>
                <c:pt idx="351">
                  <c:v>29</c:v>
                </c:pt>
                <c:pt idx="352">
                  <c:v>29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29</c:v>
                </c:pt>
                <c:pt idx="357">
                  <c:v>29</c:v>
                </c:pt>
                <c:pt idx="358">
                  <c:v>29</c:v>
                </c:pt>
                <c:pt idx="359">
                  <c:v>29</c:v>
                </c:pt>
                <c:pt idx="360">
                  <c:v>29</c:v>
                </c:pt>
                <c:pt idx="361">
                  <c:v>29</c:v>
                </c:pt>
                <c:pt idx="362">
                  <c:v>29</c:v>
                </c:pt>
                <c:pt idx="363">
                  <c:v>29</c:v>
                </c:pt>
                <c:pt idx="364">
                  <c:v>29</c:v>
                </c:pt>
                <c:pt idx="365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011-0844-8364-DA0F5B1CFBCA}"/>
            </c:ext>
          </c:extLst>
        </c:ser>
        <c:ser>
          <c:idx val="20"/>
          <c:order val="20"/>
          <c:tx>
            <c:strRef>
              <c:f>List1!$Y$4</c:f>
              <c:strCache>
                <c:ptCount val="1"/>
                <c:pt idx="0">
                  <c:v>2019</c:v>
                </c:pt>
              </c:strCache>
            </c:strRef>
          </c:tx>
          <c:spPr>
            <a:ln w="28800" cap="rnd">
              <a:solidFill>
                <a:srgbClr val="BF0041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List1!$Y$5:$Y$370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4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5</c:v>
                </c:pt>
                <c:pt idx="158">
                  <c:v>5</c:v>
                </c:pt>
                <c:pt idx="159">
                  <c:v>5</c:v>
                </c:pt>
                <c:pt idx="160">
                  <c:v>5</c:v>
                </c:pt>
                <c:pt idx="161">
                  <c:v>6</c:v>
                </c:pt>
                <c:pt idx="162">
                  <c:v>7</c:v>
                </c:pt>
                <c:pt idx="163">
                  <c:v>8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9</c:v>
                </c:pt>
                <c:pt idx="172">
                  <c:v>9</c:v>
                </c:pt>
                <c:pt idx="173">
                  <c:v>9</c:v>
                </c:pt>
                <c:pt idx="174">
                  <c:v>9</c:v>
                </c:pt>
                <c:pt idx="175">
                  <c:v>9</c:v>
                </c:pt>
                <c:pt idx="176">
                  <c:v>9</c:v>
                </c:pt>
                <c:pt idx="177">
                  <c:v>9</c:v>
                </c:pt>
                <c:pt idx="178">
                  <c:v>9</c:v>
                </c:pt>
                <c:pt idx="179">
                  <c:v>9</c:v>
                </c:pt>
                <c:pt idx="180">
                  <c:v>9</c:v>
                </c:pt>
                <c:pt idx="181">
                  <c:v>9</c:v>
                </c:pt>
                <c:pt idx="182">
                  <c:v>9</c:v>
                </c:pt>
                <c:pt idx="183">
                  <c:v>9</c:v>
                </c:pt>
                <c:pt idx="184">
                  <c:v>9</c:v>
                </c:pt>
                <c:pt idx="185">
                  <c:v>9</c:v>
                </c:pt>
                <c:pt idx="186">
                  <c:v>9</c:v>
                </c:pt>
                <c:pt idx="187">
                  <c:v>9</c:v>
                </c:pt>
                <c:pt idx="188">
                  <c:v>9</c:v>
                </c:pt>
                <c:pt idx="189">
                  <c:v>9</c:v>
                </c:pt>
                <c:pt idx="190">
                  <c:v>9</c:v>
                </c:pt>
                <c:pt idx="191">
                  <c:v>9</c:v>
                </c:pt>
                <c:pt idx="192">
                  <c:v>9</c:v>
                </c:pt>
                <c:pt idx="193">
                  <c:v>10</c:v>
                </c:pt>
                <c:pt idx="194">
                  <c:v>10</c:v>
                </c:pt>
                <c:pt idx="195">
                  <c:v>10</c:v>
                </c:pt>
                <c:pt idx="196">
                  <c:v>10</c:v>
                </c:pt>
                <c:pt idx="197">
                  <c:v>10</c:v>
                </c:pt>
                <c:pt idx="198">
                  <c:v>10</c:v>
                </c:pt>
                <c:pt idx="199">
                  <c:v>10</c:v>
                </c:pt>
                <c:pt idx="200">
                  <c:v>10</c:v>
                </c:pt>
                <c:pt idx="201">
                  <c:v>10</c:v>
                </c:pt>
                <c:pt idx="202">
                  <c:v>11</c:v>
                </c:pt>
                <c:pt idx="203">
                  <c:v>11</c:v>
                </c:pt>
                <c:pt idx="204">
                  <c:v>11</c:v>
                </c:pt>
                <c:pt idx="205">
                  <c:v>11</c:v>
                </c:pt>
                <c:pt idx="206">
                  <c:v>11</c:v>
                </c:pt>
                <c:pt idx="207">
                  <c:v>11</c:v>
                </c:pt>
                <c:pt idx="208">
                  <c:v>12</c:v>
                </c:pt>
                <c:pt idx="209">
                  <c:v>12</c:v>
                </c:pt>
                <c:pt idx="210">
                  <c:v>13</c:v>
                </c:pt>
                <c:pt idx="211">
                  <c:v>14</c:v>
                </c:pt>
                <c:pt idx="212">
                  <c:v>15</c:v>
                </c:pt>
                <c:pt idx="213">
                  <c:v>15</c:v>
                </c:pt>
                <c:pt idx="214">
                  <c:v>16</c:v>
                </c:pt>
                <c:pt idx="215">
                  <c:v>17</c:v>
                </c:pt>
                <c:pt idx="216">
                  <c:v>18</c:v>
                </c:pt>
                <c:pt idx="217">
                  <c:v>18</c:v>
                </c:pt>
                <c:pt idx="218">
                  <c:v>19</c:v>
                </c:pt>
                <c:pt idx="219">
                  <c:v>20</c:v>
                </c:pt>
                <c:pt idx="220">
                  <c:v>20</c:v>
                </c:pt>
                <c:pt idx="221">
                  <c:v>20</c:v>
                </c:pt>
                <c:pt idx="222">
                  <c:v>20</c:v>
                </c:pt>
                <c:pt idx="223">
                  <c:v>21</c:v>
                </c:pt>
                <c:pt idx="224">
                  <c:v>22</c:v>
                </c:pt>
                <c:pt idx="225">
                  <c:v>22</c:v>
                </c:pt>
                <c:pt idx="226">
                  <c:v>22</c:v>
                </c:pt>
                <c:pt idx="227">
                  <c:v>22</c:v>
                </c:pt>
                <c:pt idx="228">
                  <c:v>22</c:v>
                </c:pt>
                <c:pt idx="229">
                  <c:v>22</c:v>
                </c:pt>
                <c:pt idx="230">
                  <c:v>22</c:v>
                </c:pt>
                <c:pt idx="231">
                  <c:v>22</c:v>
                </c:pt>
                <c:pt idx="232">
                  <c:v>22</c:v>
                </c:pt>
                <c:pt idx="233">
                  <c:v>22</c:v>
                </c:pt>
                <c:pt idx="234">
                  <c:v>22</c:v>
                </c:pt>
                <c:pt idx="235">
                  <c:v>22</c:v>
                </c:pt>
                <c:pt idx="236">
                  <c:v>22</c:v>
                </c:pt>
                <c:pt idx="237">
                  <c:v>22</c:v>
                </c:pt>
                <c:pt idx="238">
                  <c:v>22</c:v>
                </c:pt>
                <c:pt idx="239">
                  <c:v>22</c:v>
                </c:pt>
                <c:pt idx="240">
                  <c:v>23</c:v>
                </c:pt>
                <c:pt idx="241">
                  <c:v>24</c:v>
                </c:pt>
                <c:pt idx="242">
                  <c:v>24</c:v>
                </c:pt>
                <c:pt idx="243">
                  <c:v>24</c:v>
                </c:pt>
                <c:pt idx="244">
                  <c:v>25</c:v>
                </c:pt>
                <c:pt idx="245">
                  <c:v>25</c:v>
                </c:pt>
                <c:pt idx="246">
                  <c:v>25</c:v>
                </c:pt>
                <c:pt idx="247">
                  <c:v>25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25</c:v>
                </c:pt>
                <c:pt idx="252">
                  <c:v>25</c:v>
                </c:pt>
                <c:pt idx="253">
                  <c:v>25</c:v>
                </c:pt>
                <c:pt idx="254">
                  <c:v>25</c:v>
                </c:pt>
                <c:pt idx="255">
                  <c:v>25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25</c:v>
                </c:pt>
                <c:pt idx="260">
                  <c:v>25</c:v>
                </c:pt>
                <c:pt idx="261">
                  <c:v>25</c:v>
                </c:pt>
                <c:pt idx="262">
                  <c:v>25</c:v>
                </c:pt>
                <c:pt idx="263">
                  <c:v>25</c:v>
                </c:pt>
                <c:pt idx="264">
                  <c:v>25</c:v>
                </c:pt>
                <c:pt idx="265">
                  <c:v>25</c:v>
                </c:pt>
                <c:pt idx="266">
                  <c:v>25</c:v>
                </c:pt>
                <c:pt idx="267">
                  <c:v>25</c:v>
                </c:pt>
                <c:pt idx="268">
                  <c:v>25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25</c:v>
                </c:pt>
                <c:pt idx="273">
                  <c:v>25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25</c:v>
                </c:pt>
                <c:pt idx="288">
                  <c:v>25</c:v>
                </c:pt>
                <c:pt idx="289">
                  <c:v>25</c:v>
                </c:pt>
                <c:pt idx="290">
                  <c:v>25</c:v>
                </c:pt>
                <c:pt idx="291">
                  <c:v>25</c:v>
                </c:pt>
                <c:pt idx="292">
                  <c:v>25</c:v>
                </c:pt>
                <c:pt idx="293">
                  <c:v>25</c:v>
                </c:pt>
                <c:pt idx="294">
                  <c:v>25</c:v>
                </c:pt>
                <c:pt idx="295">
                  <c:v>25</c:v>
                </c:pt>
                <c:pt idx="296">
                  <c:v>25</c:v>
                </c:pt>
                <c:pt idx="297">
                  <c:v>25</c:v>
                </c:pt>
                <c:pt idx="298">
                  <c:v>25</c:v>
                </c:pt>
                <c:pt idx="299">
                  <c:v>25</c:v>
                </c:pt>
                <c:pt idx="300">
                  <c:v>25</c:v>
                </c:pt>
                <c:pt idx="301">
                  <c:v>25</c:v>
                </c:pt>
                <c:pt idx="302">
                  <c:v>25</c:v>
                </c:pt>
                <c:pt idx="303">
                  <c:v>25</c:v>
                </c:pt>
                <c:pt idx="304">
                  <c:v>25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25</c:v>
                </c:pt>
                <c:pt idx="312">
                  <c:v>25</c:v>
                </c:pt>
                <c:pt idx="313">
                  <c:v>25</c:v>
                </c:pt>
                <c:pt idx="314">
                  <c:v>25</c:v>
                </c:pt>
                <c:pt idx="315">
                  <c:v>25</c:v>
                </c:pt>
                <c:pt idx="316">
                  <c:v>25</c:v>
                </c:pt>
                <c:pt idx="317">
                  <c:v>25</c:v>
                </c:pt>
                <c:pt idx="318">
                  <c:v>25</c:v>
                </c:pt>
                <c:pt idx="319">
                  <c:v>25</c:v>
                </c:pt>
                <c:pt idx="320">
                  <c:v>25</c:v>
                </c:pt>
                <c:pt idx="321">
                  <c:v>25</c:v>
                </c:pt>
                <c:pt idx="322">
                  <c:v>25</c:v>
                </c:pt>
                <c:pt idx="323">
                  <c:v>25</c:v>
                </c:pt>
                <c:pt idx="324">
                  <c:v>25</c:v>
                </c:pt>
                <c:pt idx="325">
                  <c:v>25</c:v>
                </c:pt>
                <c:pt idx="326">
                  <c:v>25</c:v>
                </c:pt>
                <c:pt idx="327">
                  <c:v>25</c:v>
                </c:pt>
                <c:pt idx="328">
                  <c:v>25</c:v>
                </c:pt>
                <c:pt idx="329">
                  <c:v>25</c:v>
                </c:pt>
                <c:pt idx="330">
                  <c:v>25</c:v>
                </c:pt>
                <c:pt idx="331">
                  <c:v>25</c:v>
                </c:pt>
                <c:pt idx="332">
                  <c:v>25</c:v>
                </c:pt>
                <c:pt idx="333">
                  <c:v>25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25</c:v>
                </c:pt>
                <c:pt idx="338">
                  <c:v>25</c:v>
                </c:pt>
                <c:pt idx="339">
                  <c:v>25</c:v>
                </c:pt>
                <c:pt idx="340">
                  <c:v>25</c:v>
                </c:pt>
                <c:pt idx="341">
                  <c:v>25</c:v>
                </c:pt>
                <c:pt idx="342">
                  <c:v>25</c:v>
                </c:pt>
                <c:pt idx="343">
                  <c:v>25</c:v>
                </c:pt>
                <c:pt idx="344">
                  <c:v>25</c:v>
                </c:pt>
                <c:pt idx="345">
                  <c:v>25</c:v>
                </c:pt>
                <c:pt idx="346">
                  <c:v>25</c:v>
                </c:pt>
                <c:pt idx="347">
                  <c:v>25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25</c:v>
                </c:pt>
                <c:pt idx="352">
                  <c:v>25</c:v>
                </c:pt>
                <c:pt idx="353">
                  <c:v>25</c:v>
                </c:pt>
                <c:pt idx="354">
                  <c:v>25</c:v>
                </c:pt>
                <c:pt idx="355">
                  <c:v>25</c:v>
                </c:pt>
                <c:pt idx="356">
                  <c:v>25</c:v>
                </c:pt>
                <c:pt idx="357">
                  <c:v>25</c:v>
                </c:pt>
                <c:pt idx="358">
                  <c:v>25</c:v>
                </c:pt>
                <c:pt idx="359">
                  <c:v>25</c:v>
                </c:pt>
                <c:pt idx="360">
                  <c:v>25</c:v>
                </c:pt>
                <c:pt idx="361">
                  <c:v>25</c:v>
                </c:pt>
                <c:pt idx="362">
                  <c:v>25</c:v>
                </c:pt>
                <c:pt idx="363">
                  <c:v>25</c:v>
                </c:pt>
                <c:pt idx="364">
                  <c:v>25</c:v>
                </c:pt>
                <c:pt idx="365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011-0844-8364-DA0F5B1CFBCA}"/>
            </c:ext>
          </c:extLst>
        </c:ser>
        <c:ser>
          <c:idx val="21"/>
          <c:order val="21"/>
          <c:tx>
            <c:strRef>
              <c:f>List1!$Z$4</c:f>
              <c:strCache>
                <c:ptCount val="1"/>
                <c:pt idx="0">
                  <c:v>2020</c:v>
                </c:pt>
              </c:strCache>
            </c:strRef>
          </c:tx>
          <c:spPr>
            <a:ln w="28800" cap="rnd">
              <a:solidFill>
                <a:srgbClr val="800080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List1!$Z$5:$Z$370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2</c:v>
                </c:pt>
                <c:pt idx="117">
                  <c:v>2</c:v>
                </c:pt>
                <c:pt idx="118">
                  <c:v>2</c:v>
                </c:pt>
                <c:pt idx="119">
                  <c:v>2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2</c:v>
                </c:pt>
                <c:pt idx="137">
                  <c:v>2</c:v>
                </c:pt>
                <c:pt idx="138">
                  <c:v>2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2</c:v>
                </c:pt>
                <c:pt idx="149">
                  <c:v>2</c:v>
                </c:pt>
                <c:pt idx="150">
                  <c:v>2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4</c:v>
                </c:pt>
                <c:pt idx="155">
                  <c:v>5</c:v>
                </c:pt>
                <c:pt idx="156">
                  <c:v>5</c:v>
                </c:pt>
                <c:pt idx="157">
                  <c:v>5</c:v>
                </c:pt>
                <c:pt idx="158">
                  <c:v>5</c:v>
                </c:pt>
                <c:pt idx="159">
                  <c:v>5</c:v>
                </c:pt>
                <c:pt idx="160">
                  <c:v>5</c:v>
                </c:pt>
                <c:pt idx="161">
                  <c:v>5</c:v>
                </c:pt>
                <c:pt idx="162">
                  <c:v>5</c:v>
                </c:pt>
                <c:pt idx="163">
                  <c:v>5</c:v>
                </c:pt>
                <c:pt idx="164">
                  <c:v>6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7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9</c:v>
                </c:pt>
                <c:pt idx="179">
                  <c:v>10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11</c:v>
                </c:pt>
                <c:pt idx="187">
                  <c:v>11</c:v>
                </c:pt>
                <c:pt idx="188">
                  <c:v>11</c:v>
                </c:pt>
                <c:pt idx="189">
                  <c:v>11</c:v>
                </c:pt>
                <c:pt idx="190">
                  <c:v>11</c:v>
                </c:pt>
                <c:pt idx="191">
                  <c:v>11</c:v>
                </c:pt>
                <c:pt idx="192">
                  <c:v>11</c:v>
                </c:pt>
                <c:pt idx="193">
                  <c:v>11</c:v>
                </c:pt>
                <c:pt idx="194">
                  <c:v>11</c:v>
                </c:pt>
                <c:pt idx="195">
                  <c:v>11</c:v>
                </c:pt>
                <c:pt idx="196">
                  <c:v>11</c:v>
                </c:pt>
                <c:pt idx="197">
                  <c:v>12</c:v>
                </c:pt>
                <c:pt idx="198">
                  <c:v>12</c:v>
                </c:pt>
                <c:pt idx="199">
                  <c:v>12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14</c:v>
                </c:pt>
                <c:pt idx="208">
                  <c:v>14</c:v>
                </c:pt>
                <c:pt idx="209">
                  <c:v>14</c:v>
                </c:pt>
                <c:pt idx="210">
                  <c:v>14</c:v>
                </c:pt>
                <c:pt idx="211">
                  <c:v>14</c:v>
                </c:pt>
                <c:pt idx="212">
                  <c:v>14</c:v>
                </c:pt>
                <c:pt idx="213">
                  <c:v>14</c:v>
                </c:pt>
                <c:pt idx="214">
                  <c:v>14</c:v>
                </c:pt>
                <c:pt idx="215">
                  <c:v>14</c:v>
                </c:pt>
                <c:pt idx="216">
                  <c:v>14</c:v>
                </c:pt>
                <c:pt idx="217">
                  <c:v>14</c:v>
                </c:pt>
                <c:pt idx="218">
                  <c:v>14</c:v>
                </c:pt>
                <c:pt idx="219">
                  <c:v>14</c:v>
                </c:pt>
                <c:pt idx="220">
                  <c:v>14</c:v>
                </c:pt>
                <c:pt idx="221">
                  <c:v>14</c:v>
                </c:pt>
                <c:pt idx="222">
                  <c:v>15</c:v>
                </c:pt>
                <c:pt idx="223">
                  <c:v>16</c:v>
                </c:pt>
                <c:pt idx="224">
                  <c:v>16</c:v>
                </c:pt>
                <c:pt idx="225">
                  <c:v>16</c:v>
                </c:pt>
                <c:pt idx="226">
                  <c:v>17</c:v>
                </c:pt>
                <c:pt idx="227">
                  <c:v>17</c:v>
                </c:pt>
                <c:pt idx="228">
                  <c:v>17</c:v>
                </c:pt>
                <c:pt idx="229">
                  <c:v>18</c:v>
                </c:pt>
                <c:pt idx="230">
                  <c:v>19</c:v>
                </c:pt>
                <c:pt idx="231">
                  <c:v>19</c:v>
                </c:pt>
                <c:pt idx="232">
                  <c:v>19</c:v>
                </c:pt>
                <c:pt idx="233">
                  <c:v>19</c:v>
                </c:pt>
                <c:pt idx="234">
                  <c:v>19</c:v>
                </c:pt>
                <c:pt idx="235">
                  <c:v>20</c:v>
                </c:pt>
                <c:pt idx="236">
                  <c:v>20</c:v>
                </c:pt>
                <c:pt idx="237">
                  <c:v>20</c:v>
                </c:pt>
                <c:pt idx="238">
                  <c:v>20</c:v>
                </c:pt>
                <c:pt idx="239">
                  <c:v>20</c:v>
                </c:pt>
                <c:pt idx="240">
                  <c:v>20</c:v>
                </c:pt>
                <c:pt idx="241">
                  <c:v>20</c:v>
                </c:pt>
                <c:pt idx="242">
                  <c:v>20</c:v>
                </c:pt>
                <c:pt idx="243">
                  <c:v>20</c:v>
                </c:pt>
                <c:pt idx="244">
                  <c:v>20</c:v>
                </c:pt>
                <c:pt idx="245">
                  <c:v>20</c:v>
                </c:pt>
                <c:pt idx="246">
                  <c:v>20</c:v>
                </c:pt>
                <c:pt idx="247">
                  <c:v>20</c:v>
                </c:pt>
                <c:pt idx="248">
                  <c:v>21</c:v>
                </c:pt>
                <c:pt idx="249">
                  <c:v>21</c:v>
                </c:pt>
                <c:pt idx="250">
                  <c:v>21</c:v>
                </c:pt>
                <c:pt idx="251">
                  <c:v>21</c:v>
                </c:pt>
                <c:pt idx="252">
                  <c:v>21</c:v>
                </c:pt>
                <c:pt idx="253">
                  <c:v>21</c:v>
                </c:pt>
                <c:pt idx="254">
                  <c:v>21</c:v>
                </c:pt>
                <c:pt idx="255">
                  <c:v>21</c:v>
                </c:pt>
                <c:pt idx="256">
                  <c:v>21</c:v>
                </c:pt>
                <c:pt idx="257">
                  <c:v>21</c:v>
                </c:pt>
                <c:pt idx="258">
                  <c:v>21</c:v>
                </c:pt>
                <c:pt idx="259">
                  <c:v>21</c:v>
                </c:pt>
                <c:pt idx="260">
                  <c:v>21</c:v>
                </c:pt>
                <c:pt idx="261">
                  <c:v>21</c:v>
                </c:pt>
                <c:pt idx="262">
                  <c:v>21</c:v>
                </c:pt>
                <c:pt idx="263">
                  <c:v>21</c:v>
                </c:pt>
                <c:pt idx="264">
                  <c:v>21</c:v>
                </c:pt>
                <c:pt idx="265">
                  <c:v>21</c:v>
                </c:pt>
                <c:pt idx="266">
                  <c:v>22</c:v>
                </c:pt>
                <c:pt idx="267">
                  <c:v>22</c:v>
                </c:pt>
                <c:pt idx="268">
                  <c:v>22</c:v>
                </c:pt>
                <c:pt idx="269">
                  <c:v>22</c:v>
                </c:pt>
                <c:pt idx="270">
                  <c:v>22</c:v>
                </c:pt>
                <c:pt idx="271">
                  <c:v>22</c:v>
                </c:pt>
                <c:pt idx="272">
                  <c:v>22</c:v>
                </c:pt>
                <c:pt idx="273">
                  <c:v>22</c:v>
                </c:pt>
                <c:pt idx="274">
                  <c:v>22</c:v>
                </c:pt>
                <c:pt idx="275">
                  <c:v>22</c:v>
                </c:pt>
                <c:pt idx="276">
                  <c:v>22</c:v>
                </c:pt>
                <c:pt idx="277">
                  <c:v>22</c:v>
                </c:pt>
                <c:pt idx="278">
                  <c:v>22</c:v>
                </c:pt>
                <c:pt idx="279">
                  <c:v>22</c:v>
                </c:pt>
                <c:pt idx="280">
                  <c:v>22</c:v>
                </c:pt>
                <c:pt idx="281">
                  <c:v>22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22</c:v>
                </c:pt>
                <c:pt idx="288">
                  <c:v>22</c:v>
                </c:pt>
                <c:pt idx="289">
                  <c:v>22</c:v>
                </c:pt>
                <c:pt idx="290">
                  <c:v>22</c:v>
                </c:pt>
                <c:pt idx="291">
                  <c:v>22</c:v>
                </c:pt>
                <c:pt idx="292">
                  <c:v>22</c:v>
                </c:pt>
                <c:pt idx="293">
                  <c:v>22</c:v>
                </c:pt>
                <c:pt idx="294">
                  <c:v>22</c:v>
                </c:pt>
                <c:pt idx="295">
                  <c:v>22</c:v>
                </c:pt>
                <c:pt idx="296">
                  <c:v>22</c:v>
                </c:pt>
                <c:pt idx="297">
                  <c:v>22</c:v>
                </c:pt>
                <c:pt idx="298">
                  <c:v>22</c:v>
                </c:pt>
                <c:pt idx="299">
                  <c:v>22</c:v>
                </c:pt>
                <c:pt idx="300">
                  <c:v>22</c:v>
                </c:pt>
                <c:pt idx="301">
                  <c:v>22</c:v>
                </c:pt>
                <c:pt idx="302">
                  <c:v>22</c:v>
                </c:pt>
                <c:pt idx="303">
                  <c:v>22</c:v>
                </c:pt>
                <c:pt idx="304">
                  <c:v>22</c:v>
                </c:pt>
                <c:pt idx="305">
                  <c:v>22</c:v>
                </c:pt>
                <c:pt idx="306">
                  <c:v>22</c:v>
                </c:pt>
                <c:pt idx="307">
                  <c:v>22</c:v>
                </c:pt>
                <c:pt idx="308">
                  <c:v>22</c:v>
                </c:pt>
                <c:pt idx="309">
                  <c:v>22</c:v>
                </c:pt>
                <c:pt idx="310">
                  <c:v>22</c:v>
                </c:pt>
                <c:pt idx="311">
                  <c:v>22</c:v>
                </c:pt>
                <c:pt idx="312">
                  <c:v>22</c:v>
                </c:pt>
                <c:pt idx="313">
                  <c:v>22</c:v>
                </c:pt>
                <c:pt idx="314">
                  <c:v>22</c:v>
                </c:pt>
                <c:pt idx="315">
                  <c:v>22</c:v>
                </c:pt>
                <c:pt idx="316">
                  <c:v>22</c:v>
                </c:pt>
                <c:pt idx="317">
                  <c:v>22</c:v>
                </c:pt>
                <c:pt idx="318">
                  <c:v>22</c:v>
                </c:pt>
                <c:pt idx="319">
                  <c:v>22</c:v>
                </c:pt>
                <c:pt idx="320">
                  <c:v>22</c:v>
                </c:pt>
                <c:pt idx="321">
                  <c:v>22</c:v>
                </c:pt>
                <c:pt idx="322">
                  <c:v>22</c:v>
                </c:pt>
                <c:pt idx="323">
                  <c:v>22</c:v>
                </c:pt>
                <c:pt idx="324">
                  <c:v>22</c:v>
                </c:pt>
                <c:pt idx="325">
                  <c:v>22</c:v>
                </c:pt>
                <c:pt idx="326">
                  <c:v>22</c:v>
                </c:pt>
                <c:pt idx="327">
                  <c:v>22</c:v>
                </c:pt>
                <c:pt idx="328">
                  <c:v>22</c:v>
                </c:pt>
                <c:pt idx="329">
                  <c:v>22</c:v>
                </c:pt>
                <c:pt idx="330">
                  <c:v>22</c:v>
                </c:pt>
                <c:pt idx="331">
                  <c:v>22</c:v>
                </c:pt>
                <c:pt idx="332">
                  <c:v>22</c:v>
                </c:pt>
                <c:pt idx="333">
                  <c:v>22</c:v>
                </c:pt>
                <c:pt idx="334">
                  <c:v>22</c:v>
                </c:pt>
                <c:pt idx="335">
                  <c:v>22</c:v>
                </c:pt>
                <c:pt idx="336">
                  <c:v>22</c:v>
                </c:pt>
                <c:pt idx="337">
                  <c:v>22</c:v>
                </c:pt>
                <c:pt idx="338">
                  <c:v>22</c:v>
                </c:pt>
                <c:pt idx="339">
                  <c:v>22</c:v>
                </c:pt>
                <c:pt idx="340">
                  <c:v>22</c:v>
                </c:pt>
                <c:pt idx="341">
                  <c:v>22</c:v>
                </c:pt>
                <c:pt idx="342">
                  <c:v>22</c:v>
                </c:pt>
                <c:pt idx="343">
                  <c:v>22</c:v>
                </c:pt>
                <c:pt idx="344">
                  <c:v>22</c:v>
                </c:pt>
                <c:pt idx="345">
                  <c:v>22</c:v>
                </c:pt>
                <c:pt idx="346">
                  <c:v>22</c:v>
                </c:pt>
                <c:pt idx="347">
                  <c:v>22</c:v>
                </c:pt>
                <c:pt idx="348">
                  <c:v>22</c:v>
                </c:pt>
                <c:pt idx="349">
                  <c:v>22</c:v>
                </c:pt>
                <c:pt idx="350">
                  <c:v>22</c:v>
                </c:pt>
                <c:pt idx="351">
                  <c:v>22</c:v>
                </c:pt>
                <c:pt idx="352">
                  <c:v>22</c:v>
                </c:pt>
                <c:pt idx="353">
                  <c:v>22</c:v>
                </c:pt>
                <c:pt idx="354">
                  <c:v>22</c:v>
                </c:pt>
                <c:pt idx="355">
                  <c:v>22</c:v>
                </c:pt>
                <c:pt idx="356">
                  <c:v>22</c:v>
                </c:pt>
                <c:pt idx="357">
                  <c:v>22</c:v>
                </c:pt>
                <c:pt idx="358">
                  <c:v>22</c:v>
                </c:pt>
                <c:pt idx="359">
                  <c:v>22</c:v>
                </c:pt>
                <c:pt idx="360">
                  <c:v>22</c:v>
                </c:pt>
                <c:pt idx="361">
                  <c:v>22</c:v>
                </c:pt>
                <c:pt idx="362">
                  <c:v>22</c:v>
                </c:pt>
                <c:pt idx="363">
                  <c:v>22</c:v>
                </c:pt>
                <c:pt idx="364">
                  <c:v>22</c:v>
                </c:pt>
                <c:pt idx="365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011-0844-8364-DA0F5B1CFBCA}"/>
            </c:ext>
          </c:extLst>
        </c:ser>
        <c:ser>
          <c:idx val="22"/>
          <c:order val="22"/>
          <c:tx>
            <c:strRef>
              <c:f>List1!$AA$4</c:f>
              <c:strCache>
                <c:ptCount val="1"/>
                <c:pt idx="0">
                  <c:v>2021</c:v>
                </c:pt>
              </c:strCache>
            </c:strRef>
          </c:tx>
          <c:spPr>
            <a:ln w="28800" cap="rnd">
              <a:solidFill>
                <a:srgbClr val="55308D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List1!$AA$5:$AA$370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2</c:v>
                </c:pt>
                <c:pt idx="136">
                  <c:v>2</c:v>
                </c:pt>
                <c:pt idx="137">
                  <c:v>3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5</c:v>
                </c:pt>
                <c:pt idx="146">
                  <c:v>5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</c:v>
                </c:pt>
                <c:pt idx="154">
                  <c:v>5</c:v>
                </c:pt>
                <c:pt idx="155">
                  <c:v>5</c:v>
                </c:pt>
                <c:pt idx="156">
                  <c:v>6</c:v>
                </c:pt>
                <c:pt idx="157">
                  <c:v>6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8</c:v>
                </c:pt>
                <c:pt idx="173">
                  <c:v>9</c:v>
                </c:pt>
                <c:pt idx="174">
                  <c:v>10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12</c:v>
                </c:pt>
                <c:pt idx="181">
                  <c:v>13</c:v>
                </c:pt>
                <c:pt idx="182">
                  <c:v>13</c:v>
                </c:pt>
                <c:pt idx="183">
                  <c:v>13</c:v>
                </c:pt>
                <c:pt idx="184">
                  <c:v>13</c:v>
                </c:pt>
                <c:pt idx="185">
                  <c:v>13</c:v>
                </c:pt>
                <c:pt idx="186">
                  <c:v>13</c:v>
                </c:pt>
                <c:pt idx="187">
                  <c:v>13</c:v>
                </c:pt>
                <c:pt idx="188">
                  <c:v>13</c:v>
                </c:pt>
                <c:pt idx="189">
                  <c:v>14</c:v>
                </c:pt>
                <c:pt idx="190">
                  <c:v>15</c:v>
                </c:pt>
                <c:pt idx="191">
                  <c:v>15</c:v>
                </c:pt>
                <c:pt idx="192">
                  <c:v>16</c:v>
                </c:pt>
                <c:pt idx="193">
                  <c:v>16</c:v>
                </c:pt>
                <c:pt idx="194">
                  <c:v>17</c:v>
                </c:pt>
                <c:pt idx="195">
                  <c:v>17</c:v>
                </c:pt>
                <c:pt idx="196">
                  <c:v>18</c:v>
                </c:pt>
                <c:pt idx="197">
                  <c:v>18</c:v>
                </c:pt>
                <c:pt idx="198">
                  <c:v>18</c:v>
                </c:pt>
                <c:pt idx="199">
                  <c:v>18</c:v>
                </c:pt>
                <c:pt idx="200">
                  <c:v>18</c:v>
                </c:pt>
                <c:pt idx="201">
                  <c:v>18</c:v>
                </c:pt>
                <c:pt idx="202">
                  <c:v>18</c:v>
                </c:pt>
                <c:pt idx="203">
                  <c:v>18</c:v>
                </c:pt>
                <c:pt idx="204">
                  <c:v>18</c:v>
                </c:pt>
                <c:pt idx="205">
                  <c:v>18</c:v>
                </c:pt>
                <c:pt idx="206">
                  <c:v>19</c:v>
                </c:pt>
                <c:pt idx="207">
                  <c:v>20</c:v>
                </c:pt>
                <c:pt idx="208">
                  <c:v>20</c:v>
                </c:pt>
                <c:pt idx="209">
                  <c:v>20</c:v>
                </c:pt>
                <c:pt idx="210">
                  <c:v>20</c:v>
                </c:pt>
                <c:pt idx="211">
                  <c:v>20</c:v>
                </c:pt>
                <c:pt idx="212">
                  <c:v>20</c:v>
                </c:pt>
                <c:pt idx="213">
                  <c:v>20</c:v>
                </c:pt>
                <c:pt idx="214">
                  <c:v>20</c:v>
                </c:pt>
                <c:pt idx="215">
                  <c:v>21</c:v>
                </c:pt>
                <c:pt idx="216">
                  <c:v>21</c:v>
                </c:pt>
                <c:pt idx="217">
                  <c:v>22</c:v>
                </c:pt>
                <c:pt idx="218">
                  <c:v>22</c:v>
                </c:pt>
                <c:pt idx="219">
                  <c:v>22</c:v>
                </c:pt>
                <c:pt idx="220">
                  <c:v>22</c:v>
                </c:pt>
                <c:pt idx="221">
                  <c:v>22</c:v>
                </c:pt>
                <c:pt idx="222">
                  <c:v>23</c:v>
                </c:pt>
                <c:pt idx="223">
                  <c:v>23</c:v>
                </c:pt>
                <c:pt idx="224">
                  <c:v>23</c:v>
                </c:pt>
                <c:pt idx="225">
                  <c:v>23</c:v>
                </c:pt>
                <c:pt idx="226">
                  <c:v>23</c:v>
                </c:pt>
                <c:pt idx="227">
                  <c:v>23</c:v>
                </c:pt>
                <c:pt idx="228">
                  <c:v>24</c:v>
                </c:pt>
                <c:pt idx="229">
                  <c:v>24</c:v>
                </c:pt>
                <c:pt idx="230">
                  <c:v>24</c:v>
                </c:pt>
                <c:pt idx="231">
                  <c:v>24</c:v>
                </c:pt>
                <c:pt idx="232">
                  <c:v>24</c:v>
                </c:pt>
                <c:pt idx="233">
                  <c:v>24</c:v>
                </c:pt>
                <c:pt idx="234">
                  <c:v>25</c:v>
                </c:pt>
                <c:pt idx="235">
                  <c:v>25</c:v>
                </c:pt>
                <c:pt idx="236">
                  <c:v>25</c:v>
                </c:pt>
                <c:pt idx="237">
                  <c:v>25</c:v>
                </c:pt>
                <c:pt idx="238">
                  <c:v>25</c:v>
                </c:pt>
                <c:pt idx="239">
                  <c:v>25</c:v>
                </c:pt>
                <c:pt idx="240">
                  <c:v>25</c:v>
                </c:pt>
                <c:pt idx="241">
                  <c:v>26</c:v>
                </c:pt>
                <c:pt idx="242">
                  <c:v>26</c:v>
                </c:pt>
                <c:pt idx="243">
                  <c:v>26</c:v>
                </c:pt>
                <c:pt idx="244">
                  <c:v>26</c:v>
                </c:pt>
                <c:pt idx="245">
                  <c:v>26</c:v>
                </c:pt>
                <c:pt idx="246">
                  <c:v>26</c:v>
                </c:pt>
                <c:pt idx="247">
                  <c:v>26</c:v>
                </c:pt>
                <c:pt idx="248">
                  <c:v>26</c:v>
                </c:pt>
                <c:pt idx="249">
                  <c:v>26</c:v>
                </c:pt>
                <c:pt idx="250">
                  <c:v>26</c:v>
                </c:pt>
                <c:pt idx="251">
                  <c:v>26</c:v>
                </c:pt>
                <c:pt idx="252">
                  <c:v>26</c:v>
                </c:pt>
                <c:pt idx="253">
                  <c:v>26</c:v>
                </c:pt>
                <c:pt idx="254">
                  <c:v>27</c:v>
                </c:pt>
                <c:pt idx="255">
                  <c:v>27</c:v>
                </c:pt>
                <c:pt idx="256">
                  <c:v>27</c:v>
                </c:pt>
                <c:pt idx="257">
                  <c:v>27</c:v>
                </c:pt>
                <c:pt idx="258">
                  <c:v>27</c:v>
                </c:pt>
                <c:pt idx="259">
                  <c:v>27</c:v>
                </c:pt>
                <c:pt idx="260">
                  <c:v>27</c:v>
                </c:pt>
                <c:pt idx="261">
                  <c:v>27</c:v>
                </c:pt>
                <c:pt idx="262">
                  <c:v>27</c:v>
                </c:pt>
                <c:pt idx="263">
                  <c:v>27</c:v>
                </c:pt>
                <c:pt idx="264">
                  <c:v>27</c:v>
                </c:pt>
                <c:pt idx="265">
                  <c:v>27</c:v>
                </c:pt>
                <c:pt idx="266">
                  <c:v>27</c:v>
                </c:pt>
                <c:pt idx="267">
                  <c:v>27</c:v>
                </c:pt>
                <c:pt idx="268">
                  <c:v>27</c:v>
                </c:pt>
                <c:pt idx="269">
                  <c:v>27</c:v>
                </c:pt>
                <c:pt idx="270">
                  <c:v>28</c:v>
                </c:pt>
                <c:pt idx="271">
                  <c:v>28</c:v>
                </c:pt>
                <c:pt idx="272">
                  <c:v>28</c:v>
                </c:pt>
                <c:pt idx="273">
                  <c:v>28</c:v>
                </c:pt>
                <c:pt idx="274">
                  <c:v>28</c:v>
                </c:pt>
                <c:pt idx="275">
                  <c:v>28</c:v>
                </c:pt>
                <c:pt idx="276">
                  <c:v>28</c:v>
                </c:pt>
                <c:pt idx="277">
                  <c:v>28</c:v>
                </c:pt>
                <c:pt idx="278">
                  <c:v>28</c:v>
                </c:pt>
                <c:pt idx="279">
                  <c:v>28</c:v>
                </c:pt>
                <c:pt idx="280">
                  <c:v>28</c:v>
                </c:pt>
                <c:pt idx="281">
                  <c:v>28</c:v>
                </c:pt>
                <c:pt idx="282">
                  <c:v>28</c:v>
                </c:pt>
                <c:pt idx="283">
                  <c:v>28</c:v>
                </c:pt>
                <c:pt idx="284">
                  <c:v>28</c:v>
                </c:pt>
                <c:pt idx="285">
                  <c:v>28</c:v>
                </c:pt>
                <c:pt idx="286">
                  <c:v>28</c:v>
                </c:pt>
                <c:pt idx="287">
                  <c:v>28</c:v>
                </c:pt>
                <c:pt idx="288">
                  <c:v>28</c:v>
                </c:pt>
                <c:pt idx="289">
                  <c:v>28</c:v>
                </c:pt>
                <c:pt idx="290">
                  <c:v>28</c:v>
                </c:pt>
                <c:pt idx="291">
                  <c:v>28</c:v>
                </c:pt>
                <c:pt idx="292">
                  <c:v>28</c:v>
                </c:pt>
                <c:pt idx="293">
                  <c:v>28</c:v>
                </c:pt>
                <c:pt idx="294">
                  <c:v>28</c:v>
                </c:pt>
                <c:pt idx="295">
                  <c:v>28</c:v>
                </c:pt>
                <c:pt idx="296">
                  <c:v>28</c:v>
                </c:pt>
                <c:pt idx="297">
                  <c:v>28</c:v>
                </c:pt>
                <c:pt idx="298">
                  <c:v>28</c:v>
                </c:pt>
                <c:pt idx="299">
                  <c:v>28</c:v>
                </c:pt>
                <c:pt idx="300">
                  <c:v>28</c:v>
                </c:pt>
                <c:pt idx="301">
                  <c:v>28</c:v>
                </c:pt>
                <c:pt idx="302">
                  <c:v>28</c:v>
                </c:pt>
                <c:pt idx="303">
                  <c:v>28</c:v>
                </c:pt>
                <c:pt idx="304">
                  <c:v>28</c:v>
                </c:pt>
                <c:pt idx="305">
                  <c:v>28</c:v>
                </c:pt>
                <c:pt idx="306">
                  <c:v>28</c:v>
                </c:pt>
                <c:pt idx="307">
                  <c:v>28</c:v>
                </c:pt>
                <c:pt idx="308">
                  <c:v>28</c:v>
                </c:pt>
                <c:pt idx="309">
                  <c:v>28</c:v>
                </c:pt>
                <c:pt idx="310">
                  <c:v>28</c:v>
                </c:pt>
                <c:pt idx="311">
                  <c:v>28</c:v>
                </c:pt>
                <c:pt idx="312">
                  <c:v>28</c:v>
                </c:pt>
                <c:pt idx="313">
                  <c:v>28</c:v>
                </c:pt>
                <c:pt idx="314">
                  <c:v>28</c:v>
                </c:pt>
                <c:pt idx="315">
                  <c:v>28</c:v>
                </c:pt>
                <c:pt idx="316">
                  <c:v>28</c:v>
                </c:pt>
                <c:pt idx="317">
                  <c:v>28</c:v>
                </c:pt>
                <c:pt idx="318">
                  <c:v>28</c:v>
                </c:pt>
                <c:pt idx="319">
                  <c:v>28</c:v>
                </c:pt>
                <c:pt idx="320">
                  <c:v>28</c:v>
                </c:pt>
                <c:pt idx="321">
                  <c:v>28</c:v>
                </c:pt>
                <c:pt idx="322">
                  <c:v>28</c:v>
                </c:pt>
                <c:pt idx="323">
                  <c:v>28</c:v>
                </c:pt>
                <c:pt idx="324">
                  <c:v>28</c:v>
                </c:pt>
                <c:pt idx="325">
                  <c:v>28</c:v>
                </c:pt>
                <c:pt idx="326">
                  <c:v>28</c:v>
                </c:pt>
                <c:pt idx="327">
                  <c:v>28</c:v>
                </c:pt>
                <c:pt idx="328">
                  <c:v>28</c:v>
                </c:pt>
                <c:pt idx="329">
                  <c:v>28</c:v>
                </c:pt>
                <c:pt idx="330">
                  <c:v>28</c:v>
                </c:pt>
                <c:pt idx="331">
                  <c:v>28</c:v>
                </c:pt>
                <c:pt idx="332">
                  <c:v>28</c:v>
                </c:pt>
                <c:pt idx="333">
                  <c:v>28</c:v>
                </c:pt>
                <c:pt idx="334">
                  <c:v>28</c:v>
                </c:pt>
                <c:pt idx="335">
                  <c:v>28</c:v>
                </c:pt>
                <c:pt idx="336">
                  <c:v>28</c:v>
                </c:pt>
                <c:pt idx="337">
                  <c:v>28</c:v>
                </c:pt>
                <c:pt idx="338">
                  <c:v>28</c:v>
                </c:pt>
                <c:pt idx="339">
                  <c:v>28</c:v>
                </c:pt>
                <c:pt idx="340">
                  <c:v>28</c:v>
                </c:pt>
                <c:pt idx="341">
                  <c:v>28</c:v>
                </c:pt>
                <c:pt idx="342">
                  <c:v>28</c:v>
                </c:pt>
                <c:pt idx="343">
                  <c:v>28</c:v>
                </c:pt>
                <c:pt idx="344">
                  <c:v>28</c:v>
                </c:pt>
                <c:pt idx="345">
                  <c:v>28</c:v>
                </c:pt>
                <c:pt idx="346">
                  <c:v>28</c:v>
                </c:pt>
                <c:pt idx="347">
                  <c:v>28</c:v>
                </c:pt>
                <c:pt idx="348">
                  <c:v>28</c:v>
                </c:pt>
                <c:pt idx="349">
                  <c:v>28</c:v>
                </c:pt>
                <c:pt idx="350">
                  <c:v>28</c:v>
                </c:pt>
                <c:pt idx="351">
                  <c:v>28</c:v>
                </c:pt>
                <c:pt idx="352">
                  <c:v>28</c:v>
                </c:pt>
                <c:pt idx="353">
                  <c:v>28</c:v>
                </c:pt>
                <c:pt idx="354">
                  <c:v>28</c:v>
                </c:pt>
                <c:pt idx="355">
                  <c:v>28</c:v>
                </c:pt>
                <c:pt idx="356">
                  <c:v>28</c:v>
                </c:pt>
                <c:pt idx="357">
                  <c:v>28</c:v>
                </c:pt>
                <c:pt idx="358">
                  <c:v>28</c:v>
                </c:pt>
                <c:pt idx="359">
                  <c:v>28</c:v>
                </c:pt>
                <c:pt idx="360">
                  <c:v>28</c:v>
                </c:pt>
                <c:pt idx="361">
                  <c:v>28</c:v>
                </c:pt>
                <c:pt idx="362">
                  <c:v>28</c:v>
                </c:pt>
                <c:pt idx="363">
                  <c:v>28</c:v>
                </c:pt>
                <c:pt idx="364">
                  <c:v>28</c:v>
                </c:pt>
                <c:pt idx="365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8011-0844-8364-DA0F5B1CFBCA}"/>
            </c:ext>
          </c:extLst>
        </c:ser>
        <c:ser>
          <c:idx val="23"/>
          <c:order val="23"/>
          <c:tx>
            <c:strRef>
              <c:f>List1!$AB$4</c:f>
              <c:strCache>
                <c:ptCount val="1"/>
                <c:pt idx="0">
                  <c:v>2022</c:v>
                </c:pt>
              </c:strCache>
            </c:strRef>
          </c:tx>
          <c:spPr>
            <a:ln w="28800" cap="rnd">
              <a:solidFill>
                <a:srgbClr val="2A6099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List1!$AB$5:$AB$370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2</c:v>
                </c:pt>
                <c:pt idx="117">
                  <c:v>2</c:v>
                </c:pt>
                <c:pt idx="118">
                  <c:v>2</c:v>
                </c:pt>
                <c:pt idx="119">
                  <c:v>2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5</c:v>
                </c:pt>
                <c:pt idx="141">
                  <c:v>5</c:v>
                </c:pt>
                <c:pt idx="142">
                  <c:v>5</c:v>
                </c:pt>
                <c:pt idx="143">
                  <c:v>5</c:v>
                </c:pt>
                <c:pt idx="144">
                  <c:v>6</c:v>
                </c:pt>
                <c:pt idx="145">
                  <c:v>6</c:v>
                </c:pt>
                <c:pt idx="146">
                  <c:v>6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6</c:v>
                </c:pt>
                <c:pt idx="155">
                  <c:v>6</c:v>
                </c:pt>
                <c:pt idx="156">
                  <c:v>6</c:v>
                </c:pt>
                <c:pt idx="157">
                  <c:v>6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6</c:v>
                </c:pt>
                <c:pt idx="163">
                  <c:v>7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9</c:v>
                </c:pt>
                <c:pt idx="176">
                  <c:v>9</c:v>
                </c:pt>
                <c:pt idx="177">
                  <c:v>9</c:v>
                </c:pt>
                <c:pt idx="178">
                  <c:v>10</c:v>
                </c:pt>
                <c:pt idx="179">
                  <c:v>11</c:v>
                </c:pt>
                <c:pt idx="180">
                  <c:v>11</c:v>
                </c:pt>
                <c:pt idx="181">
                  <c:v>11</c:v>
                </c:pt>
                <c:pt idx="182">
                  <c:v>12</c:v>
                </c:pt>
                <c:pt idx="183">
                  <c:v>12</c:v>
                </c:pt>
                <c:pt idx="184">
                  <c:v>12</c:v>
                </c:pt>
                <c:pt idx="185">
                  <c:v>13</c:v>
                </c:pt>
                <c:pt idx="186">
                  <c:v>13</c:v>
                </c:pt>
                <c:pt idx="187">
                  <c:v>13</c:v>
                </c:pt>
                <c:pt idx="188">
                  <c:v>13</c:v>
                </c:pt>
                <c:pt idx="189">
                  <c:v>13</c:v>
                </c:pt>
                <c:pt idx="190">
                  <c:v>13</c:v>
                </c:pt>
                <c:pt idx="191">
                  <c:v>13</c:v>
                </c:pt>
                <c:pt idx="192">
                  <c:v>13</c:v>
                </c:pt>
                <c:pt idx="193">
                  <c:v>13</c:v>
                </c:pt>
                <c:pt idx="194">
                  <c:v>13</c:v>
                </c:pt>
                <c:pt idx="195">
                  <c:v>14</c:v>
                </c:pt>
                <c:pt idx="196">
                  <c:v>14</c:v>
                </c:pt>
                <c:pt idx="197">
                  <c:v>14</c:v>
                </c:pt>
                <c:pt idx="198">
                  <c:v>14</c:v>
                </c:pt>
                <c:pt idx="199">
                  <c:v>14</c:v>
                </c:pt>
                <c:pt idx="200">
                  <c:v>14</c:v>
                </c:pt>
                <c:pt idx="201">
                  <c:v>14</c:v>
                </c:pt>
                <c:pt idx="202">
                  <c:v>15</c:v>
                </c:pt>
                <c:pt idx="203">
                  <c:v>15</c:v>
                </c:pt>
                <c:pt idx="204">
                  <c:v>15</c:v>
                </c:pt>
                <c:pt idx="205">
                  <c:v>15</c:v>
                </c:pt>
                <c:pt idx="206">
                  <c:v>15</c:v>
                </c:pt>
                <c:pt idx="207">
                  <c:v>15</c:v>
                </c:pt>
                <c:pt idx="208">
                  <c:v>15</c:v>
                </c:pt>
                <c:pt idx="209">
                  <c:v>15</c:v>
                </c:pt>
                <c:pt idx="210">
                  <c:v>15</c:v>
                </c:pt>
                <c:pt idx="211">
                  <c:v>15</c:v>
                </c:pt>
                <c:pt idx="212">
                  <c:v>15</c:v>
                </c:pt>
                <c:pt idx="213">
                  <c:v>15</c:v>
                </c:pt>
                <c:pt idx="214">
                  <c:v>15</c:v>
                </c:pt>
                <c:pt idx="215">
                  <c:v>15</c:v>
                </c:pt>
                <c:pt idx="216">
                  <c:v>15</c:v>
                </c:pt>
                <c:pt idx="217">
                  <c:v>15</c:v>
                </c:pt>
                <c:pt idx="218">
                  <c:v>16</c:v>
                </c:pt>
                <c:pt idx="219">
                  <c:v>16</c:v>
                </c:pt>
                <c:pt idx="220">
                  <c:v>16</c:v>
                </c:pt>
                <c:pt idx="221">
                  <c:v>16</c:v>
                </c:pt>
                <c:pt idx="222">
                  <c:v>16</c:v>
                </c:pt>
                <c:pt idx="223">
                  <c:v>16</c:v>
                </c:pt>
                <c:pt idx="224">
                  <c:v>16</c:v>
                </c:pt>
                <c:pt idx="225">
                  <c:v>16</c:v>
                </c:pt>
                <c:pt idx="226">
                  <c:v>16</c:v>
                </c:pt>
                <c:pt idx="227">
                  <c:v>17</c:v>
                </c:pt>
                <c:pt idx="228">
                  <c:v>17</c:v>
                </c:pt>
                <c:pt idx="229">
                  <c:v>17</c:v>
                </c:pt>
                <c:pt idx="230">
                  <c:v>18</c:v>
                </c:pt>
                <c:pt idx="231">
                  <c:v>18</c:v>
                </c:pt>
                <c:pt idx="232">
                  <c:v>18</c:v>
                </c:pt>
                <c:pt idx="233">
                  <c:v>18</c:v>
                </c:pt>
                <c:pt idx="234">
                  <c:v>18</c:v>
                </c:pt>
                <c:pt idx="235">
                  <c:v>18</c:v>
                </c:pt>
                <c:pt idx="236">
                  <c:v>18</c:v>
                </c:pt>
                <c:pt idx="237">
                  <c:v>18</c:v>
                </c:pt>
                <c:pt idx="238">
                  <c:v>19</c:v>
                </c:pt>
                <c:pt idx="239">
                  <c:v>20</c:v>
                </c:pt>
                <c:pt idx="240">
                  <c:v>20</c:v>
                </c:pt>
                <c:pt idx="241">
                  <c:v>20</c:v>
                </c:pt>
                <c:pt idx="242">
                  <c:v>20</c:v>
                </c:pt>
                <c:pt idx="243">
                  <c:v>20</c:v>
                </c:pt>
                <c:pt idx="244">
                  <c:v>20</c:v>
                </c:pt>
                <c:pt idx="245">
                  <c:v>20</c:v>
                </c:pt>
                <c:pt idx="246">
                  <c:v>20</c:v>
                </c:pt>
                <c:pt idx="247">
                  <c:v>20</c:v>
                </c:pt>
                <c:pt idx="248">
                  <c:v>20</c:v>
                </c:pt>
                <c:pt idx="249">
                  <c:v>21</c:v>
                </c:pt>
                <c:pt idx="250">
                  <c:v>22</c:v>
                </c:pt>
                <c:pt idx="251">
                  <c:v>22</c:v>
                </c:pt>
                <c:pt idx="252">
                  <c:v>23</c:v>
                </c:pt>
                <c:pt idx="253">
                  <c:v>24</c:v>
                </c:pt>
                <c:pt idx="254">
                  <c:v>24</c:v>
                </c:pt>
                <c:pt idx="255">
                  <c:v>24</c:v>
                </c:pt>
                <c:pt idx="256">
                  <c:v>24</c:v>
                </c:pt>
                <c:pt idx="257">
                  <c:v>24</c:v>
                </c:pt>
                <c:pt idx="258">
                  <c:v>24</c:v>
                </c:pt>
                <c:pt idx="259">
                  <c:v>24</c:v>
                </c:pt>
                <c:pt idx="260">
                  <c:v>24</c:v>
                </c:pt>
                <c:pt idx="261">
                  <c:v>24</c:v>
                </c:pt>
                <c:pt idx="262">
                  <c:v>24</c:v>
                </c:pt>
                <c:pt idx="263">
                  <c:v>24</c:v>
                </c:pt>
                <c:pt idx="264">
                  <c:v>24</c:v>
                </c:pt>
                <c:pt idx="265">
                  <c:v>24</c:v>
                </c:pt>
                <c:pt idx="266">
                  <c:v>24</c:v>
                </c:pt>
                <c:pt idx="267">
                  <c:v>24</c:v>
                </c:pt>
                <c:pt idx="268">
                  <c:v>25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25</c:v>
                </c:pt>
                <c:pt idx="273">
                  <c:v>25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25</c:v>
                </c:pt>
                <c:pt idx="288">
                  <c:v>25</c:v>
                </c:pt>
                <c:pt idx="289">
                  <c:v>25</c:v>
                </c:pt>
                <c:pt idx="290">
                  <c:v>25</c:v>
                </c:pt>
                <c:pt idx="291">
                  <c:v>25</c:v>
                </c:pt>
                <c:pt idx="292">
                  <c:v>25</c:v>
                </c:pt>
                <c:pt idx="293">
                  <c:v>25</c:v>
                </c:pt>
                <c:pt idx="294">
                  <c:v>25</c:v>
                </c:pt>
                <c:pt idx="295">
                  <c:v>25</c:v>
                </c:pt>
                <c:pt idx="296">
                  <c:v>25</c:v>
                </c:pt>
                <c:pt idx="297">
                  <c:v>26</c:v>
                </c:pt>
                <c:pt idx="298">
                  <c:v>26</c:v>
                </c:pt>
                <c:pt idx="299">
                  <c:v>26</c:v>
                </c:pt>
                <c:pt idx="300">
                  <c:v>26</c:v>
                </c:pt>
                <c:pt idx="301">
                  <c:v>26</c:v>
                </c:pt>
                <c:pt idx="302">
                  <c:v>26</c:v>
                </c:pt>
                <c:pt idx="303">
                  <c:v>26</c:v>
                </c:pt>
                <c:pt idx="304">
                  <c:v>26</c:v>
                </c:pt>
                <c:pt idx="305">
                  <c:v>26</c:v>
                </c:pt>
                <c:pt idx="306">
                  <c:v>26</c:v>
                </c:pt>
                <c:pt idx="307">
                  <c:v>26</c:v>
                </c:pt>
                <c:pt idx="308">
                  <c:v>26</c:v>
                </c:pt>
                <c:pt idx="309">
                  <c:v>26</c:v>
                </c:pt>
                <c:pt idx="310">
                  <c:v>26</c:v>
                </c:pt>
                <c:pt idx="311">
                  <c:v>26</c:v>
                </c:pt>
                <c:pt idx="312">
                  <c:v>26</c:v>
                </c:pt>
                <c:pt idx="313">
                  <c:v>26</c:v>
                </c:pt>
                <c:pt idx="314">
                  <c:v>26</c:v>
                </c:pt>
                <c:pt idx="315">
                  <c:v>26</c:v>
                </c:pt>
                <c:pt idx="316">
                  <c:v>26</c:v>
                </c:pt>
                <c:pt idx="317">
                  <c:v>26</c:v>
                </c:pt>
                <c:pt idx="318">
                  <c:v>26</c:v>
                </c:pt>
                <c:pt idx="319">
                  <c:v>26</c:v>
                </c:pt>
                <c:pt idx="320">
                  <c:v>26</c:v>
                </c:pt>
                <c:pt idx="321">
                  <c:v>26</c:v>
                </c:pt>
                <c:pt idx="322">
                  <c:v>26</c:v>
                </c:pt>
                <c:pt idx="323">
                  <c:v>26</c:v>
                </c:pt>
                <c:pt idx="324">
                  <c:v>26</c:v>
                </c:pt>
                <c:pt idx="325">
                  <c:v>26</c:v>
                </c:pt>
                <c:pt idx="326">
                  <c:v>26</c:v>
                </c:pt>
                <c:pt idx="327">
                  <c:v>26</c:v>
                </c:pt>
                <c:pt idx="328">
                  <c:v>26</c:v>
                </c:pt>
                <c:pt idx="329">
                  <c:v>26</c:v>
                </c:pt>
                <c:pt idx="330">
                  <c:v>26</c:v>
                </c:pt>
                <c:pt idx="331">
                  <c:v>26</c:v>
                </c:pt>
                <c:pt idx="332">
                  <c:v>26</c:v>
                </c:pt>
                <c:pt idx="333">
                  <c:v>26</c:v>
                </c:pt>
                <c:pt idx="334">
                  <c:v>26</c:v>
                </c:pt>
                <c:pt idx="335">
                  <c:v>26</c:v>
                </c:pt>
                <c:pt idx="336">
                  <c:v>26</c:v>
                </c:pt>
                <c:pt idx="337">
                  <c:v>26</c:v>
                </c:pt>
                <c:pt idx="338">
                  <c:v>26</c:v>
                </c:pt>
                <c:pt idx="339">
                  <c:v>26</c:v>
                </c:pt>
                <c:pt idx="340">
                  <c:v>26</c:v>
                </c:pt>
                <c:pt idx="341">
                  <c:v>26</c:v>
                </c:pt>
                <c:pt idx="342">
                  <c:v>26</c:v>
                </c:pt>
                <c:pt idx="343">
                  <c:v>26</c:v>
                </c:pt>
                <c:pt idx="344">
                  <c:v>26</c:v>
                </c:pt>
                <c:pt idx="345">
                  <c:v>26</c:v>
                </c:pt>
                <c:pt idx="346">
                  <c:v>26</c:v>
                </c:pt>
                <c:pt idx="347">
                  <c:v>26</c:v>
                </c:pt>
                <c:pt idx="348">
                  <c:v>26</c:v>
                </c:pt>
                <c:pt idx="349">
                  <c:v>26</c:v>
                </c:pt>
                <c:pt idx="350">
                  <c:v>26</c:v>
                </c:pt>
                <c:pt idx="351">
                  <c:v>26</c:v>
                </c:pt>
                <c:pt idx="352">
                  <c:v>26</c:v>
                </c:pt>
                <c:pt idx="353">
                  <c:v>26</c:v>
                </c:pt>
                <c:pt idx="354">
                  <c:v>26</c:v>
                </c:pt>
                <c:pt idx="355">
                  <c:v>26</c:v>
                </c:pt>
                <c:pt idx="356">
                  <c:v>26</c:v>
                </c:pt>
                <c:pt idx="357">
                  <c:v>26</c:v>
                </c:pt>
                <c:pt idx="358">
                  <c:v>26</c:v>
                </c:pt>
                <c:pt idx="359">
                  <c:v>26</c:v>
                </c:pt>
                <c:pt idx="360">
                  <c:v>26</c:v>
                </c:pt>
                <c:pt idx="361">
                  <c:v>26</c:v>
                </c:pt>
                <c:pt idx="362">
                  <c:v>26</c:v>
                </c:pt>
                <c:pt idx="363">
                  <c:v>26</c:v>
                </c:pt>
                <c:pt idx="364">
                  <c:v>26</c:v>
                </c:pt>
                <c:pt idx="365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8011-0844-8364-DA0F5B1CFBCA}"/>
            </c:ext>
          </c:extLst>
        </c:ser>
        <c:ser>
          <c:idx val="24"/>
          <c:order val="24"/>
          <c:tx>
            <c:strRef>
              <c:f>List1!$AC$4</c:f>
              <c:strCache>
                <c:ptCount val="1"/>
                <c:pt idx="0">
                  <c:v>2023</c:v>
                </c:pt>
              </c:strCache>
            </c:strRef>
          </c:tx>
          <c:spPr>
            <a:ln w="28800" cap="rnd">
              <a:solidFill>
                <a:srgbClr val="158466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List1!$AC$5:$AC$370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2</c:v>
                </c:pt>
                <c:pt idx="117">
                  <c:v>2</c:v>
                </c:pt>
                <c:pt idx="118">
                  <c:v>2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4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4</c:v>
                </c:pt>
                <c:pt idx="158">
                  <c:v>4</c:v>
                </c:pt>
                <c:pt idx="159">
                  <c:v>5</c:v>
                </c:pt>
                <c:pt idx="160">
                  <c:v>6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8</c:v>
                </c:pt>
                <c:pt idx="167">
                  <c:v>8</c:v>
                </c:pt>
                <c:pt idx="168">
                  <c:v>9</c:v>
                </c:pt>
                <c:pt idx="169">
                  <c:v>9</c:v>
                </c:pt>
                <c:pt idx="170">
                  <c:v>9</c:v>
                </c:pt>
                <c:pt idx="171">
                  <c:v>9</c:v>
                </c:pt>
                <c:pt idx="172">
                  <c:v>9</c:v>
                </c:pt>
                <c:pt idx="173">
                  <c:v>10</c:v>
                </c:pt>
                <c:pt idx="174">
                  <c:v>11</c:v>
                </c:pt>
                <c:pt idx="175">
                  <c:v>11</c:v>
                </c:pt>
                <c:pt idx="176">
                  <c:v>11</c:v>
                </c:pt>
                <c:pt idx="177">
                  <c:v>12</c:v>
                </c:pt>
                <c:pt idx="178">
                  <c:v>13</c:v>
                </c:pt>
                <c:pt idx="179">
                  <c:v>13</c:v>
                </c:pt>
                <c:pt idx="180">
                  <c:v>13</c:v>
                </c:pt>
                <c:pt idx="181">
                  <c:v>14</c:v>
                </c:pt>
                <c:pt idx="182">
                  <c:v>14</c:v>
                </c:pt>
                <c:pt idx="183">
                  <c:v>14</c:v>
                </c:pt>
                <c:pt idx="184">
                  <c:v>14</c:v>
                </c:pt>
                <c:pt idx="185">
                  <c:v>14</c:v>
                </c:pt>
                <c:pt idx="186">
                  <c:v>14</c:v>
                </c:pt>
                <c:pt idx="187">
                  <c:v>14</c:v>
                </c:pt>
                <c:pt idx="188">
                  <c:v>14</c:v>
                </c:pt>
                <c:pt idx="189">
                  <c:v>14</c:v>
                </c:pt>
                <c:pt idx="190">
                  <c:v>14</c:v>
                </c:pt>
                <c:pt idx="191">
                  <c:v>15</c:v>
                </c:pt>
                <c:pt idx="192">
                  <c:v>15</c:v>
                </c:pt>
                <c:pt idx="193">
                  <c:v>16</c:v>
                </c:pt>
                <c:pt idx="194">
                  <c:v>16</c:v>
                </c:pt>
                <c:pt idx="195">
                  <c:v>16</c:v>
                </c:pt>
                <c:pt idx="196">
                  <c:v>16</c:v>
                </c:pt>
                <c:pt idx="197">
                  <c:v>16</c:v>
                </c:pt>
                <c:pt idx="198">
                  <c:v>16</c:v>
                </c:pt>
                <c:pt idx="199">
                  <c:v>16</c:v>
                </c:pt>
                <c:pt idx="200">
                  <c:v>16</c:v>
                </c:pt>
                <c:pt idx="201">
                  <c:v>16</c:v>
                </c:pt>
                <c:pt idx="202">
                  <c:v>16</c:v>
                </c:pt>
                <c:pt idx="203">
                  <c:v>16</c:v>
                </c:pt>
                <c:pt idx="204">
                  <c:v>16</c:v>
                </c:pt>
                <c:pt idx="205">
                  <c:v>17</c:v>
                </c:pt>
                <c:pt idx="206">
                  <c:v>18</c:v>
                </c:pt>
                <c:pt idx="207">
                  <c:v>18</c:v>
                </c:pt>
                <c:pt idx="208">
                  <c:v>18</c:v>
                </c:pt>
                <c:pt idx="209">
                  <c:v>18</c:v>
                </c:pt>
                <c:pt idx="210">
                  <c:v>19</c:v>
                </c:pt>
                <c:pt idx="211">
                  <c:v>20</c:v>
                </c:pt>
                <c:pt idx="212">
                  <c:v>20</c:v>
                </c:pt>
                <c:pt idx="213">
                  <c:v>21</c:v>
                </c:pt>
                <c:pt idx="214">
                  <c:v>22</c:v>
                </c:pt>
                <c:pt idx="215">
                  <c:v>22</c:v>
                </c:pt>
                <c:pt idx="216">
                  <c:v>22</c:v>
                </c:pt>
                <c:pt idx="217">
                  <c:v>22</c:v>
                </c:pt>
                <c:pt idx="218">
                  <c:v>22</c:v>
                </c:pt>
                <c:pt idx="219">
                  <c:v>22</c:v>
                </c:pt>
                <c:pt idx="220">
                  <c:v>22</c:v>
                </c:pt>
                <c:pt idx="221">
                  <c:v>22</c:v>
                </c:pt>
                <c:pt idx="222">
                  <c:v>22</c:v>
                </c:pt>
                <c:pt idx="223">
                  <c:v>22</c:v>
                </c:pt>
                <c:pt idx="224">
                  <c:v>22</c:v>
                </c:pt>
                <c:pt idx="225">
                  <c:v>22</c:v>
                </c:pt>
                <c:pt idx="226">
                  <c:v>22</c:v>
                </c:pt>
                <c:pt idx="227">
                  <c:v>22</c:v>
                </c:pt>
                <c:pt idx="228">
                  <c:v>22</c:v>
                </c:pt>
                <c:pt idx="229">
                  <c:v>23</c:v>
                </c:pt>
                <c:pt idx="230">
                  <c:v>24</c:v>
                </c:pt>
                <c:pt idx="231">
                  <c:v>24</c:v>
                </c:pt>
                <c:pt idx="232">
                  <c:v>25</c:v>
                </c:pt>
                <c:pt idx="233">
                  <c:v>25</c:v>
                </c:pt>
                <c:pt idx="234">
                  <c:v>25</c:v>
                </c:pt>
                <c:pt idx="235">
                  <c:v>25</c:v>
                </c:pt>
                <c:pt idx="236">
                  <c:v>25</c:v>
                </c:pt>
                <c:pt idx="237">
                  <c:v>25</c:v>
                </c:pt>
                <c:pt idx="238">
                  <c:v>25</c:v>
                </c:pt>
                <c:pt idx="239">
                  <c:v>25</c:v>
                </c:pt>
                <c:pt idx="240">
                  <c:v>25</c:v>
                </c:pt>
                <c:pt idx="241">
                  <c:v>25</c:v>
                </c:pt>
                <c:pt idx="242">
                  <c:v>25</c:v>
                </c:pt>
                <c:pt idx="243">
                  <c:v>25</c:v>
                </c:pt>
                <c:pt idx="244">
                  <c:v>25</c:v>
                </c:pt>
                <c:pt idx="245">
                  <c:v>25</c:v>
                </c:pt>
                <c:pt idx="246">
                  <c:v>25</c:v>
                </c:pt>
                <c:pt idx="247">
                  <c:v>25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25</c:v>
                </c:pt>
                <c:pt idx="252">
                  <c:v>25</c:v>
                </c:pt>
                <c:pt idx="253">
                  <c:v>25</c:v>
                </c:pt>
                <c:pt idx="254">
                  <c:v>25</c:v>
                </c:pt>
                <c:pt idx="255">
                  <c:v>25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25</c:v>
                </c:pt>
                <c:pt idx="260">
                  <c:v>25</c:v>
                </c:pt>
                <c:pt idx="261">
                  <c:v>26</c:v>
                </c:pt>
                <c:pt idx="262">
                  <c:v>26</c:v>
                </c:pt>
                <c:pt idx="263">
                  <c:v>26</c:v>
                </c:pt>
                <c:pt idx="264">
                  <c:v>26</c:v>
                </c:pt>
                <c:pt idx="265">
                  <c:v>26</c:v>
                </c:pt>
                <c:pt idx="266">
                  <c:v>26</c:v>
                </c:pt>
                <c:pt idx="267">
                  <c:v>26</c:v>
                </c:pt>
                <c:pt idx="268">
                  <c:v>26</c:v>
                </c:pt>
                <c:pt idx="269">
                  <c:v>26</c:v>
                </c:pt>
                <c:pt idx="270">
                  <c:v>26</c:v>
                </c:pt>
                <c:pt idx="271">
                  <c:v>26</c:v>
                </c:pt>
                <c:pt idx="272">
                  <c:v>26</c:v>
                </c:pt>
                <c:pt idx="273">
                  <c:v>26</c:v>
                </c:pt>
                <c:pt idx="274">
                  <c:v>26</c:v>
                </c:pt>
                <c:pt idx="275">
                  <c:v>26</c:v>
                </c:pt>
                <c:pt idx="276">
                  <c:v>27</c:v>
                </c:pt>
                <c:pt idx="277">
                  <c:v>27</c:v>
                </c:pt>
                <c:pt idx="278">
                  <c:v>27</c:v>
                </c:pt>
                <c:pt idx="279">
                  <c:v>27</c:v>
                </c:pt>
                <c:pt idx="280">
                  <c:v>27</c:v>
                </c:pt>
                <c:pt idx="281">
                  <c:v>27</c:v>
                </c:pt>
                <c:pt idx="282">
                  <c:v>27</c:v>
                </c:pt>
                <c:pt idx="283">
                  <c:v>27</c:v>
                </c:pt>
                <c:pt idx="284">
                  <c:v>27</c:v>
                </c:pt>
                <c:pt idx="285">
                  <c:v>27</c:v>
                </c:pt>
                <c:pt idx="286">
                  <c:v>27</c:v>
                </c:pt>
                <c:pt idx="287">
                  <c:v>27</c:v>
                </c:pt>
                <c:pt idx="288">
                  <c:v>27</c:v>
                </c:pt>
                <c:pt idx="289">
                  <c:v>27</c:v>
                </c:pt>
                <c:pt idx="290">
                  <c:v>27</c:v>
                </c:pt>
                <c:pt idx="291">
                  <c:v>27</c:v>
                </c:pt>
                <c:pt idx="292">
                  <c:v>27</c:v>
                </c:pt>
                <c:pt idx="293">
                  <c:v>27</c:v>
                </c:pt>
                <c:pt idx="294">
                  <c:v>27</c:v>
                </c:pt>
                <c:pt idx="295">
                  <c:v>27</c:v>
                </c:pt>
                <c:pt idx="296">
                  <c:v>27</c:v>
                </c:pt>
                <c:pt idx="297">
                  <c:v>27</c:v>
                </c:pt>
                <c:pt idx="298">
                  <c:v>27</c:v>
                </c:pt>
                <c:pt idx="299">
                  <c:v>27</c:v>
                </c:pt>
                <c:pt idx="300">
                  <c:v>27</c:v>
                </c:pt>
                <c:pt idx="301">
                  <c:v>27</c:v>
                </c:pt>
                <c:pt idx="302">
                  <c:v>27</c:v>
                </c:pt>
                <c:pt idx="303">
                  <c:v>27</c:v>
                </c:pt>
                <c:pt idx="304">
                  <c:v>27</c:v>
                </c:pt>
                <c:pt idx="305">
                  <c:v>27</c:v>
                </c:pt>
                <c:pt idx="306">
                  <c:v>27</c:v>
                </c:pt>
                <c:pt idx="307">
                  <c:v>27</c:v>
                </c:pt>
                <c:pt idx="308">
                  <c:v>27</c:v>
                </c:pt>
                <c:pt idx="309">
                  <c:v>27</c:v>
                </c:pt>
                <c:pt idx="310">
                  <c:v>27</c:v>
                </c:pt>
                <c:pt idx="311">
                  <c:v>27</c:v>
                </c:pt>
                <c:pt idx="312">
                  <c:v>27</c:v>
                </c:pt>
                <c:pt idx="313">
                  <c:v>27</c:v>
                </c:pt>
                <c:pt idx="314">
                  <c:v>27</c:v>
                </c:pt>
                <c:pt idx="315">
                  <c:v>27</c:v>
                </c:pt>
                <c:pt idx="316">
                  <c:v>27</c:v>
                </c:pt>
                <c:pt idx="317">
                  <c:v>27</c:v>
                </c:pt>
                <c:pt idx="318">
                  <c:v>27</c:v>
                </c:pt>
                <c:pt idx="319">
                  <c:v>27</c:v>
                </c:pt>
                <c:pt idx="320">
                  <c:v>27</c:v>
                </c:pt>
                <c:pt idx="321">
                  <c:v>27</c:v>
                </c:pt>
                <c:pt idx="322">
                  <c:v>27</c:v>
                </c:pt>
                <c:pt idx="323">
                  <c:v>27</c:v>
                </c:pt>
                <c:pt idx="324">
                  <c:v>27</c:v>
                </c:pt>
                <c:pt idx="325">
                  <c:v>27</c:v>
                </c:pt>
                <c:pt idx="326">
                  <c:v>27</c:v>
                </c:pt>
                <c:pt idx="327">
                  <c:v>27</c:v>
                </c:pt>
                <c:pt idx="328">
                  <c:v>27</c:v>
                </c:pt>
                <c:pt idx="329">
                  <c:v>27</c:v>
                </c:pt>
                <c:pt idx="330">
                  <c:v>27</c:v>
                </c:pt>
                <c:pt idx="331">
                  <c:v>27</c:v>
                </c:pt>
                <c:pt idx="332">
                  <c:v>27</c:v>
                </c:pt>
                <c:pt idx="333">
                  <c:v>27</c:v>
                </c:pt>
                <c:pt idx="334">
                  <c:v>27</c:v>
                </c:pt>
                <c:pt idx="335">
                  <c:v>27</c:v>
                </c:pt>
                <c:pt idx="336">
                  <c:v>27</c:v>
                </c:pt>
                <c:pt idx="337">
                  <c:v>27</c:v>
                </c:pt>
                <c:pt idx="338">
                  <c:v>27</c:v>
                </c:pt>
                <c:pt idx="339">
                  <c:v>27</c:v>
                </c:pt>
                <c:pt idx="340">
                  <c:v>27</c:v>
                </c:pt>
                <c:pt idx="341">
                  <c:v>27</c:v>
                </c:pt>
                <c:pt idx="342">
                  <c:v>27</c:v>
                </c:pt>
                <c:pt idx="343">
                  <c:v>27</c:v>
                </c:pt>
                <c:pt idx="344">
                  <c:v>27</c:v>
                </c:pt>
                <c:pt idx="345">
                  <c:v>27</c:v>
                </c:pt>
                <c:pt idx="346">
                  <c:v>27</c:v>
                </c:pt>
                <c:pt idx="347">
                  <c:v>27</c:v>
                </c:pt>
                <c:pt idx="348">
                  <c:v>27</c:v>
                </c:pt>
                <c:pt idx="349">
                  <c:v>27</c:v>
                </c:pt>
                <c:pt idx="350">
                  <c:v>27</c:v>
                </c:pt>
                <c:pt idx="351">
                  <c:v>27</c:v>
                </c:pt>
                <c:pt idx="352">
                  <c:v>27</c:v>
                </c:pt>
                <c:pt idx="353">
                  <c:v>27</c:v>
                </c:pt>
                <c:pt idx="354">
                  <c:v>27</c:v>
                </c:pt>
                <c:pt idx="355">
                  <c:v>28</c:v>
                </c:pt>
                <c:pt idx="356">
                  <c:v>29</c:v>
                </c:pt>
                <c:pt idx="357">
                  <c:v>29</c:v>
                </c:pt>
                <c:pt idx="358">
                  <c:v>29</c:v>
                </c:pt>
                <c:pt idx="359">
                  <c:v>29</c:v>
                </c:pt>
                <c:pt idx="360">
                  <c:v>29</c:v>
                </c:pt>
                <c:pt idx="361">
                  <c:v>29</c:v>
                </c:pt>
                <c:pt idx="362">
                  <c:v>29</c:v>
                </c:pt>
                <c:pt idx="363">
                  <c:v>29</c:v>
                </c:pt>
                <c:pt idx="364">
                  <c:v>29</c:v>
                </c:pt>
                <c:pt idx="365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011-0844-8364-DA0F5B1CFBCA}"/>
            </c:ext>
          </c:extLst>
        </c:ser>
        <c:ser>
          <c:idx val="25"/>
          <c:order val="25"/>
          <c:tx>
            <c:strRef>
              <c:f>List1!$AD$4</c:f>
              <c:strCache>
                <c:ptCount val="1"/>
                <c:pt idx="0">
                  <c:v>2024</c:v>
                </c:pt>
              </c:strCache>
            </c:strRef>
          </c:tx>
          <c:spPr>
            <a:ln w="28800" cap="rnd">
              <a:solidFill>
                <a:srgbClr val="00A933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List1!$AD$5:$AD$370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2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4</c:v>
                </c:pt>
                <c:pt idx="146">
                  <c:v>5</c:v>
                </c:pt>
                <c:pt idx="147">
                  <c:v>6</c:v>
                </c:pt>
                <c:pt idx="148">
                  <c:v>7</c:v>
                </c:pt>
                <c:pt idx="149">
                  <c:v>7</c:v>
                </c:pt>
                <c:pt idx="150">
                  <c:v>8</c:v>
                </c:pt>
                <c:pt idx="151">
                  <c:v>8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9</c:v>
                </c:pt>
                <c:pt idx="156">
                  <c:v>9</c:v>
                </c:pt>
                <c:pt idx="157">
                  <c:v>10</c:v>
                </c:pt>
                <c:pt idx="158">
                  <c:v>10</c:v>
                </c:pt>
                <c:pt idx="159">
                  <c:v>10</c:v>
                </c:pt>
                <c:pt idx="160">
                  <c:v>10</c:v>
                </c:pt>
                <c:pt idx="161">
                  <c:v>10</c:v>
                </c:pt>
                <c:pt idx="162">
                  <c:v>10</c:v>
                </c:pt>
                <c:pt idx="163">
                  <c:v>10</c:v>
                </c:pt>
                <c:pt idx="164">
                  <c:v>10</c:v>
                </c:pt>
                <c:pt idx="165">
                  <c:v>10</c:v>
                </c:pt>
                <c:pt idx="166">
                  <c:v>10</c:v>
                </c:pt>
                <c:pt idx="167">
                  <c:v>10</c:v>
                </c:pt>
                <c:pt idx="168">
                  <c:v>10</c:v>
                </c:pt>
                <c:pt idx="169">
                  <c:v>10</c:v>
                </c:pt>
                <c:pt idx="170">
                  <c:v>10</c:v>
                </c:pt>
                <c:pt idx="171">
                  <c:v>10</c:v>
                </c:pt>
                <c:pt idx="172">
                  <c:v>10</c:v>
                </c:pt>
                <c:pt idx="173">
                  <c:v>10</c:v>
                </c:pt>
                <c:pt idx="174">
                  <c:v>10</c:v>
                </c:pt>
                <c:pt idx="175">
                  <c:v>10</c:v>
                </c:pt>
                <c:pt idx="176">
                  <c:v>10</c:v>
                </c:pt>
                <c:pt idx="177">
                  <c:v>11</c:v>
                </c:pt>
                <c:pt idx="178">
                  <c:v>12</c:v>
                </c:pt>
                <c:pt idx="179">
                  <c:v>13</c:v>
                </c:pt>
                <c:pt idx="180">
                  <c:v>13</c:v>
                </c:pt>
                <c:pt idx="181">
                  <c:v>14</c:v>
                </c:pt>
                <c:pt idx="182">
                  <c:v>15</c:v>
                </c:pt>
                <c:pt idx="183">
                  <c:v>15</c:v>
                </c:pt>
                <c:pt idx="184">
                  <c:v>15</c:v>
                </c:pt>
                <c:pt idx="185">
                  <c:v>15</c:v>
                </c:pt>
                <c:pt idx="186">
                  <c:v>15</c:v>
                </c:pt>
                <c:pt idx="187">
                  <c:v>16</c:v>
                </c:pt>
                <c:pt idx="188">
                  <c:v>16</c:v>
                </c:pt>
                <c:pt idx="189">
                  <c:v>16</c:v>
                </c:pt>
                <c:pt idx="190">
                  <c:v>16</c:v>
                </c:pt>
                <c:pt idx="191">
                  <c:v>17</c:v>
                </c:pt>
                <c:pt idx="192">
                  <c:v>18</c:v>
                </c:pt>
                <c:pt idx="193">
                  <c:v>19</c:v>
                </c:pt>
                <c:pt idx="194">
                  <c:v>19</c:v>
                </c:pt>
                <c:pt idx="195">
                  <c:v>19</c:v>
                </c:pt>
                <c:pt idx="196">
                  <c:v>19</c:v>
                </c:pt>
                <c:pt idx="197">
                  <c:v>19</c:v>
                </c:pt>
                <c:pt idx="198">
                  <c:v>19</c:v>
                </c:pt>
                <c:pt idx="199">
                  <c:v>19</c:v>
                </c:pt>
                <c:pt idx="200">
                  <c:v>19</c:v>
                </c:pt>
                <c:pt idx="201">
                  <c:v>19</c:v>
                </c:pt>
                <c:pt idx="202">
                  <c:v>19</c:v>
                </c:pt>
                <c:pt idx="203">
                  <c:v>19</c:v>
                </c:pt>
                <c:pt idx="204">
                  <c:v>19</c:v>
                </c:pt>
                <c:pt idx="205">
                  <c:v>20</c:v>
                </c:pt>
                <c:pt idx="206">
                  <c:v>20</c:v>
                </c:pt>
                <c:pt idx="207">
                  <c:v>20</c:v>
                </c:pt>
                <c:pt idx="208">
                  <c:v>20</c:v>
                </c:pt>
                <c:pt idx="209">
                  <c:v>20</c:v>
                </c:pt>
                <c:pt idx="210">
                  <c:v>20</c:v>
                </c:pt>
                <c:pt idx="211">
                  <c:v>20</c:v>
                </c:pt>
                <c:pt idx="212">
                  <c:v>20</c:v>
                </c:pt>
                <c:pt idx="213">
                  <c:v>21</c:v>
                </c:pt>
                <c:pt idx="214">
                  <c:v>21</c:v>
                </c:pt>
                <c:pt idx="215">
                  <c:v>21</c:v>
                </c:pt>
                <c:pt idx="216">
                  <c:v>22</c:v>
                </c:pt>
                <c:pt idx="217">
                  <c:v>22</c:v>
                </c:pt>
                <c:pt idx="218">
                  <c:v>22</c:v>
                </c:pt>
                <c:pt idx="219">
                  <c:v>22</c:v>
                </c:pt>
                <c:pt idx="220">
                  <c:v>23</c:v>
                </c:pt>
                <c:pt idx="221">
                  <c:v>23</c:v>
                </c:pt>
                <c:pt idx="222">
                  <c:v>23</c:v>
                </c:pt>
                <c:pt idx="223">
                  <c:v>23</c:v>
                </c:pt>
                <c:pt idx="224">
                  <c:v>23</c:v>
                </c:pt>
                <c:pt idx="225">
                  <c:v>23</c:v>
                </c:pt>
                <c:pt idx="226">
                  <c:v>24</c:v>
                </c:pt>
                <c:pt idx="227">
                  <c:v>25</c:v>
                </c:pt>
                <c:pt idx="228">
                  <c:v>25</c:v>
                </c:pt>
                <c:pt idx="229">
                  <c:v>26</c:v>
                </c:pt>
                <c:pt idx="230">
                  <c:v>27</c:v>
                </c:pt>
                <c:pt idx="231">
                  <c:v>27</c:v>
                </c:pt>
                <c:pt idx="232">
                  <c:v>27</c:v>
                </c:pt>
                <c:pt idx="233">
                  <c:v>28</c:v>
                </c:pt>
                <c:pt idx="234">
                  <c:v>28</c:v>
                </c:pt>
                <c:pt idx="235">
                  <c:v>28</c:v>
                </c:pt>
                <c:pt idx="236">
                  <c:v>28</c:v>
                </c:pt>
                <c:pt idx="237">
                  <c:v>28</c:v>
                </c:pt>
                <c:pt idx="238">
                  <c:v>28</c:v>
                </c:pt>
                <c:pt idx="239">
                  <c:v>28</c:v>
                </c:pt>
                <c:pt idx="240">
                  <c:v>28</c:v>
                </c:pt>
                <c:pt idx="241">
                  <c:v>28</c:v>
                </c:pt>
                <c:pt idx="242">
                  <c:v>29</c:v>
                </c:pt>
                <c:pt idx="243">
                  <c:v>29</c:v>
                </c:pt>
                <c:pt idx="244">
                  <c:v>29</c:v>
                </c:pt>
                <c:pt idx="245">
                  <c:v>29</c:v>
                </c:pt>
                <c:pt idx="246">
                  <c:v>30</c:v>
                </c:pt>
                <c:pt idx="247">
                  <c:v>30</c:v>
                </c:pt>
                <c:pt idx="248">
                  <c:v>30</c:v>
                </c:pt>
                <c:pt idx="249">
                  <c:v>30</c:v>
                </c:pt>
                <c:pt idx="250">
                  <c:v>30</c:v>
                </c:pt>
                <c:pt idx="251">
                  <c:v>30</c:v>
                </c:pt>
                <c:pt idx="252">
                  <c:v>30</c:v>
                </c:pt>
                <c:pt idx="253">
                  <c:v>30</c:v>
                </c:pt>
                <c:pt idx="254">
                  <c:v>30</c:v>
                </c:pt>
                <c:pt idx="255">
                  <c:v>30</c:v>
                </c:pt>
                <c:pt idx="256">
                  <c:v>30</c:v>
                </c:pt>
                <c:pt idx="257">
                  <c:v>30</c:v>
                </c:pt>
                <c:pt idx="258">
                  <c:v>30</c:v>
                </c:pt>
                <c:pt idx="259">
                  <c:v>30</c:v>
                </c:pt>
                <c:pt idx="260">
                  <c:v>30</c:v>
                </c:pt>
                <c:pt idx="261">
                  <c:v>30</c:v>
                </c:pt>
                <c:pt idx="262">
                  <c:v>30</c:v>
                </c:pt>
                <c:pt idx="263">
                  <c:v>30</c:v>
                </c:pt>
                <c:pt idx="264">
                  <c:v>30</c:v>
                </c:pt>
                <c:pt idx="265">
                  <c:v>30</c:v>
                </c:pt>
                <c:pt idx="266">
                  <c:v>30</c:v>
                </c:pt>
                <c:pt idx="267">
                  <c:v>30</c:v>
                </c:pt>
                <c:pt idx="268">
                  <c:v>30</c:v>
                </c:pt>
                <c:pt idx="269">
                  <c:v>30</c:v>
                </c:pt>
                <c:pt idx="270">
                  <c:v>30</c:v>
                </c:pt>
                <c:pt idx="271">
                  <c:v>30</c:v>
                </c:pt>
                <c:pt idx="272">
                  <c:v>30</c:v>
                </c:pt>
                <c:pt idx="273">
                  <c:v>30</c:v>
                </c:pt>
                <c:pt idx="274">
                  <c:v>30</c:v>
                </c:pt>
                <c:pt idx="275">
                  <c:v>30</c:v>
                </c:pt>
                <c:pt idx="276">
                  <c:v>30</c:v>
                </c:pt>
                <c:pt idx="277">
                  <c:v>30</c:v>
                </c:pt>
                <c:pt idx="278">
                  <c:v>30</c:v>
                </c:pt>
                <c:pt idx="279">
                  <c:v>30</c:v>
                </c:pt>
                <c:pt idx="280">
                  <c:v>30</c:v>
                </c:pt>
                <c:pt idx="281">
                  <c:v>30</c:v>
                </c:pt>
                <c:pt idx="282">
                  <c:v>30</c:v>
                </c:pt>
                <c:pt idx="283">
                  <c:v>30</c:v>
                </c:pt>
                <c:pt idx="284">
                  <c:v>30</c:v>
                </c:pt>
                <c:pt idx="285">
                  <c:v>30</c:v>
                </c:pt>
                <c:pt idx="286">
                  <c:v>30</c:v>
                </c:pt>
                <c:pt idx="287">
                  <c:v>30</c:v>
                </c:pt>
                <c:pt idx="288">
                  <c:v>30</c:v>
                </c:pt>
                <c:pt idx="289">
                  <c:v>30</c:v>
                </c:pt>
                <c:pt idx="290">
                  <c:v>30</c:v>
                </c:pt>
                <c:pt idx="291">
                  <c:v>30</c:v>
                </c:pt>
                <c:pt idx="292">
                  <c:v>30</c:v>
                </c:pt>
                <c:pt idx="293">
                  <c:v>30</c:v>
                </c:pt>
                <c:pt idx="294">
                  <c:v>30</c:v>
                </c:pt>
                <c:pt idx="295">
                  <c:v>30</c:v>
                </c:pt>
                <c:pt idx="296">
                  <c:v>30</c:v>
                </c:pt>
                <c:pt idx="297">
                  <c:v>30</c:v>
                </c:pt>
                <c:pt idx="298">
                  <c:v>30</c:v>
                </c:pt>
                <c:pt idx="299">
                  <c:v>30</c:v>
                </c:pt>
                <c:pt idx="300">
                  <c:v>30</c:v>
                </c:pt>
                <c:pt idx="301">
                  <c:v>30</c:v>
                </c:pt>
                <c:pt idx="302">
                  <c:v>30</c:v>
                </c:pt>
                <c:pt idx="303">
                  <c:v>30</c:v>
                </c:pt>
                <c:pt idx="304">
                  <c:v>30</c:v>
                </c:pt>
                <c:pt idx="305">
                  <c:v>30</c:v>
                </c:pt>
                <c:pt idx="306">
                  <c:v>30</c:v>
                </c:pt>
                <c:pt idx="307">
                  <c:v>30</c:v>
                </c:pt>
                <c:pt idx="308">
                  <c:v>30</c:v>
                </c:pt>
                <c:pt idx="309">
                  <c:v>30</c:v>
                </c:pt>
                <c:pt idx="310">
                  <c:v>30</c:v>
                </c:pt>
                <c:pt idx="311">
                  <c:v>30</c:v>
                </c:pt>
                <c:pt idx="312">
                  <c:v>30</c:v>
                </c:pt>
                <c:pt idx="313">
                  <c:v>30</c:v>
                </c:pt>
                <c:pt idx="314">
                  <c:v>30</c:v>
                </c:pt>
                <c:pt idx="315">
                  <c:v>30</c:v>
                </c:pt>
                <c:pt idx="316">
                  <c:v>30</c:v>
                </c:pt>
                <c:pt idx="317">
                  <c:v>30</c:v>
                </c:pt>
                <c:pt idx="318">
                  <c:v>30</c:v>
                </c:pt>
                <c:pt idx="319">
                  <c:v>30</c:v>
                </c:pt>
                <c:pt idx="320">
                  <c:v>30</c:v>
                </c:pt>
                <c:pt idx="321">
                  <c:v>30</c:v>
                </c:pt>
                <c:pt idx="322">
                  <c:v>30</c:v>
                </c:pt>
                <c:pt idx="323">
                  <c:v>30</c:v>
                </c:pt>
                <c:pt idx="324">
                  <c:v>30</c:v>
                </c:pt>
                <c:pt idx="325">
                  <c:v>30</c:v>
                </c:pt>
                <c:pt idx="326">
                  <c:v>30</c:v>
                </c:pt>
                <c:pt idx="327">
                  <c:v>30</c:v>
                </c:pt>
                <c:pt idx="328">
                  <c:v>30</c:v>
                </c:pt>
                <c:pt idx="329">
                  <c:v>30</c:v>
                </c:pt>
                <c:pt idx="330">
                  <c:v>30</c:v>
                </c:pt>
                <c:pt idx="331">
                  <c:v>30</c:v>
                </c:pt>
                <c:pt idx="332">
                  <c:v>30</c:v>
                </c:pt>
                <c:pt idx="333">
                  <c:v>30</c:v>
                </c:pt>
                <c:pt idx="334">
                  <c:v>30</c:v>
                </c:pt>
                <c:pt idx="335">
                  <c:v>30</c:v>
                </c:pt>
                <c:pt idx="336">
                  <c:v>30</c:v>
                </c:pt>
                <c:pt idx="337">
                  <c:v>30</c:v>
                </c:pt>
                <c:pt idx="338">
                  <c:v>30</c:v>
                </c:pt>
                <c:pt idx="339">
                  <c:v>30</c:v>
                </c:pt>
                <c:pt idx="340">
                  <c:v>30</c:v>
                </c:pt>
                <c:pt idx="341">
                  <c:v>30</c:v>
                </c:pt>
                <c:pt idx="342">
                  <c:v>30</c:v>
                </c:pt>
                <c:pt idx="343">
                  <c:v>30</c:v>
                </c:pt>
                <c:pt idx="344">
                  <c:v>30</c:v>
                </c:pt>
                <c:pt idx="345">
                  <c:v>30</c:v>
                </c:pt>
                <c:pt idx="346">
                  <c:v>30</c:v>
                </c:pt>
                <c:pt idx="347">
                  <c:v>30</c:v>
                </c:pt>
                <c:pt idx="348">
                  <c:v>30</c:v>
                </c:pt>
                <c:pt idx="349">
                  <c:v>30</c:v>
                </c:pt>
                <c:pt idx="350">
                  <c:v>30</c:v>
                </c:pt>
                <c:pt idx="351">
                  <c:v>30</c:v>
                </c:pt>
                <c:pt idx="352">
                  <c:v>30</c:v>
                </c:pt>
                <c:pt idx="353">
                  <c:v>30</c:v>
                </c:pt>
                <c:pt idx="354">
                  <c:v>30</c:v>
                </c:pt>
                <c:pt idx="355">
                  <c:v>30</c:v>
                </c:pt>
                <c:pt idx="356">
                  <c:v>30</c:v>
                </c:pt>
                <c:pt idx="357">
                  <c:v>30</c:v>
                </c:pt>
                <c:pt idx="358">
                  <c:v>30</c:v>
                </c:pt>
                <c:pt idx="359">
                  <c:v>30</c:v>
                </c:pt>
                <c:pt idx="360">
                  <c:v>30</c:v>
                </c:pt>
                <c:pt idx="361">
                  <c:v>30</c:v>
                </c:pt>
                <c:pt idx="362">
                  <c:v>30</c:v>
                </c:pt>
                <c:pt idx="363">
                  <c:v>30</c:v>
                </c:pt>
                <c:pt idx="364">
                  <c:v>30</c:v>
                </c:pt>
                <c:pt idx="365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8011-0844-8364-DA0F5B1CFBCA}"/>
            </c:ext>
          </c:extLst>
        </c:ser>
        <c:ser>
          <c:idx val="26"/>
          <c:order val="26"/>
          <c:tx>
            <c:strRef>
              <c:f>List1!$AE$4</c:f>
              <c:strCache>
                <c:ptCount val="1"/>
                <c:pt idx="0">
                  <c:v>2025</c:v>
                </c:pt>
              </c:strCache>
            </c:strRef>
          </c:tx>
          <c:spPr>
            <a:ln w="28800" cap="rnd">
              <a:solidFill>
                <a:srgbClr val="81D41A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List1!$AE$5:$AE$370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3</c:v>
                </c:pt>
                <c:pt idx="149">
                  <c:v>3</c:v>
                </c:pt>
                <c:pt idx="150">
                  <c:v>3</c:v>
                </c:pt>
                <c:pt idx="151">
                  <c:v>4</c:v>
                </c:pt>
                <c:pt idx="152">
                  <c:v>5</c:v>
                </c:pt>
                <c:pt idx="153">
                  <c:v>5</c:v>
                </c:pt>
                <c:pt idx="154">
                  <c:v>5</c:v>
                </c:pt>
                <c:pt idx="155">
                  <c:v>5</c:v>
                </c:pt>
                <c:pt idx="156">
                  <c:v>5</c:v>
                </c:pt>
                <c:pt idx="157">
                  <c:v>5</c:v>
                </c:pt>
                <c:pt idx="158">
                  <c:v>5</c:v>
                </c:pt>
                <c:pt idx="159">
                  <c:v>5</c:v>
                </c:pt>
                <c:pt idx="160">
                  <c:v>5</c:v>
                </c:pt>
                <c:pt idx="161">
                  <c:v>5</c:v>
                </c:pt>
                <c:pt idx="162">
                  <c:v>5</c:v>
                </c:pt>
                <c:pt idx="163">
                  <c:v>5</c:v>
                </c:pt>
                <c:pt idx="164">
                  <c:v>5</c:v>
                </c:pt>
                <c:pt idx="165">
                  <c:v>5</c:v>
                </c:pt>
                <c:pt idx="166">
                  <c:v>6</c:v>
                </c:pt>
                <c:pt idx="167">
                  <c:v>6</c:v>
                </c:pt>
                <c:pt idx="168">
                  <c:v>6</c:v>
                </c:pt>
                <c:pt idx="169">
                  <c:v>6</c:v>
                </c:pt>
                <c:pt idx="170">
                  <c:v>6</c:v>
                </c:pt>
                <c:pt idx="171">
                  <c:v>6</c:v>
                </c:pt>
                <c:pt idx="172">
                  <c:v>6</c:v>
                </c:pt>
                <c:pt idx="173">
                  <c:v>6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7</c:v>
                </c:pt>
                <c:pt idx="184">
                  <c:v>7</c:v>
                </c:pt>
                <c:pt idx="185">
                  <c:v>7</c:v>
                </c:pt>
                <c:pt idx="186">
                  <c:v>7</c:v>
                </c:pt>
                <c:pt idx="187">
                  <c:v>7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8</c:v>
                </c:pt>
                <c:pt idx="193">
                  <c:v>8</c:v>
                </c:pt>
                <c:pt idx="194">
                  <c:v>8</c:v>
                </c:pt>
                <c:pt idx="195">
                  <c:v>8</c:v>
                </c:pt>
                <c:pt idx="196">
                  <c:v>9</c:v>
                </c:pt>
                <c:pt idx="197">
                  <c:v>10</c:v>
                </c:pt>
                <c:pt idx="198">
                  <c:v>10</c:v>
                </c:pt>
                <c:pt idx="199">
                  <c:v>10</c:v>
                </c:pt>
                <c:pt idx="200">
                  <c:v>10</c:v>
                </c:pt>
                <c:pt idx="201">
                  <c:v>10</c:v>
                </c:pt>
                <c:pt idx="202">
                  <c:v>11</c:v>
                </c:pt>
                <c:pt idx="203">
                  <c:v>12</c:v>
                </c:pt>
                <c:pt idx="204">
                  <c:v>12</c:v>
                </c:pt>
                <c:pt idx="205">
                  <c:v>12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13</c:v>
                </c:pt>
                <c:pt idx="211">
                  <c:v>14</c:v>
                </c:pt>
                <c:pt idx="212">
                  <c:v>14</c:v>
                </c:pt>
                <c:pt idx="213">
                  <c:v>15</c:v>
                </c:pt>
                <c:pt idx="214">
                  <c:v>16</c:v>
                </c:pt>
                <c:pt idx="215">
                  <c:v>16</c:v>
                </c:pt>
                <c:pt idx="216">
                  <c:v>16</c:v>
                </c:pt>
                <c:pt idx="217">
                  <c:v>16</c:v>
                </c:pt>
                <c:pt idx="218">
                  <c:v>16</c:v>
                </c:pt>
                <c:pt idx="219">
                  <c:v>16</c:v>
                </c:pt>
                <c:pt idx="220">
                  <c:v>16</c:v>
                </c:pt>
                <c:pt idx="221">
                  <c:v>16</c:v>
                </c:pt>
                <c:pt idx="222">
                  <c:v>16</c:v>
                </c:pt>
                <c:pt idx="223">
                  <c:v>16</c:v>
                </c:pt>
                <c:pt idx="224">
                  <c:v>16</c:v>
                </c:pt>
                <c:pt idx="225">
                  <c:v>16</c:v>
                </c:pt>
                <c:pt idx="226">
                  <c:v>16</c:v>
                </c:pt>
                <c:pt idx="227">
                  <c:v>16</c:v>
                </c:pt>
                <c:pt idx="228">
                  <c:v>16</c:v>
                </c:pt>
                <c:pt idx="229">
                  <c:v>16</c:v>
                </c:pt>
                <c:pt idx="230">
                  <c:v>16</c:v>
                </c:pt>
                <c:pt idx="231">
                  <c:v>16</c:v>
                </c:pt>
                <c:pt idx="232">
                  <c:v>16</c:v>
                </c:pt>
                <c:pt idx="233">
                  <c:v>16</c:v>
                </c:pt>
                <c:pt idx="234">
                  <c:v>16</c:v>
                </c:pt>
                <c:pt idx="235">
                  <c:v>16</c:v>
                </c:pt>
                <c:pt idx="236">
                  <c:v>16</c:v>
                </c:pt>
                <c:pt idx="237">
                  <c:v>16</c:v>
                </c:pt>
                <c:pt idx="238">
                  <c:v>16</c:v>
                </c:pt>
                <c:pt idx="239">
                  <c:v>16</c:v>
                </c:pt>
                <c:pt idx="240">
                  <c:v>16</c:v>
                </c:pt>
                <c:pt idx="241">
                  <c:v>16</c:v>
                </c:pt>
                <c:pt idx="242">
                  <c:v>16</c:v>
                </c:pt>
                <c:pt idx="243">
                  <c:v>16</c:v>
                </c:pt>
                <c:pt idx="244">
                  <c:v>16</c:v>
                </c:pt>
                <c:pt idx="245">
                  <c:v>17</c:v>
                </c:pt>
                <c:pt idx="246">
                  <c:v>17</c:v>
                </c:pt>
                <c:pt idx="247">
                  <c:v>17</c:v>
                </c:pt>
                <c:pt idx="248">
                  <c:v>17</c:v>
                </c:pt>
                <c:pt idx="249">
                  <c:v>17</c:v>
                </c:pt>
                <c:pt idx="250">
                  <c:v>17</c:v>
                </c:pt>
                <c:pt idx="251">
                  <c:v>17</c:v>
                </c:pt>
                <c:pt idx="252">
                  <c:v>17</c:v>
                </c:pt>
                <c:pt idx="253">
                  <c:v>17</c:v>
                </c:pt>
                <c:pt idx="254">
                  <c:v>17</c:v>
                </c:pt>
                <c:pt idx="255">
                  <c:v>17</c:v>
                </c:pt>
                <c:pt idx="256">
                  <c:v>17</c:v>
                </c:pt>
                <c:pt idx="257">
                  <c:v>18</c:v>
                </c:pt>
                <c:pt idx="258">
                  <c:v>18</c:v>
                </c:pt>
                <c:pt idx="259">
                  <c:v>18</c:v>
                </c:pt>
                <c:pt idx="260">
                  <c:v>18</c:v>
                </c:pt>
                <c:pt idx="261">
                  <c:v>18</c:v>
                </c:pt>
                <c:pt idx="262">
                  <c:v>18</c:v>
                </c:pt>
                <c:pt idx="263">
                  <c:v>18</c:v>
                </c:pt>
                <c:pt idx="264">
                  <c:v>19</c:v>
                </c:pt>
                <c:pt idx="265">
                  <c:v>19</c:v>
                </c:pt>
                <c:pt idx="266">
                  <c:v>19</c:v>
                </c:pt>
                <c:pt idx="267">
                  <c:v>19</c:v>
                </c:pt>
                <c:pt idx="268">
                  <c:v>19</c:v>
                </c:pt>
                <c:pt idx="269">
                  <c:v>19</c:v>
                </c:pt>
                <c:pt idx="270">
                  <c:v>19</c:v>
                </c:pt>
                <c:pt idx="271">
                  <c:v>19</c:v>
                </c:pt>
                <c:pt idx="272">
                  <c:v>19</c:v>
                </c:pt>
                <c:pt idx="273">
                  <c:v>19</c:v>
                </c:pt>
                <c:pt idx="274">
                  <c:v>19</c:v>
                </c:pt>
                <c:pt idx="275">
                  <c:v>19</c:v>
                </c:pt>
                <c:pt idx="276">
                  <c:v>19</c:v>
                </c:pt>
                <c:pt idx="277">
                  <c:v>19</c:v>
                </c:pt>
                <c:pt idx="278">
                  <c:v>19</c:v>
                </c:pt>
                <c:pt idx="279">
                  <c:v>19</c:v>
                </c:pt>
                <c:pt idx="280">
                  <c:v>19</c:v>
                </c:pt>
                <c:pt idx="281">
                  <c:v>19</c:v>
                </c:pt>
                <c:pt idx="282">
                  <c:v>19</c:v>
                </c:pt>
                <c:pt idx="283">
                  <c:v>19</c:v>
                </c:pt>
                <c:pt idx="284">
                  <c:v>19</c:v>
                </c:pt>
                <c:pt idx="285">
                  <c:v>19</c:v>
                </c:pt>
                <c:pt idx="286">
                  <c:v>19</c:v>
                </c:pt>
                <c:pt idx="287">
                  <c:v>19</c:v>
                </c:pt>
                <c:pt idx="288">
                  <c:v>19</c:v>
                </c:pt>
                <c:pt idx="289">
                  <c:v>19</c:v>
                </c:pt>
                <c:pt idx="290">
                  <c:v>19</c:v>
                </c:pt>
                <c:pt idx="291">
                  <c:v>19</c:v>
                </c:pt>
                <c:pt idx="292">
                  <c:v>19</c:v>
                </c:pt>
                <c:pt idx="293">
                  <c:v>19</c:v>
                </c:pt>
                <c:pt idx="294">
                  <c:v>19</c:v>
                </c:pt>
                <c:pt idx="295">
                  <c:v>19</c:v>
                </c:pt>
                <c:pt idx="296">
                  <c:v>19</c:v>
                </c:pt>
                <c:pt idx="297">
                  <c:v>19</c:v>
                </c:pt>
                <c:pt idx="298">
                  <c:v>19</c:v>
                </c:pt>
                <c:pt idx="299">
                  <c:v>19</c:v>
                </c:pt>
                <c:pt idx="300">
                  <c:v>19</c:v>
                </c:pt>
                <c:pt idx="301">
                  <c:v>19</c:v>
                </c:pt>
                <c:pt idx="302">
                  <c:v>19</c:v>
                </c:pt>
                <c:pt idx="303">
                  <c:v>19</c:v>
                </c:pt>
                <c:pt idx="304">
                  <c:v>19</c:v>
                </c:pt>
                <c:pt idx="305">
                  <c:v>19</c:v>
                </c:pt>
                <c:pt idx="306">
                  <c:v>19</c:v>
                </c:pt>
                <c:pt idx="307">
                  <c:v>19</c:v>
                </c:pt>
                <c:pt idx="308">
                  <c:v>19</c:v>
                </c:pt>
                <c:pt idx="309">
                  <c:v>19</c:v>
                </c:pt>
                <c:pt idx="310">
                  <c:v>19</c:v>
                </c:pt>
                <c:pt idx="311">
                  <c:v>19</c:v>
                </c:pt>
                <c:pt idx="312">
                  <c:v>19</c:v>
                </c:pt>
                <c:pt idx="313">
                  <c:v>19</c:v>
                </c:pt>
                <c:pt idx="314">
                  <c:v>19</c:v>
                </c:pt>
                <c:pt idx="315">
                  <c:v>19</c:v>
                </c:pt>
                <c:pt idx="316">
                  <c:v>19</c:v>
                </c:pt>
                <c:pt idx="317">
                  <c:v>19</c:v>
                </c:pt>
                <c:pt idx="318">
                  <c:v>19</c:v>
                </c:pt>
                <c:pt idx="319">
                  <c:v>19</c:v>
                </c:pt>
                <c:pt idx="320">
                  <c:v>19</c:v>
                </c:pt>
                <c:pt idx="321">
                  <c:v>19</c:v>
                </c:pt>
                <c:pt idx="322">
                  <c:v>19</c:v>
                </c:pt>
                <c:pt idx="323">
                  <c:v>19</c:v>
                </c:pt>
                <c:pt idx="324">
                  <c:v>19</c:v>
                </c:pt>
                <c:pt idx="325">
                  <c:v>19</c:v>
                </c:pt>
                <c:pt idx="326">
                  <c:v>19</c:v>
                </c:pt>
                <c:pt idx="327">
                  <c:v>19</c:v>
                </c:pt>
                <c:pt idx="328">
                  <c:v>19</c:v>
                </c:pt>
                <c:pt idx="329">
                  <c:v>19</c:v>
                </c:pt>
                <c:pt idx="330">
                  <c:v>19</c:v>
                </c:pt>
                <c:pt idx="331">
                  <c:v>19</c:v>
                </c:pt>
                <c:pt idx="332">
                  <c:v>19</c:v>
                </c:pt>
                <c:pt idx="333">
                  <c:v>19</c:v>
                </c:pt>
                <c:pt idx="334">
                  <c:v>19</c:v>
                </c:pt>
                <c:pt idx="335">
                  <c:v>19</c:v>
                </c:pt>
                <c:pt idx="336">
                  <c:v>19</c:v>
                </c:pt>
                <c:pt idx="337">
                  <c:v>19</c:v>
                </c:pt>
                <c:pt idx="338">
                  <c:v>19</c:v>
                </c:pt>
                <c:pt idx="339">
                  <c:v>19</c:v>
                </c:pt>
                <c:pt idx="340">
                  <c:v>19</c:v>
                </c:pt>
                <c:pt idx="341">
                  <c:v>19</c:v>
                </c:pt>
                <c:pt idx="342">
                  <c:v>19</c:v>
                </c:pt>
                <c:pt idx="343">
                  <c:v>19</c:v>
                </c:pt>
                <c:pt idx="344">
                  <c:v>19</c:v>
                </c:pt>
                <c:pt idx="345">
                  <c:v>19</c:v>
                </c:pt>
                <c:pt idx="346">
                  <c:v>19</c:v>
                </c:pt>
                <c:pt idx="347">
                  <c:v>19</c:v>
                </c:pt>
                <c:pt idx="348">
                  <c:v>19</c:v>
                </c:pt>
                <c:pt idx="349">
                  <c:v>19</c:v>
                </c:pt>
                <c:pt idx="350">
                  <c:v>19</c:v>
                </c:pt>
                <c:pt idx="351">
                  <c:v>19</c:v>
                </c:pt>
                <c:pt idx="352">
                  <c:v>19</c:v>
                </c:pt>
                <c:pt idx="353">
                  <c:v>19</c:v>
                </c:pt>
                <c:pt idx="354">
                  <c:v>19</c:v>
                </c:pt>
                <c:pt idx="355">
                  <c:v>19</c:v>
                </c:pt>
                <c:pt idx="356">
                  <c:v>19</c:v>
                </c:pt>
                <c:pt idx="357">
                  <c:v>19</c:v>
                </c:pt>
                <c:pt idx="358">
                  <c:v>19</c:v>
                </c:pt>
                <c:pt idx="359">
                  <c:v>19</c:v>
                </c:pt>
                <c:pt idx="360">
                  <c:v>19</c:v>
                </c:pt>
                <c:pt idx="361">
                  <c:v>19</c:v>
                </c:pt>
                <c:pt idx="362">
                  <c:v>19</c:v>
                </c:pt>
                <c:pt idx="363">
                  <c:v>19</c:v>
                </c:pt>
                <c:pt idx="364">
                  <c:v>19</c:v>
                </c:pt>
                <c:pt idx="365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8011-0844-8364-DA0F5B1CFBCA}"/>
            </c:ext>
          </c:extLst>
        </c:ser>
        <c:ser>
          <c:idx val="27"/>
          <c:order val="27"/>
          <c:tx>
            <c:strRef>
              <c:f>List1!$AF$4</c:f>
              <c:strCache>
                <c:ptCount val="1"/>
                <c:pt idx="0">
                  <c:v>2026</c:v>
                </c:pt>
              </c:strCache>
            </c:strRef>
          </c:tx>
          <c:spPr>
            <a:ln w="28800">
              <a:solidFill>
                <a:srgbClr val="579D1C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List1!$AF$5:$AF$370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2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5</c:v>
                </c:pt>
                <c:pt idx="152">
                  <c:v>5</c:v>
                </c:pt>
                <c:pt idx="153">
                  <c:v>5</c:v>
                </c:pt>
                <c:pt idx="154">
                  <c:v>5</c:v>
                </c:pt>
                <c:pt idx="155">
                  <c:v>6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8</c:v>
                </c:pt>
                <c:pt idx="163">
                  <c:v>8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9</c:v>
                </c:pt>
                <c:pt idx="173">
                  <c:v>9</c:v>
                </c:pt>
                <c:pt idx="174">
                  <c:v>9</c:v>
                </c:pt>
                <c:pt idx="175">
                  <c:v>9</c:v>
                </c:pt>
                <c:pt idx="176">
                  <c:v>9</c:v>
                </c:pt>
                <c:pt idx="177">
                  <c:v>9</c:v>
                </c:pt>
                <c:pt idx="178">
                  <c:v>9</c:v>
                </c:pt>
                <c:pt idx="179">
                  <c:v>10</c:v>
                </c:pt>
                <c:pt idx="180">
                  <c:v>11</c:v>
                </c:pt>
                <c:pt idx="181">
                  <c:v>11</c:v>
                </c:pt>
                <c:pt idx="182">
                  <c:v>12</c:v>
                </c:pt>
                <c:pt idx="183">
                  <c:v>12</c:v>
                </c:pt>
                <c:pt idx="184">
                  <c:v>12</c:v>
                </c:pt>
                <c:pt idx="185">
                  <c:v>12</c:v>
                </c:pt>
                <c:pt idx="186">
                  <c:v>12</c:v>
                </c:pt>
                <c:pt idx="187">
                  <c:v>12</c:v>
                </c:pt>
                <c:pt idx="188">
                  <c:v>12</c:v>
                </c:pt>
                <c:pt idx="189">
                  <c:v>12</c:v>
                </c:pt>
                <c:pt idx="190">
                  <c:v>12</c:v>
                </c:pt>
                <c:pt idx="191">
                  <c:v>12</c:v>
                </c:pt>
                <c:pt idx="192">
                  <c:v>12</c:v>
                </c:pt>
                <c:pt idx="193">
                  <c:v>12</c:v>
                </c:pt>
                <c:pt idx="194">
                  <c:v>12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14</c:v>
                </c:pt>
                <c:pt idx="213">
                  <c:v>14</c:v>
                </c:pt>
                <c:pt idx="214">
                  <c:v>14</c:v>
                </c:pt>
                <c:pt idx="215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8011-0844-8364-DA0F5B1CF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3566787"/>
        <c:axId val="51668332"/>
      </c:lineChart>
      <c:catAx>
        <c:axId val="135667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DejaVu Sans"/>
              </a:defRPr>
            </a:pPr>
            <a:endParaRPr lang="cs-CZ"/>
          </a:p>
        </c:txPr>
        <c:crossAx val="51668332"/>
        <c:crosses val="autoZero"/>
        <c:auto val="1"/>
        <c:lblAlgn val="ctr"/>
        <c:lblOffset val="100"/>
        <c:noMultiLvlLbl val="0"/>
      </c:catAx>
      <c:valAx>
        <c:axId val="51668332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DejaVu Sans"/>
              </a:defRPr>
            </a:pPr>
            <a:endParaRPr lang="cs-CZ"/>
          </a:p>
        </c:txPr>
        <c:crossAx val="13566787"/>
        <c:crossesAt val="1"/>
        <c:crossBetween val="between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300" b="0" u="none" strike="noStrike">
                <a:solidFill>
                  <a:srgbClr val="000000"/>
                </a:solidFill>
                <a:uFillTx/>
                <a:latin typeface="Calibri"/>
                <a:ea typeface="DejaVu Sans"/>
              </a:rPr>
              <a:t>Max, Min and Avg TD throughout the years 1999-2025</a:t>
            </a:r>
          </a:p>
        </c:rich>
      </c:tx>
      <c:layout>
        <c:manualLayout>
          <c:xMode val="edge"/>
          <c:yMode val="edge"/>
          <c:x val="0.40972465034965"/>
          <c:y val="2.7805601185945002E-2"/>
        </c:manualLayout>
      </c:layout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List1!$B$4</c:f>
              <c:strCache>
                <c:ptCount val="1"/>
                <c:pt idx="0">
                  <c:v>average</c:v>
                </c:pt>
              </c:strCache>
            </c:strRef>
          </c:tx>
          <c:spPr>
            <a:ln w="28800" cap="rnd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List1!$B$5:$B$370</c:f>
              <c:numCache>
                <c:formatCode>0.0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3.7037037037037035E-2</c:v>
                </c:pt>
                <c:pt idx="3">
                  <c:v>7.407407407407407E-2</c:v>
                </c:pt>
                <c:pt idx="4">
                  <c:v>0.1111111111111111</c:v>
                </c:pt>
                <c:pt idx="5">
                  <c:v>0.1111111111111111</c:v>
                </c:pt>
                <c:pt idx="6">
                  <c:v>0.1111111111111111</c:v>
                </c:pt>
                <c:pt idx="7">
                  <c:v>0.1111111111111111</c:v>
                </c:pt>
                <c:pt idx="8">
                  <c:v>0.1111111111111111</c:v>
                </c:pt>
                <c:pt idx="9">
                  <c:v>0.1111111111111111</c:v>
                </c:pt>
                <c:pt idx="10">
                  <c:v>0.1111111111111111</c:v>
                </c:pt>
                <c:pt idx="11">
                  <c:v>0.14814814814814814</c:v>
                </c:pt>
                <c:pt idx="12">
                  <c:v>0.14814814814814814</c:v>
                </c:pt>
                <c:pt idx="13">
                  <c:v>0.18518518518518517</c:v>
                </c:pt>
                <c:pt idx="14">
                  <c:v>0.18518518518518517</c:v>
                </c:pt>
                <c:pt idx="15">
                  <c:v>0.22222222222222221</c:v>
                </c:pt>
                <c:pt idx="16">
                  <c:v>0.22222222222222221</c:v>
                </c:pt>
                <c:pt idx="17">
                  <c:v>0.25925925925925924</c:v>
                </c:pt>
                <c:pt idx="18">
                  <c:v>0.25925925925925924</c:v>
                </c:pt>
                <c:pt idx="19">
                  <c:v>0.25925925925925924</c:v>
                </c:pt>
                <c:pt idx="20">
                  <c:v>0.25925925925925924</c:v>
                </c:pt>
                <c:pt idx="21">
                  <c:v>0.25925925925925924</c:v>
                </c:pt>
                <c:pt idx="22">
                  <c:v>0.25925925925925924</c:v>
                </c:pt>
                <c:pt idx="23">
                  <c:v>0.25925925925925924</c:v>
                </c:pt>
                <c:pt idx="24">
                  <c:v>0.25925925925925924</c:v>
                </c:pt>
                <c:pt idx="25">
                  <c:v>0.25925925925925924</c:v>
                </c:pt>
                <c:pt idx="26">
                  <c:v>0.25925925925925924</c:v>
                </c:pt>
                <c:pt idx="27">
                  <c:v>0.25925925925925924</c:v>
                </c:pt>
                <c:pt idx="28">
                  <c:v>0.25925925925925924</c:v>
                </c:pt>
                <c:pt idx="29">
                  <c:v>0.25925925925925924</c:v>
                </c:pt>
                <c:pt idx="30">
                  <c:v>0.25925925925925924</c:v>
                </c:pt>
                <c:pt idx="31">
                  <c:v>0.29629629629629628</c:v>
                </c:pt>
                <c:pt idx="32">
                  <c:v>0.29629629629629628</c:v>
                </c:pt>
                <c:pt idx="33">
                  <c:v>0.29629629629629628</c:v>
                </c:pt>
                <c:pt idx="34">
                  <c:v>0.33333333333333331</c:v>
                </c:pt>
                <c:pt idx="35">
                  <c:v>0.33333333333333331</c:v>
                </c:pt>
                <c:pt idx="36">
                  <c:v>0.33333333333333331</c:v>
                </c:pt>
                <c:pt idx="37">
                  <c:v>0.33333333333333331</c:v>
                </c:pt>
                <c:pt idx="38">
                  <c:v>0.33333333333333331</c:v>
                </c:pt>
                <c:pt idx="39">
                  <c:v>0.33333333333333331</c:v>
                </c:pt>
                <c:pt idx="40">
                  <c:v>0.37037037037037035</c:v>
                </c:pt>
                <c:pt idx="41">
                  <c:v>0.40740740740740738</c:v>
                </c:pt>
                <c:pt idx="42">
                  <c:v>0.40740740740740738</c:v>
                </c:pt>
                <c:pt idx="43">
                  <c:v>0.40740740740740738</c:v>
                </c:pt>
                <c:pt idx="44">
                  <c:v>0.40740740740740738</c:v>
                </c:pt>
                <c:pt idx="45">
                  <c:v>0.40740740740740738</c:v>
                </c:pt>
                <c:pt idx="46">
                  <c:v>0.40740740740740738</c:v>
                </c:pt>
                <c:pt idx="47">
                  <c:v>0.40740740740740738</c:v>
                </c:pt>
                <c:pt idx="48">
                  <c:v>0.40740740740740738</c:v>
                </c:pt>
                <c:pt idx="49">
                  <c:v>0.40740740740740738</c:v>
                </c:pt>
                <c:pt idx="50">
                  <c:v>0.40740740740740738</c:v>
                </c:pt>
                <c:pt idx="51">
                  <c:v>0.40740740740740738</c:v>
                </c:pt>
                <c:pt idx="52">
                  <c:v>0.40740740740740738</c:v>
                </c:pt>
                <c:pt idx="53">
                  <c:v>0.44444444444444442</c:v>
                </c:pt>
                <c:pt idx="54">
                  <c:v>0.44444444444444442</c:v>
                </c:pt>
                <c:pt idx="55">
                  <c:v>0.44444444444444442</c:v>
                </c:pt>
                <c:pt idx="56">
                  <c:v>0.44444444444444442</c:v>
                </c:pt>
                <c:pt idx="57">
                  <c:v>0.48148148148148145</c:v>
                </c:pt>
                <c:pt idx="58">
                  <c:v>0.51851851851851849</c:v>
                </c:pt>
                <c:pt idx="59">
                  <c:v>0.51851851851851849</c:v>
                </c:pt>
                <c:pt idx="60">
                  <c:v>0.55555555555555558</c:v>
                </c:pt>
                <c:pt idx="61">
                  <c:v>0.55555555555555558</c:v>
                </c:pt>
                <c:pt idx="62">
                  <c:v>0.55555555555555558</c:v>
                </c:pt>
                <c:pt idx="63">
                  <c:v>0.55555555555555558</c:v>
                </c:pt>
                <c:pt idx="64">
                  <c:v>0.59259259259259256</c:v>
                </c:pt>
                <c:pt idx="65">
                  <c:v>0.59259259259259256</c:v>
                </c:pt>
                <c:pt idx="66">
                  <c:v>0.59259259259259256</c:v>
                </c:pt>
                <c:pt idx="67">
                  <c:v>0.59259259259259256</c:v>
                </c:pt>
                <c:pt idx="68">
                  <c:v>0.59259259259259256</c:v>
                </c:pt>
                <c:pt idx="69">
                  <c:v>0.66666666666666663</c:v>
                </c:pt>
                <c:pt idx="70">
                  <c:v>0.66666666666666663</c:v>
                </c:pt>
                <c:pt idx="71">
                  <c:v>0.66666666666666663</c:v>
                </c:pt>
                <c:pt idx="72">
                  <c:v>0.66666666666666663</c:v>
                </c:pt>
                <c:pt idx="73">
                  <c:v>0.70370370370370372</c:v>
                </c:pt>
                <c:pt idx="74">
                  <c:v>0.7407407407407407</c:v>
                </c:pt>
                <c:pt idx="75">
                  <c:v>0.7407407407407407</c:v>
                </c:pt>
                <c:pt idx="76">
                  <c:v>0.7407407407407407</c:v>
                </c:pt>
                <c:pt idx="77">
                  <c:v>0.7407407407407407</c:v>
                </c:pt>
                <c:pt idx="78">
                  <c:v>0.7407407407407407</c:v>
                </c:pt>
                <c:pt idx="79">
                  <c:v>0.7407407407407407</c:v>
                </c:pt>
                <c:pt idx="80">
                  <c:v>0.7407407407407407</c:v>
                </c:pt>
                <c:pt idx="81">
                  <c:v>0.7407407407407407</c:v>
                </c:pt>
                <c:pt idx="82">
                  <c:v>0.77777777777777779</c:v>
                </c:pt>
                <c:pt idx="83">
                  <c:v>0.77777777777777779</c:v>
                </c:pt>
                <c:pt idx="84">
                  <c:v>0.77777777777777779</c:v>
                </c:pt>
                <c:pt idx="85">
                  <c:v>0.81481481481481477</c:v>
                </c:pt>
                <c:pt idx="86">
                  <c:v>0.81481481481481477</c:v>
                </c:pt>
                <c:pt idx="87">
                  <c:v>0.81481481481481477</c:v>
                </c:pt>
                <c:pt idx="88">
                  <c:v>0.81481481481481477</c:v>
                </c:pt>
                <c:pt idx="89">
                  <c:v>0.85185185185185186</c:v>
                </c:pt>
                <c:pt idx="90">
                  <c:v>0.88888888888888884</c:v>
                </c:pt>
                <c:pt idx="91">
                  <c:v>0.88888888888888884</c:v>
                </c:pt>
                <c:pt idx="92">
                  <c:v>0.88888888888888884</c:v>
                </c:pt>
                <c:pt idx="93">
                  <c:v>0.96296296296296291</c:v>
                </c:pt>
                <c:pt idx="94">
                  <c:v>1.037037037037037</c:v>
                </c:pt>
                <c:pt idx="95">
                  <c:v>1.1111111111111112</c:v>
                </c:pt>
                <c:pt idx="96">
                  <c:v>1.1481481481481481</c:v>
                </c:pt>
                <c:pt idx="97">
                  <c:v>1.1481481481481481</c:v>
                </c:pt>
                <c:pt idx="98">
                  <c:v>1.1851851851851851</c:v>
                </c:pt>
                <c:pt idx="99">
                  <c:v>1.2222222222222223</c:v>
                </c:pt>
                <c:pt idx="100">
                  <c:v>1.2222222222222223</c:v>
                </c:pt>
                <c:pt idx="101">
                  <c:v>1.2592592592592593</c:v>
                </c:pt>
                <c:pt idx="102">
                  <c:v>1.2962962962962963</c:v>
                </c:pt>
                <c:pt idx="103">
                  <c:v>1.2962962962962963</c:v>
                </c:pt>
                <c:pt idx="104">
                  <c:v>1.3703703703703705</c:v>
                </c:pt>
                <c:pt idx="105">
                  <c:v>1.4074074074074074</c:v>
                </c:pt>
                <c:pt idx="106">
                  <c:v>1.4074074074074074</c:v>
                </c:pt>
                <c:pt idx="107">
                  <c:v>1.4444444444444444</c:v>
                </c:pt>
                <c:pt idx="108">
                  <c:v>1.5185185185185186</c:v>
                </c:pt>
                <c:pt idx="109">
                  <c:v>1.5925925925925926</c:v>
                </c:pt>
                <c:pt idx="110">
                  <c:v>1.5925925925925926</c:v>
                </c:pt>
                <c:pt idx="111">
                  <c:v>1.5925925925925926</c:v>
                </c:pt>
                <c:pt idx="112">
                  <c:v>1.6666666666666667</c:v>
                </c:pt>
                <c:pt idx="113">
                  <c:v>1.7407407407407407</c:v>
                </c:pt>
                <c:pt idx="114">
                  <c:v>1.8148148148148149</c:v>
                </c:pt>
                <c:pt idx="115">
                  <c:v>1.8518518518518519</c:v>
                </c:pt>
                <c:pt idx="116">
                  <c:v>2</c:v>
                </c:pt>
                <c:pt idx="117">
                  <c:v>2.1481481481481484</c:v>
                </c:pt>
                <c:pt idx="118">
                  <c:v>2.2222222222222223</c:v>
                </c:pt>
                <c:pt idx="119">
                  <c:v>2.2592592592592591</c:v>
                </c:pt>
                <c:pt idx="120">
                  <c:v>2.3703703703703702</c:v>
                </c:pt>
                <c:pt idx="121">
                  <c:v>2.4814814814814814</c:v>
                </c:pt>
                <c:pt idx="122">
                  <c:v>2.7037037037037037</c:v>
                </c:pt>
                <c:pt idx="123">
                  <c:v>2.8148148148148149</c:v>
                </c:pt>
                <c:pt idx="124">
                  <c:v>2.8518518518518516</c:v>
                </c:pt>
                <c:pt idx="125">
                  <c:v>3</c:v>
                </c:pt>
                <c:pt idx="126">
                  <c:v>3.1481481481481484</c:v>
                </c:pt>
                <c:pt idx="127">
                  <c:v>3.1851851851851851</c:v>
                </c:pt>
                <c:pt idx="128">
                  <c:v>3.3333333333333335</c:v>
                </c:pt>
                <c:pt idx="129">
                  <c:v>3.5925925925925926</c:v>
                </c:pt>
                <c:pt idx="130">
                  <c:v>3.7037037037037037</c:v>
                </c:pt>
                <c:pt idx="131">
                  <c:v>3.8888888888888888</c:v>
                </c:pt>
                <c:pt idx="132">
                  <c:v>4.0740740740740744</c:v>
                </c:pt>
                <c:pt idx="133">
                  <c:v>4.1851851851851851</c:v>
                </c:pt>
                <c:pt idx="134">
                  <c:v>4.333333333333333</c:v>
                </c:pt>
                <c:pt idx="135">
                  <c:v>4.4814814814814818</c:v>
                </c:pt>
                <c:pt idx="136">
                  <c:v>4.666666666666667</c:v>
                </c:pt>
                <c:pt idx="137">
                  <c:v>4.8148148148148149</c:v>
                </c:pt>
                <c:pt idx="138">
                  <c:v>4.9259259259259256</c:v>
                </c:pt>
                <c:pt idx="139">
                  <c:v>5.1111111111111107</c:v>
                </c:pt>
                <c:pt idx="140">
                  <c:v>5.333333333333333</c:v>
                </c:pt>
                <c:pt idx="141">
                  <c:v>5.5185185185185182</c:v>
                </c:pt>
                <c:pt idx="142">
                  <c:v>5.6296296296296298</c:v>
                </c:pt>
                <c:pt idx="143">
                  <c:v>5.9259259259259256</c:v>
                </c:pt>
                <c:pt idx="144">
                  <c:v>6.0740740740740744</c:v>
                </c:pt>
                <c:pt idx="145">
                  <c:v>6.2962962962962967</c:v>
                </c:pt>
                <c:pt idx="146">
                  <c:v>6.4814814814814818</c:v>
                </c:pt>
                <c:pt idx="147">
                  <c:v>6.5925925925925926</c:v>
                </c:pt>
                <c:pt idx="148">
                  <c:v>6.7777777777777777</c:v>
                </c:pt>
                <c:pt idx="149">
                  <c:v>6.9259259259259256</c:v>
                </c:pt>
                <c:pt idx="150">
                  <c:v>7.1111111111111107</c:v>
                </c:pt>
                <c:pt idx="151">
                  <c:v>7.3703703703703702</c:v>
                </c:pt>
                <c:pt idx="152">
                  <c:v>7.6296296296296298</c:v>
                </c:pt>
                <c:pt idx="153">
                  <c:v>7.7407407407407405</c:v>
                </c:pt>
                <c:pt idx="154">
                  <c:v>7.8148148148148149</c:v>
                </c:pt>
                <c:pt idx="155">
                  <c:v>7.9629629629629628</c:v>
                </c:pt>
                <c:pt idx="156">
                  <c:v>8.1481481481481488</c:v>
                </c:pt>
                <c:pt idx="157">
                  <c:v>8.4074074074074066</c:v>
                </c:pt>
                <c:pt idx="158">
                  <c:v>8.6666666666666661</c:v>
                </c:pt>
                <c:pt idx="159">
                  <c:v>8.8888888888888893</c:v>
                </c:pt>
                <c:pt idx="160">
                  <c:v>9.2222222222222214</c:v>
                </c:pt>
                <c:pt idx="161">
                  <c:v>9.4444444444444446</c:v>
                </c:pt>
                <c:pt idx="162">
                  <c:v>9.6296296296296298</c:v>
                </c:pt>
                <c:pt idx="163">
                  <c:v>9.8518518518518512</c:v>
                </c:pt>
                <c:pt idx="164">
                  <c:v>10.074074074074074</c:v>
                </c:pt>
                <c:pt idx="165">
                  <c:v>10.333333333333334</c:v>
                </c:pt>
                <c:pt idx="166">
                  <c:v>10.592592592592593</c:v>
                </c:pt>
                <c:pt idx="167">
                  <c:v>10.851851851851851</c:v>
                </c:pt>
                <c:pt idx="168">
                  <c:v>11</c:v>
                </c:pt>
                <c:pt idx="169">
                  <c:v>11.148148148148149</c:v>
                </c:pt>
                <c:pt idx="170">
                  <c:v>11.185185185185185</c:v>
                </c:pt>
                <c:pt idx="171">
                  <c:v>11.37037037037037</c:v>
                </c:pt>
                <c:pt idx="172">
                  <c:v>11.703703703703704</c:v>
                </c:pt>
                <c:pt idx="173">
                  <c:v>11.962962962962964</c:v>
                </c:pt>
                <c:pt idx="174">
                  <c:v>12.222222222222221</c:v>
                </c:pt>
                <c:pt idx="175">
                  <c:v>12.37037037037037</c:v>
                </c:pt>
                <c:pt idx="176">
                  <c:v>12.555555555555555</c:v>
                </c:pt>
                <c:pt idx="177">
                  <c:v>12.62962962962963</c:v>
                </c:pt>
                <c:pt idx="178">
                  <c:v>12.851851851851851</c:v>
                </c:pt>
                <c:pt idx="179">
                  <c:v>13.037037037037036</c:v>
                </c:pt>
                <c:pt idx="180">
                  <c:v>13.074074074074074</c:v>
                </c:pt>
                <c:pt idx="181">
                  <c:v>13.481481481481481</c:v>
                </c:pt>
                <c:pt idx="182">
                  <c:v>13.851851851851851</c:v>
                </c:pt>
                <c:pt idx="183">
                  <c:v>14.111111111111111</c:v>
                </c:pt>
                <c:pt idx="184">
                  <c:v>14.296296296296296</c:v>
                </c:pt>
                <c:pt idx="185">
                  <c:v>14.444444444444445</c:v>
                </c:pt>
                <c:pt idx="186">
                  <c:v>14.777777777777779</c:v>
                </c:pt>
                <c:pt idx="187">
                  <c:v>15.111111111111111</c:v>
                </c:pt>
                <c:pt idx="188">
                  <c:v>15.37037037037037</c:v>
                </c:pt>
                <c:pt idx="189">
                  <c:v>15.62962962962963</c:v>
                </c:pt>
                <c:pt idx="190">
                  <c:v>15.74074074074074</c:v>
                </c:pt>
                <c:pt idx="191">
                  <c:v>15.962962962962964</c:v>
                </c:pt>
                <c:pt idx="192">
                  <c:v>16.333333333333332</c:v>
                </c:pt>
                <c:pt idx="193">
                  <c:v>16.518518518518519</c:v>
                </c:pt>
                <c:pt idx="194">
                  <c:v>16.74074074074074</c:v>
                </c:pt>
                <c:pt idx="195">
                  <c:v>16.962962962962962</c:v>
                </c:pt>
                <c:pt idx="196">
                  <c:v>17.222222222222221</c:v>
                </c:pt>
                <c:pt idx="197">
                  <c:v>17.37037037037037</c:v>
                </c:pt>
                <c:pt idx="198">
                  <c:v>17.592592592592592</c:v>
                </c:pt>
                <c:pt idx="199">
                  <c:v>17.666666666666668</c:v>
                </c:pt>
                <c:pt idx="200">
                  <c:v>17.814814814814813</c:v>
                </c:pt>
                <c:pt idx="201">
                  <c:v>18</c:v>
                </c:pt>
                <c:pt idx="202">
                  <c:v>18.296296296296298</c:v>
                </c:pt>
                <c:pt idx="203">
                  <c:v>18.555555555555557</c:v>
                </c:pt>
                <c:pt idx="204">
                  <c:v>18.814814814814813</c:v>
                </c:pt>
                <c:pt idx="205">
                  <c:v>18.962962962962962</c:v>
                </c:pt>
                <c:pt idx="206">
                  <c:v>19.185185185185187</c:v>
                </c:pt>
                <c:pt idx="207">
                  <c:v>19.407407407407408</c:v>
                </c:pt>
                <c:pt idx="208">
                  <c:v>19.62962962962963</c:v>
                </c:pt>
                <c:pt idx="209">
                  <c:v>19.925925925925927</c:v>
                </c:pt>
                <c:pt idx="210">
                  <c:v>20.296296296296298</c:v>
                </c:pt>
                <c:pt idx="211">
                  <c:v>20.481481481481481</c:v>
                </c:pt>
                <c:pt idx="212">
                  <c:v>20.62962962962963</c:v>
                </c:pt>
                <c:pt idx="213">
                  <c:v>20.888888888888889</c:v>
                </c:pt>
                <c:pt idx="214">
                  <c:v>21.185185185185187</c:v>
                </c:pt>
                <c:pt idx="215">
                  <c:v>21.407407407407408</c:v>
                </c:pt>
                <c:pt idx="216">
                  <c:v>21.62962962962963</c:v>
                </c:pt>
                <c:pt idx="217">
                  <c:v>21.814814814814813</c:v>
                </c:pt>
                <c:pt idx="218">
                  <c:v>21.925925925925927</c:v>
                </c:pt>
                <c:pt idx="219">
                  <c:v>22.074074074074073</c:v>
                </c:pt>
                <c:pt idx="220">
                  <c:v>22.333333333333332</c:v>
                </c:pt>
                <c:pt idx="221">
                  <c:v>22.444444444444443</c:v>
                </c:pt>
                <c:pt idx="222">
                  <c:v>22.74074074074074</c:v>
                </c:pt>
                <c:pt idx="223">
                  <c:v>22.888888888888889</c:v>
                </c:pt>
                <c:pt idx="224">
                  <c:v>22.962962962962962</c:v>
                </c:pt>
                <c:pt idx="225">
                  <c:v>23.111111111111111</c:v>
                </c:pt>
                <c:pt idx="226">
                  <c:v>23.333333333333332</c:v>
                </c:pt>
                <c:pt idx="227">
                  <c:v>23.481481481481481</c:v>
                </c:pt>
                <c:pt idx="228">
                  <c:v>23.62962962962963</c:v>
                </c:pt>
                <c:pt idx="229">
                  <c:v>23.925925925925927</c:v>
                </c:pt>
                <c:pt idx="230">
                  <c:v>24.185185185185187</c:v>
                </c:pt>
                <c:pt idx="231">
                  <c:v>24.37037037037037</c:v>
                </c:pt>
                <c:pt idx="232">
                  <c:v>24.555555555555557</c:v>
                </c:pt>
                <c:pt idx="233">
                  <c:v>24.777777777777779</c:v>
                </c:pt>
                <c:pt idx="234">
                  <c:v>24.962962962962962</c:v>
                </c:pt>
                <c:pt idx="235">
                  <c:v>25.074074074074073</c:v>
                </c:pt>
                <c:pt idx="236">
                  <c:v>25.148148148148149</c:v>
                </c:pt>
                <c:pt idx="237">
                  <c:v>25.296296296296298</c:v>
                </c:pt>
                <c:pt idx="238">
                  <c:v>25.518518518518519</c:v>
                </c:pt>
                <c:pt idx="239">
                  <c:v>25.62962962962963</c:v>
                </c:pt>
                <c:pt idx="240">
                  <c:v>25.666666666666668</c:v>
                </c:pt>
                <c:pt idx="241">
                  <c:v>25.777777777777779</c:v>
                </c:pt>
                <c:pt idx="242">
                  <c:v>25.925925925925927</c:v>
                </c:pt>
                <c:pt idx="243">
                  <c:v>26</c:v>
                </c:pt>
                <c:pt idx="244">
                  <c:v>26.111111111111111</c:v>
                </c:pt>
                <c:pt idx="245">
                  <c:v>26.148148148148149</c:v>
                </c:pt>
                <c:pt idx="246">
                  <c:v>26.185185185185187</c:v>
                </c:pt>
                <c:pt idx="247">
                  <c:v>26.222222222222221</c:v>
                </c:pt>
                <c:pt idx="248">
                  <c:v>26.333333333333332</c:v>
                </c:pt>
                <c:pt idx="249">
                  <c:v>26.444444444444443</c:v>
                </c:pt>
                <c:pt idx="250">
                  <c:v>26.518518518518519</c:v>
                </c:pt>
                <c:pt idx="251">
                  <c:v>26.592592592592592</c:v>
                </c:pt>
                <c:pt idx="252">
                  <c:v>26.666666666666668</c:v>
                </c:pt>
                <c:pt idx="253">
                  <c:v>26.814814814814813</c:v>
                </c:pt>
                <c:pt idx="254">
                  <c:v>26.925925925925927</c:v>
                </c:pt>
                <c:pt idx="255">
                  <c:v>26.925925925925927</c:v>
                </c:pt>
                <c:pt idx="256">
                  <c:v>26.925925925925927</c:v>
                </c:pt>
                <c:pt idx="257">
                  <c:v>26.962962962962962</c:v>
                </c:pt>
                <c:pt idx="258">
                  <c:v>26.962962962962962</c:v>
                </c:pt>
                <c:pt idx="259">
                  <c:v>26.962962962962962</c:v>
                </c:pt>
                <c:pt idx="260">
                  <c:v>27.074074074074073</c:v>
                </c:pt>
                <c:pt idx="261">
                  <c:v>27.148148148148149</c:v>
                </c:pt>
                <c:pt idx="262">
                  <c:v>27.222222222222221</c:v>
                </c:pt>
                <c:pt idx="263">
                  <c:v>27.25925925925926</c:v>
                </c:pt>
                <c:pt idx="264">
                  <c:v>27.333333333333332</c:v>
                </c:pt>
                <c:pt idx="265">
                  <c:v>27.37037037037037</c:v>
                </c:pt>
                <c:pt idx="266">
                  <c:v>27.481481481481481</c:v>
                </c:pt>
                <c:pt idx="267">
                  <c:v>27.481481481481481</c:v>
                </c:pt>
                <c:pt idx="268">
                  <c:v>27.518518518518519</c:v>
                </c:pt>
                <c:pt idx="269">
                  <c:v>27.518518518518519</c:v>
                </c:pt>
                <c:pt idx="270">
                  <c:v>27.592592592592592</c:v>
                </c:pt>
                <c:pt idx="271">
                  <c:v>27.592592592592592</c:v>
                </c:pt>
                <c:pt idx="272">
                  <c:v>27.592592592592592</c:v>
                </c:pt>
                <c:pt idx="273">
                  <c:v>27.592592592592592</c:v>
                </c:pt>
                <c:pt idx="274">
                  <c:v>27.666666666666668</c:v>
                </c:pt>
                <c:pt idx="275">
                  <c:v>27.666666666666668</c:v>
                </c:pt>
                <c:pt idx="276">
                  <c:v>27.703703703703702</c:v>
                </c:pt>
                <c:pt idx="277">
                  <c:v>27.703703703703702</c:v>
                </c:pt>
                <c:pt idx="278">
                  <c:v>27.703703703703702</c:v>
                </c:pt>
                <c:pt idx="279">
                  <c:v>27.703703703703702</c:v>
                </c:pt>
                <c:pt idx="280">
                  <c:v>27.703703703703702</c:v>
                </c:pt>
                <c:pt idx="281">
                  <c:v>27.703703703703702</c:v>
                </c:pt>
                <c:pt idx="282">
                  <c:v>27.703703703703702</c:v>
                </c:pt>
                <c:pt idx="283">
                  <c:v>27.703703703703702</c:v>
                </c:pt>
                <c:pt idx="284">
                  <c:v>27.703703703703702</c:v>
                </c:pt>
                <c:pt idx="285">
                  <c:v>27.703703703703702</c:v>
                </c:pt>
                <c:pt idx="286">
                  <c:v>27.703703703703702</c:v>
                </c:pt>
                <c:pt idx="287">
                  <c:v>27.703703703703702</c:v>
                </c:pt>
                <c:pt idx="288">
                  <c:v>27.703703703703702</c:v>
                </c:pt>
                <c:pt idx="289">
                  <c:v>27.703703703703702</c:v>
                </c:pt>
                <c:pt idx="290">
                  <c:v>27.703703703703702</c:v>
                </c:pt>
                <c:pt idx="291">
                  <c:v>27.703703703703702</c:v>
                </c:pt>
                <c:pt idx="292">
                  <c:v>27.703703703703702</c:v>
                </c:pt>
                <c:pt idx="293">
                  <c:v>27.703703703703702</c:v>
                </c:pt>
                <c:pt idx="294">
                  <c:v>27.703703703703702</c:v>
                </c:pt>
                <c:pt idx="295">
                  <c:v>27.703703703703702</c:v>
                </c:pt>
                <c:pt idx="296">
                  <c:v>27.703703703703702</c:v>
                </c:pt>
                <c:pt idx="297">
                  <c:v>27.74074074074074</c:v>
                </c:pt>
                <c:pt idx="298">
                  <c:v>27.74074074074074</c:v>
                </c:pt>
                <c:pt idx="299">
                  <c:v>27.74074074074074</c:v>
                </c:pt>
                <c:pt idx="300">
                  <c:v>27.74074074074074</c:v>
                </c:pt>
                <c:pt idx="301">
                  <c:v>27.74074074074074</c:v>
                </c:pt>
                <c:pt idx="302">
                  <c:v>27.814814814814813</c:v>
                </c:pt>
                <c:pt idx="303">
                  <c:v>27.851851851851851</c:v>
                </c:pt>
                <c:pt idx="304">
                  <c:v>27.851851851851851</c:v>
                </c:pt>
                <c:pt idx="305">
                  <c:v>27.851851851851851</c:v>
                </c:pt>
                <c:pt idx="306">
                  <c:v>27.851851851851851</c:v>
                </c:pt>
                <c:pt idx="307">
                  <c:v>27.851851851851851</c:v>
                </c:pt>
                <c:pt idx="308">
                  <c:v>27.851851851851851</c:v>
                </c:pt>
                <c:pt idx="309">
                  <c:v>27.851851851851851</c:v>
                </c:pt>
                <c:pt idx="310">
                  <c:v>27.851851851851851</c:v>
                </c:pt>
                <c:pt idx="311">
                  <c:v>27.851851851851851</c:v>
                </c:pt>
                <c:pt idx="312">
                  <c:v>27.888888888888889</c:v>
                </c:pt>
                <c:pt idx="313">
                  <c:v>27.888888888888889</c:v>
                </c:pt>
                <c:pt idx="314">
                  <c:v>27.888888888888889</c:v>
                </c:pt>
                <c:pt idx="315">
                  <c:v>27.888888888888889</c:v>
                </c:pt>
                <c:pt idx="316">
                  <c:v>27.888888888888889</c:v>
                </c:pt>
                <c:pt idx="317">
                  <c:v>27.888888888888889</c:v>
                </c:pt>
                <c:pt idx="318">
                  <c:v>27.888888888888889</c:v>
                </c:pt>
                <c:pt idx="319">
                  <c:v>27.888888888888889</c:v>
                </c:pt>
                <c:pt idx="320">
                  <c:v>27.888888888888889</c:v>
                </c:pt>
                <c:pt idx="321">
                  <c:v>27.888888888888889</c:v>
                </c:pt>
                <c:pt idx="322">
                  <c:v>27.888888888888889</c:v>
                </c:pt>
                <c:pt idx="323">
                  <c:v>27.888888888888889</c:v>
                </c:pt>
                <c:pt idx="324">
                  <c:v>27.888888888888889</c:v>
                </c:pt>
                <c:pt idx="325">
                  <c:v>27.888888888888889</c:v>
                </c:pt>
                <c:pt idx="326">
                  <c:v>27.888888888888889</c:v>
                </c:pt>
                <c:pt idx="327">
                  <c:v>27.888888888888889</c:v>
                </c:pt>
                <c:pt idx="328">
                  <c:v>27.888888888888889</c:v>
                </c:pt>
                <c:pt idx="329">
                  <c:v>27.888888888888889</c:v>
                </c:pt>
                <c:pt idx="330">
                  <c:v>27.888888888888889</c:v>
                </c:pt>
                <c:pt idx="331">
                  <c:v>27.888888888888889</c:v>
                </c:pt>
                <c:pt idx="332">
                  <c:v>27.888888888888889</c:v>
                </c:pt>
                <c:pt idx="333">
                  <c:v>27.888888888888889</c:v>
                </c:pt>
                <c:pt idx="334">
                  <c:v>27.888888888888889</c:v>
                </c:pt>
                <c:pt idx="335">
                  <c:v>27.888888888888889</c:v>
                </c:pt>
                <c:pt idx="336">
                  <c:v>27.888888888888889</c:v>
                </c:pt>
                <c:pt idx="337">
                  <c:v>27.925925925925927</c:v>
                </c:pt>
                <c:pt idx="338">
                  <c:v>27.925925925925927</c:v>
                </c:pt>
                <c:pt idx="339">
                  <c:v>27.925925925925927</c:v>
                </c:pt>
                <c:pt idx="340">
                  <c:v>27.925925925925927</c:v>
                </c:pt>
                <c:pt idx="341">
                  <c:v>27.925925925925927</c:v>
                </c:pt>
                <c:pt idx="342">
                  <c:v>27.925925925925927</c:v>
                </c:pt>
                <c:pt idx="343">
                  <c:v>27.925925925925927</c:v>
                </c:pt>
                <c:pt idx="344">
                  <c:v>27.925925925925927</c:v>
                </c:pt>
                <c:pt idx="345">
                  <c:v>27.925925925925927</c:v>
                </c:pt>
                <c:pt idx="346">
                  <c:v>27.925925925925927</c:v>
                </c:pt>
                <c:pt idx="347">
                  <c:v>27.925925925925927</c:v>
                </c:pt>
                <c:pt idx="348">
                  <c:v>27.925925925925927</c:v>
                </c:pt>
                <c:pt idx="349">
                  <c:v>27.962962962962962</c:v>
                </c:pt>
                <c:pt idx="350">
                  <c:v>28</c:v>
                </c:pt>
                <c:pt idx="351">
                  <c:v>28</c:v>
                </c:pt>
                <c:pt idx="352">
                  <c:v>28</c:v>
                </c:pt>
                <c:pt idx="353">
                  <c:v>28</c:v>
                </c:pt>
                <c:pt idx="354">
                  <c:v>28</c:v>
                </c:pt>
                <c:pt idx="355">
                  <c:v>28.037037037037038</c:v>
                </c:pt>
                <c:pt idx="356">
                  <c:v>28.074074074074073</c:v>
                </c:pt>
                <c:pt idx="357">
                  <c:v>28.074074074074073</c:v>
                </c:pt>
                <c:pt idx="358">
                  <c:v>28.074074074074073</c:v>
                </c:pt>
                <c:pt idx="359">
                  <c:v>28.074074074074073</c:v>
                </c:pt>
                <c:pt idx="360">
                  <c:v>28.074074074074073</c:v>
                </c:pt>
                <c:pt idx="361">
                  <c:v>28.074074074074073</c:v>
                </c:pt>
                <c:pt idx="362">
                  <c:v>28.074074074074073</c:v>
                </c:pt>
                <c:pt idx="363">
                  <c:v>28.074074074074073</c:v>
                </c:pt>
                <c:pt idx="364">
                  <c:v>28.074074074074073</c:v>
                </c:pt>
                <c:pt idx="365">
                  <c:v>28.074074074074073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FD-EA4B-B36A-1B93F8891374}"/>
            </c:ext>
          </c:extLst>
        </c:ser>
        <c:ser>
          <c:idx val="1"/>
          <c:order val="1"/>
          <c:tx>
            <c:strRef>
              <c:f>List1!$C$4</c:f>
              <c:strCache>
                <c:ptCount val="1"/>
                <c:pt idx="0">
                  <c:v>minimum</c:v>
                </c:pt>
              </c:strCache>
            </c:strRef>
          </c:tx>
          <c:spPr>
            <a:ln w="28800" cap="rnd">
              <a:solidFill>
                <a:srgbClr val="808080">
                  <a:alpha val="6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List1!$C$5:$C$370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2</c:v>
                </c:pt>
                <c:pt idx="149">
                  <c:v>2</c:v>
                </c:pt>
                <c:pt idx="150">
                  <c:v>2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4</c:v>
                </c:pt>
                <c:pt idx="158">
                  <c:v>4</c:v>
                </c:pt>
                <c:pt idx="159">
                  <c:v>5</c:v>
                </c:pt>
                <c:pt idx="160">
                  <c:v>5</c:v>
                </c:pt>
                <c:pt idx="161">
                  <c:v>5</c:v>
                </c:pt>
                <c:pt idx="162">
                  <c:v>5</c:v>
                </c:pt>
                <c:pt idx="163">
                  <c:v>5</c:v>
                </c:pt>
                <c:pt idx="164">
                  <c:v>5</c:v>
                </c:pt>
                <c:pt idx="165">
                  <c:v>5</c:v>
                </c:pt>
                <c:pt idx="166">
                  <c:v>6</c:v>
                </c:pt>
                <c:pt idx="167">
                  <c:v>6</c:v>
                </c:pt>
                <c:pt idx="168">
                  <c:v>6</c:v>
                </c:pt>
                <c:pt idx="169">
                  <c:v>6</c:v>
                </c:pt>
                <c:pt idx="170">
                  <c:v>6</c:v>
                </c:pt>
                <c:pt idx="171">
                  <c:v>6</c:v>
                </c:pt>
                <c:pt idx="172">
                  <c:v>6</c:v>
                </c:pt>
                <c:pt idx="173">
                  <c:v>6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7</c:v>
                </c:pt>
                <c:pt idx="184">
                  <c:v>7</c:v>
                </c:pt>
                <c:pt idx="185">
                  <c:v>7</c:v>
                </c:pt>
                <c:pt idx="186">
                  <c:v>7</c:v>
                </c:pt>
                <c:pt idx="187">
                  <c:v>7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8</c:v>
                </c:pt>
                <c:pt idx="193">
                  <c:v>8</c:v>
                </c:pt>
                <c:pt idx="194">
                  <c:v>8</c:v>
                </c:pt>
                <c:pt idx="195">
                  <c:v>8</c:v>
                </c:pt>
                <c:pt idx="196">
                  <c:v>9</c:v>
                </c:pt>
                <c:pt idx="197">
                  <c:v>10</c:v>
                </c:pt>
                <c:pt idx="198">
                  <c:v>10</c:v>
                </c:pt>
                <c:pt idx="199">
                  <c:v>10</c:v>
                </c:pt>
                <c:pt idx="200">
                  <c:v>10</c:v>
                </c:pt>
                <c:pt idx="201">
                  <c:v>10</c:v>
                </c:pt>
                <c:pt idx="202">
                  <c:v>11</c:v>
                </c:pt>
                <c:pt idx="203">
                  <c:v>11</c:v>
                </c:pt>
                <c:pt idx="204">
                  <c:v>11</c:v>
                </c:pt>
                <c:pt idx="205">
                  <c:v>11</c:v>
                </c:pt>
                <c:pt idx="206">
                  <c:v>11</c:v>
                </c:pt>
                <c:pt idx="207">
                  <c:v>11</c:v>
                </c:pt>
                <c:pt idx="208">
                  <c:v>12</c:v>
                </c:pt>
                <c:pt idx="209">
                  <c:v>12</c:v>
                </c:pt>
                <c:pt idx="210">
                  <c:v>13</c:v>
                </c:pt>
                <c:pt idx="211">
                  <c:v>14</c:v>
                </c:pt>
                <c:pt idx="212">
                  <c:v>14</c:v>
                </c:pt>
                <c:pt idx="213">
                  <c:v>14</c:v>
                </c:pt>
                <c:pt idx="214">
                  <c:v>14</c:v>
                </c:pt>
                <c:pt idx="215">
                  <c:v>14</c:v>
                </c:pt>
                <c:pt idx="216">
                  <c:v>14</c:v>
                </c:pt>
                <c:pt idx="217">
                  <c:v>14</c:v>
                </c:pt>
                <c:pt idx="218">
                  <c:v>14</c:v>
                </c:pt>
                <c:pt idx="219">
                  <c:v>14</c:v>
                </c:pt>
                <c:pt idx="220">
                  <c:v>14</c:v>
                </c:pt>
                <c:pt idx="221">
                  <c:v>14</c:v>
                </c:pt>
                <c:pt idx="222">
                  <c:v>14</c:v>
                </c:pt>
                <c:pt idx="223">
                  <c:v>14</c:v>
                </c:pt>
                <c:pt idx="224">
                  <c:v>14</c:v>
                </c:pt>
                <c:pt idx="225">
                  <c:v>14</c:v>
                </c:pt>
                <c:pt idx="226">
                  <c:v>14</c:v>
                </c:pt>
                <c:pt idx="227">
                  <c:v>14</c:v>
                </c:pt>
                <c:pt idx="228">
                  <c:v>15</c:v>
                </c:pt>
                <c:pt idx="229">
                  <c:v>16</c:v>
                </c:pt>
                <c:pt idx="230">
                  <c:v>16</c:v>
                </c:pt>
                <c:pt idx="231">
                  <c:v>16</c:v>
                </c:pt>
                <c:pt idx="232">
                  <c:v>16</c:v>
                </c:pt>
                <c:pt idx="233">
                  <c:v>16</c:v>
                </c:pt>
                <c:pt idx="234">
                  <c:v>16</c:v>
                </c:pt>
                <c:pt idx="235">
                  <c:v>16</c:v>
                </c:pt>
                <c:pt idx="236">
                  <c:v>16</c:v>
                </c:pt>
                <c:pt idx="237">
                  <c:v>16</c:v>
                </c:pt>
                <c:pt idx="238">
                  <c:v>16</c:v>
                </c:pt>
                <c:pt idx="239">
                  <c:v>16</c:v>
                </c:pt>
                <c:pt idx="240">
                  <c:v>16</c:v>
                </c:pt>
                <c:pt idx="241">
                  <c:v>16</c:v>
                </c:pt>
                <c:pt idx="242">
                  <c:v>16</c:v>
                </c:pt>
                <c:pt idx="243">
                  <c:v>16</c:v>
                </c:pt>
                <c:pt idx="244">
                  <c:v>16</c:v>
                </c:pt>
                <c:pt idx="245">
                  <c:v>17</c:v>
                </c:pt>
                <c:pt idx="246">
                  <c:v>17</c:v>
                </c:pt>
                <c:pt idx="247">
                  <c:v>17</c:v>
                </c:pt>
                <c:pt idx="248">
                  <c:v>17</c:v>
                </c:pt>
                <c:pt idx="249">
                  <c:v>17</c:v>
                </c:pt>
                <c:pt idx="250">
                  <c:v>17</c:v>
                </c:pt>
                <c:pt idx="251">
                  <c:v>17</c:v>
                </c:pt>
                <c:pt idx="252">
                  <c:v>17</c:v>
                </c:pt>
                <c:pt idx="253">
                  <c:v>17</c:v>
                </c:pt>
                <c:pt idx="254">
                  <c:v>17</c:v>
                </c:pt>
                <c:pt idx="255">
                  <c:v>17</c:v>
                </c:pt>
                <c:pt idx="256">
                  <c:v>17</c:v>
                </c:pt>
                <c:pt idx="257">
                  <c:v>17</c:v>
                </c:pt>
                <c:pt idx="258">
                  <c:v>17</c:v>
                </c:pt>
                <c:pt idx="259">
                  <c:v>17</c:v>
                </c:pt>
                <c:pt idx="260">
                  <c:v>18</c:v>
                </c:pt>
                <c:pt idx="261">
                  <c:v>18</c:v>
                </c:pt>
                <c:pt idx="262">
                  <c:v>18</c:v>
                </c:pt>
                <c:pt idx="263">
                  <c:v>18</c:v>
                </c:pt>
                <c:pt idx="264">
                  <c:v>19</c:v>
                </c:pt>
                <c:pt idx="265">
                  <c:v>19</c:v>
                </c:pt>
                <c:pt idx="266">
                  <c:v>19</c:v>
                </c:pt>
                <c:pt idx="267">
                  <c:v>19</c:v>
                </c:pt>
                <c:pt idx="268">
                  <c:v>19</c:v>
                </c:pt>
                <c:pt idx="269">
                  <c:v>19</c:v>
                </c:pt>
                <c:pt idx="270">
                  <c:v>19</c:v>
                </c:pt>
                <c:pt idx="271">
                  <c:v>19</c:v>
                </c:pt>
                <c:pt idx="272">
                  <c:v>19</c:v>
                </c:pt>
                <c:pt idx="273">
                  <c:v>19</c:v>
                </c:pt>
                <c:pt idx="274">
                  <c:v>19</c:v>
                </c:pt>
                <c:pt idx="275">
                  <c:v>19</c:v>
                </c:pt>
                <c:pt idx="276">
                  <c:v>19</c:v>
                </c:pt>
                <c:pt idx="277">
                  <c:v>19</c:v>
                </c:pt>
                <c:pt idx="278">
                  <c:v>19</c:v>
                </c:pt>
                <c:pt idx="279">
                  <c:v>19</c:v>
                </c:pt>
                <c:pt idx="280">
                  <c:v>19</c:v>
                </c:pt>
                <c:pt idx="281">
                  <c:v>19</c:v>
                </c:pt>
                <c:pt idx="282">
                  <c:v>19</c:v>
                </c:pt>
                <c:pt idx="283">
                  <c:v>19</c:v>
                </c:pt>
                <c:pt idx="284">
                  <c:v>19</c:v>
                </c:pt>
                <c:pt idx="285">
                  <c:v>19</c:v>
                </c:pt>
                <c:pt idx="286">
                  <c:v>19</c:v>
                </c:pt>
                <c:pt idx="287">
                  <c:v>19</c:v>
                </c:pt>
                <c:pt idx="288">
                  <c:v>19</c:v>
                </c:pt>
                <c:pt idx="289">
                  <c:v>19</c:v>
                </c:pt>
                <c:pt idx="290">
                  <c:v>19</c:v>
                </c:pt>
                <c:pt idx="291">
                  <c:v>19</c:v>
                </c:pt>
                <c:pt idx="292">
                  <c:v>19</c:v>
                </c:pt>
                <c:pt idx="293">
                  <c:v>19</c:v>
                </c:pt>
                <c:pt idx="294">
                  <c:v>19</c:v>
                </c:pt>
                <c:pt idx="295">
                  <c:v>19</c:v>
                </c:pt>
                <c:pt idx="296">
                  <c:v>19</c:v>
                </c:pt>
                <c:pt idx="297">
                  <c:v>19</c:v>
                </c:pt>
                <c:pt idx="298">
                  <c:v>19</c:v>
                </c:pt>
                <c:pt idx="299">
                  <c:v>19</c:v>
                </c:pt>
                <c:pt idx="300">
                  <c:v>19</c:v>
                </c:pt>
                <c:pt idx="301">
                  <c:v>19</c:v>
                </c:pt>
                <c:pt idx="302">
                  <c:v>19</c:v>
                </c:pt>
                <c:pt idx="303">
                  <c:v>19</c:v>
                </c:pt>
                <c:pt idx="304">
                  <c:v>19</c:v>
                </c:pt>
                <c:pt idx="305">
                  <c:v>19</c:v>
                </c:pt>
                <c:pt idx="306">
                  <c:v>19</c:v>
                </c:pt>
                <c:pt idx="307">
                  <c:v>19</c:v>
                </c:pt>
                <c:pt idx="308">
                  <c:v>19</c:v>
                </c:pt>
                <c:pt idx="309">
                  <c:v>19</c:v>
                </c:pt>
                <c:pt idx="310">
                  <c:v>19</c:v>
                </c:pt>
                <c:pt idx="311">
                  <c:v>19</c:v>
                </c:pt>
                <c:pt idx="312">
                  <c:v>19</c:v>
                </c:pt>
                <c:pt idx="313">
                  <c:v>19</c:v>
                </c:pt>
                <c:pt idx="314">
                  <c:v>19</c:v>
                </c:pt>
                <c:pt idx="315">
                  <c:v>19</c:v>
                </c:pt>
                <c:pt idx="316">
                  <c:v>19</c:v>
                </c:pt>
                <c:pt idx="317">
                  <c:v>19</c:v>
                </c:pt>
                <c:pt idx="318">
                  <c:v>19</c:v>
                </c:pt>
                <c:pt idx="319">
                  <c:v>19</c:v>
                </c:pt>
                <c:pt idx="320">
                  <c:v>19</c:v>
                </c:pt>
                <c:pt idx="321">
                  <c:v>19</c:v>
                </c:pt>
                <c:pt idx="322">
                  <c:v>19</c:v>
                </c:pt>
                <c:pt idx="323">
                  <c:v>19</c:v>
                </c:pt>
                <c:pt idx="324">
                  <c:v>19</c:v>
                </c:pt>
                <c:pt idx="325">
                  <c:v>19</c:v>
                </c:pt>
                <c:pt idx="326">
                  <c:v>19</c:v>
                </c:pt>
                <c:pt idx="327">
                  <c:v>19</c:v>
                </c:pt>
                <c:pt idx="328">
                  <c:v>19</c:v>
                </c:pt>
                <c:pt idx="329">
                  <c:v>19</c:v>
                </c:pt>
                <c:pt idx="330">
                  <c:v>19</c:v>
                </c:pt>
                <c:pt idx="331">
                  <c:v>19</c:v>
                </c:pt>
                <c:pt idx="332">
                  <c:v>19</c:v>
                </c:pt>
                <c:pt idx="333">
                  <c:v>19</c:v>
                </c:pt>
                <c:pt idx="334">
                  <c:v>19</c:v>
                </c:pt>
                <c:pt idx="335">
                  <c:v>19</c:v>
                </c:pt>
                <c:pt idx="336">
                  <c:v>19</c:v>
                </c:pt>
                <c:pt idx="337">
                  <c:v>19</c:v>
                </c:pt>
                <c:pt idx="338">
                  <c:v>19</c:v>
                </c:pt>
                <c:pt idx="339">
                  <c:v>19</c:v>
                </c:pt>
                <c:pt idx="340">
                  <c:v>19</c:v>
                </c:pt>
                <c:pt idx="341">
                  <c:v>19</c:v>
                </c:pt>
                <c:pt idx="342">
                  <c:v>19</c:v>
                </c:pt>
                <c:pt idx="343">
                  <c:v>19</c:v>
                </c:pt>
                <c:pt idx="344">
                  <c:v>19</c:v>
                </c:pt>
                <c:pt idx="345">
                  <c:v>19</c:v>
                </c:pt>
                <c:pt idx="346">
                  <c:v>19</c:v>
                </c:pt>
                <c:pt idx="347">
                  <c:v>19</c:v>
                </c:pt>
                <c:pt idx="348">
                  <c:v>19</c:v>
                </c:pt>
                <c:pt idx="349">
                  <c:v>19</c:v>
                </c:pt>
                <c:pt idx="350">
                  <c:v>19</c:v>
                </c:pt>
                <c:pt idx="351">
                  <c:v>19</c:v>
                </c:pt>
                <c:pt idx="352">
                  <c:v>19</c:v>
                </c:pt>
                <c:pt idx="353">
                  <c:v>19</c:v>
                </c:pt>
                <c:pt idx="354">
                  <c:v>19</c:v>
                </c:pt>
                <c:pt idx="355">
                  <c:v>19</c:v>
                </c:pt>
                <c:pt idx="356">
                  <c:v>19</c:v>
                </c:pt>
                <c:pt idx="357">
                  <c:v>19</c:v>
                </c:pt>
                <c:pt idx="358">
                  <c:v>19</c:v>
                </c:pt>
                <c:pt idx="359">
                  <c:v>19</c:v>
                </c:pt>
                <c:pt idx="360">
                  <c:v>19</c:v>
                </c:pt>
                <c:pt idx="361">
                  <c:v>19</c:v>
                </c:pt>
                <c:pt idx="362">
                  <c:v>19</c:v>
                </c:pt>
                <c:pt idx="363">
                  <c:v>19</c:v>
                </c:pt>
                <c:pt idx="364">
                  <c:v>19</c:v>
                </c:pt>
                <c:pt idx="365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FD-EA4B-B36A-1B93F8891374}"/>
            </c:ext>
          </c:extLst>
        </c:ser>
        <c:ser>
          <c:idx val="2"/>
          <c:order val="2"/>
          <c:tx>
            <c:strRef>
              <c:f>List1!$D$4</c:f>
              <c:strCache>
                <c:ptCount val="1"/>
                <c:pt idx="0">
                  <c:v>maximum</c:v>
                </c:pt>
              </c:strCache>
            </c:strRef>
          </c:tx>
          <c:spPr>
            <a:ln w="28800" cap="rnd">
              <a:solidFill>
                <a:srgbClr val="808080">
                  <a:alpha val="6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List1!$D$5:$D$370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5</c:v>
                </c:pt>
                <c:pt idx="117">
                  <c:v>5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7</c:v>
                </c:pt>
                <c:pt idx="122">
                  <c:v>8</c:v>
                </c:pt>
                <c:pt idx="123">
                  <c:v>8</c:v>
                </c:pt>
                <c:pt idx="124">
                  <c:v>8</c:v>
                </c:pt>
                <c:pt idx="125">
                  <c:v>8</c:v>
                </c:pt>
                <c:pt idx="126">
                  <c:v>9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10</c:v>
                </c:pt>
                <c:pt idx="138">
                  <c:v>10</c:v>
                </c:pt>
                <c:pt idx="139">
                  <c:v>10</c:v>
                </c:pt>
                <c:pt idx="140">
                  <c:v>10</c:v>
                </c:pt>
                <c:pt idx="141">
                  <c:v>10</c:v>
                </c:pt>
                <c:pt idx="142">
                  <c:v>10</c:v>
                </c:pt>
                <c:pt idx="143">
                  <c:v>11</c:v>
                </c:pt>
                <c:pt idx="144">
                  <c:v>12</c:v>
                </c:pt>
                <c:pt idx="145">
                  <c:v>12</c:v>
                </c:pt>
                <c:pt idx="146">
                  <c:v>12</c:v>
                </c:pt>
                <c:pt idx="147">
                  <c:v>13</c:v>
                </c:pt>
                <c:pt idx="148">
                  <c:v>13</c:v>
                </c:pt>
                <c:pt idx="149">
                  <c:v>13</c:v>
                </c:pt>
                <c:pt idx="150">
                  <c:v>13</c:v>
                </c:pt>
                <c:pt idx="151">
                  <c:v>13</c:v>
                </c:pt>
                <c:pt idx="152">
                  <c:v>13</c:v>
                </c:pt>
                <c:pt idx="153">
                  <c:v>13</c:v>
                </c:pt>
                <c:pt idx="154">
                  <c:v>13</c:v>
                </c:pt>
                <c:pt idx="155">
                  <c:v>13</c:v>
                </c:pt>
                <c:pt idx="156">
                  <c:v>13</c:v>
                </c:pt>
                <c:pt idx="157">
                  <c:v>13</c:v>
                </c:pt>
                <c:pt idx="158">
                  <c:v>13</c:v>
                </c:pt>
                <c:pt idx="159">
                  <c:v>14</c:v>
                </c:pt>
                <c:pt idx="160">
                  <c:v>15</c:v>
                </c:pt>
                <c:pt idx="161">
                  <c:v>15</c:v>
                </c:pt>
                <c:pt idx="162">
                  <c:v>15</c:v>
                </c:pt>
                <c:pt idx="163">
                  <c:v>15</c:v>
                </c:pt>
                <c:pt idx="164">
                  <c:v>15</c:v>
                </c:pt>
                <c:pt idx="165">
                  <c:v>16</c:v>
                </c:pt>
                <c:pt idx="166">
                  <c:v>16</c:v>
                </c:pt>
                <c:pt idx="167">
                  <c:v>16</c:v>
                </c:pt>
                <c:pt idx="168">
                  <c:v>16</c:v>
                </c:pt>
                <c:pt idx="169">
                  <c:v>16</c:v>
                </c:pt>
                <c:pt idx="170">
                  <c:v>16</c:v>
                </c:pt>
                <c:pt idx="171">
                  <c:v>16</c:v>
                </c:pt>
                <c:pt idx="172">
                  <c:v>16</c:v>
                </c:pt>
                <c:pt idx="173">
                  <c:v>17</c:v>
                </c:pt>
                <c:pt idx="174">
                  <c:v>17</c:v>
                </c:pt>
                <c:pt idx="175">
                  <c:v>17</c:v>
                </c:pt>
                <c:pt idx="176">
                  <c:v>18</c:v>
                </c:pt>
                <c:pt idx="177">
                  <c:v>18</c:v>
                </c:pt>
                <c:pt idx="178">
                  <c:v>18</c:v>
                </c:pt>
                <c:pt idx="179">
                  <c:v>18</c:v>
                </c:pt>
                <c:pt idx="180">
                  <c:v>18</c:v>
                </c:pt>
                <c:pt idx="181">
                  <c:v>19</c:v>
                </c:pt>
                <c:pt idx="182">
                  <c:v>19</c:v>
                </c:pt>
                <c:pt idx="183">
                  <c:v>20</c:v>
                </c:pt>
                <c:pt idx="184">
                  <c:v>21</c:v>
                </c:pt>
                <c:pt idx="185">
                  <c:v>21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23</c:v>
                </c:pt>
                <c:pt idx="195">
                  <c:v>23</c:v>
                </c:pt>
                <c:pt idx="196">
                  <c:v>23</c:v>
                </c:pt>
                <c:pt idx="197">
                  <c:v>23</c:v>
                </c:pt>
                <c:pt idx="198">
                  <c:v>24</c:v>
                </c:pt>
                <c:pt idx="199">
                  <c:v>24</c:v>
                </c:pt>
                <c:pt idx="200">
                  <c:v>24</c:v>
                </c:pt>
                <c:pt idx="201">
                  <c:v>24</c:v>
                </c:pt>
                <c:pt idx="202">
                  <c:v>24</c:v>
                </c:pt>
                <c:pt idx="203">
                  <c:v>24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26</c:v>
                </c:pt>
                <c:pt idx="208">
                  <c:v>27</c:v>
                </c:pt>
                <c:pt idx="209">
                  <c:v>28</c:v>
                </c:pt>
                <c:pt idx="210">
                  <c:v>29</c:v>
                </c:pt>
                <c:pt idx="211">
                  <c:v>29</c:v>
                </c:pt>
                <c:pt idx="212">
                  <c:v>30</c:v>
                </c:pt>
                <c:pt idx="213">
                  <c:v>30</c:v>
                </c:pt>
                <c:pt idx="214">
                  <c:v>30</c:v>
                </c:pt>
                <c:pt idx="215">
                  <c:v>31</c:v>
                </c:pt>
                <c:pt idx="216">
                  <c:v>32</c:v>
                </c:pt>
                <c:pt idx="217">
                  <c:v>33</c:v>
                </c:pt>
                <c:pt idx="218">
                  <c:v>33</c:v>
                </c:pt>
                <c:pt idx="219">
                  <c:v>33</c:v>
                </c:pt>
                <c:pt idx="220">
                  <c:v>33</c:v>
                </c:pt>
                <c:pt idx="221">
                  <c:v>33</c:v>
                </c:pt>
                <c:pt idx="222">
                  <c:v>33</c:v>
                </c:pt>
                <c:pt idx="223">
                  <c:v>33</c:v>
                </c:pt>
                <c:pt idx="224">
                  <c:v>33</c:v>
                </c:pt>
                <c:pt idx="225">
                  <c:v>33</c:v>
                </c:pt>
                <c:pt idx="226">
                  <c:v>33</c:v>
                </c:pt>
                <c:pt idx="227">
                  <c:v>33</c:v>
                </c:pt>
                <c:pt idx="228">
                  <c:v>33</c:v>
                </c:pt>
                <c:pt idx="229">
                  <c:v>33</c:v>
                </c:pt>
                <c:pt idx="230">
                  <c:v>33</c:v>
                </c:pt>
                <c:pt idx="231">
                  <c:v>33</c:v>
                </c:pt>
                <c:pt idx="232">
                  <c:v>33</c:v>
                </c:pt>
                <c:pt idx="233">
                  <c:v>33</c:v>
                </c:pt>
                <c:pt idx="234">
                  <c:v>33</c:v>
                </c:pt>
                <c:pt idx="235">
                  <c:v>33</c:v>
                </c:pt>
                <c:pt idx="236">
                  <c:v>33</c:v>
                </c:pt>
                <c:pt idx="237">
                  <c:v>33</c:v>
                </c:pt>
                <c:pt idx="238">
                  <c:v>33</c:v>
                </c:pt>
                <c:pt idx="239">
                  <c:v>33</c:v>
                </c:pt>
                <c:pt idx="240">
                  <c:v>33</c:v>
                </c:pt>
                <c:pt idx="241">
                  <c:v>33</c:v>
                </c:pt>
                <c:pt idx="242">
                  <c:v>34</c:v>
                </c:pt>
                <c:pt idx="243">
                  <c:v>34</c:v>
                </c:pt>
                <c:pt idx="244">
                  <c:v>34</c:v>
                </c:pt>
                <c:pt idx="245">
                  <c:v>34</c:v>
                </c:pt>
                <c:pt idx="246">
                  <c:v>34</c:v>
                </c:pt>
                <c:pt idx="247">
                  <c:v>34</c:v>
                </c:pt>
                <c:pt idx="248">
                  <c:v>34</c:v>
                </c:pt>
                <c:pt idx="249">
                  <c:v>35</c:v>
                </c:pt>
                <c:pt idx="250">
                  <c:v>36</c:v>
                </c:pt>
                <c:pt idx="251">
                  <c:v>37</c:v>
                </c:pt>
                <c:pt idx="252">
                  <c:v>37</c:v>
                </c:pt>
                <c:pt idx="253">
                  <c:v>37</c:v>
                </c:pt>
                <c:pt idx="254">
                  <c:v>37</c:v>
                </c:pt>
                <c:pt idx="255">
                  <c:v>37</c:v>
                </c:pt>
                <c:pt idx="256">
                  <c:v>37</c:v>
                </c:pt>
                <c:pt idx="257">
                  <c:v>37</c:v>
                </c:pt>
                <c:pt idx="258">
                  <c:v>37</c:v>
                </c:pt>
                <c:pt idx="259">
                  <c:v>37</c:v>
                </c:pt>
                <c:pt idx="260">
                  <c:v>37</c:v>
                </c:pt>
                <c:pt idx="261">
                  <c:v>37</c:v>
                </c:pt>
                <c:pt idx="262">
                  <c:v>38</c:v>
                </c:pt>
                <c:pt idx="263">
                  <c:v>39</c:v>
                </c:pt>
                <c:pt idx="264">
                  <c:v>39</c:v>
                </c:pt>
                <c:pt idx="265">
                  <c:v>39</c:v>
                </c:pt>
                <c:pt idx="266">
                  <c:v>39</c:v>
                </c:pt>
                <c:pt idx="267">
                  <c:v>39</c:v>
                </c:pt>
                <c:pt idx="268">
                  <c:v>39</c:v>
                </c:pt>
                <c:pt idx="269">
                  <c:v>39</c:v>
                </c:pt>
                <c:pt idx="270">
                  <c:v>39</c:v>
                </c:pt>
                <c:pt idx="271">
                  <c:v>39</c:v>
                </c:pt>
                <c:pt idx="272">
                  <c:v>39</c:v>
                </c:pt>
                <c:pt idx="273">
                  <c:v>39</c:v>
                </c:pt>
                <c:pt idx="274">
                  <c:v>40</c:v>
                </c:pt>
                <c:pt idx="275">
                  <c:v>40</c:v>
                </c:pt>
                <c:pt idx="276">
                  <c:v>40</c:v>
                </c:pt>
                <c:pt idx="277">
                  <c:v>40</c:v>
                </c:pt>
                <c:pt idx="278">
                  <c:v>40</c:v>
                </c:pt>
                <c:pt idx="279">
                  <c:v>40</c:v>
                </c:pt>
                <c:pt idx="280">
                  <c:v>40</c:v>
                </c:pt>
                <c:pt idx="281">
                  <c:v>40</c:v>
                </c:pt>
                <c:pt idx="282">
                  <c:v>40</c:v>
                </c:pt>
                <c:pt idx="283">
                  <c:v>40</c:v>
                </c:pt>
                <c:pt idx="284">
                  <c:v>40</c:v>
                </c:pt>
                <c:pt idx="285">
                  <c:v>40</c:v>
                </c:pt>
                <c:pt idx="286">
                  <c:v>40</c:v>
                </c:pt>
                <c:pt idx="287">
                  <c:v>40</c:v>
                </c:pt>
                <c:pt idx="288">
                  <c:v>40</c:v>
                </c:pt>
                <c:pt idx="289">
                  <c:v>40</c:v>
                </c:pt>
                <c:pt idx="290">
                  <c:v>40</c:v>
                </c:pt>
                <c:pt idx="291">
                  <c:v>40</c:v>
                </c:pt>
                <c:pt idx="292">
                  <c:v>40</c:v>
                </c:pt>
                <c:pt idx="293">
                  <c:v>40</c:v>
                </c:pt>
                <c:pt idx="294">
                  <c:v>40</c:v>
                </c:pt>
                <c:pt idx="295">
                  <c:v>40</c:v>
                </c:pt>
                <c:pt idx="296">
                  <c:v>40</c:v>
                </c:pt>
                <c:pt idx="297">
                  <c:v>40</c:v>
                </c:pt>
                <c:pt idx="298">
                  <c:v>40</c:v>
                </c:pt>
                <c:pt idx="299">
                  <c:v>40</c:v>
                </c:pt>
                <c:pt idx="300">
                  <c:v>40</c:v>
                </c:pt>
                <c:pt idx="301">
                  <c:v>40</c:v>
                </c:pt>
                <c:pt idx="302">
                  <c:v>40</c:v>
                </c:pt>
                <c:pt idx="303">
                  <c:v>40</c:v>
                </c:pt>
                <c:pt idx="304">
                  <c:v>40</c:v>
                </c:pt>
                <c:pt idx="305">
                  <c:v>40</c:v>
                </c:pt>
                <c:pt idx="306">
                  <c:v>40</c:v>
                </c:pt>
                <c:pt idx="307">
                  <c:v>40</c:v>
                </c:pt>
                <c:pt idx="308">
                  <c:v>40</c:v>
                </c:pt>
                <c:pt idx="309">
                  <c:v>40</c:v>
                </c:pt>
                <c:pt idx="310">
                  <c:v>40</c:v>
                </c:pt>
                <c:pt idx="311">
                  <c:v>40</c:v>
                </c:pt>
                <c:pt idx="312">
                  <c:v>40</c:v>
                </c:pt>
                <c:pt idx="313">
                  <c:v>40</c:v>
                </c:pt>
                <c:pt idx="314">
                  <c:v>40</c:v>
                </c:pt>
                <c:pt idx="315">
                  <c:v>40</c:v>
                </c:pt>
                <c:pt idx="316">
                  <c:v>40</c:v>
                </c:pt>
                <c:pt idx="317">
                  <c:v>40</c:v>
                </c:pt>
                <c:pt idx="318">
                  <c:v>40</c:v>
                </c:pt>
                <c:pt idx="319">
                  <c:v>40</c:v>
                </c:pt>
                <c:pt idx="320">
                  <c:v>40</c:v>
                </c:pt>
                <c:pt idx="321">
                  <c:v>40</c:v>
                </c:pt>
                <c:pt idx="322">
                  <c:v>40</c:v>
                </c:pt>
                <c:pt idx="323">
                  <c:v>40</c:v>
                </c:pt>
                <c:pt idx="324">
                  <c:v>40</c:v>
                </c:pt>
                <c:pt idx="325">
                  <c:v>40</c:v>
                </c:pt>
                <c:pt idx="326">
                  <c:v>40</c:v>
                </c:pt>
                <c:pt idx="327">
                  <c:v>40</c:v>
                </c:pt>
                <c:pt idx="328">
                  <c:v>40</c:v>
                </c:pt>
                <c:pt idx="329">
                  <c:v>40</c:v>
                </c:pt>
                <c:pt idx="330">
                  <c:v>40</c:v>
                </c:pt>
                <c:pt idx="331">
                  <c:v>40</c:v>
                </c:pt>
                <c:pt idx="332">
                  <c:v>40</c:v>
                </c:pt>
                <c:pt idx="333">
                  <c:v>40</c:v>
                </c:pt>
                <c:pt idx="334">
                  <c:v>40</c:v>
                </c:pt>
                <c:pt idx="335">
                  <c:v>40</c:v>
                </c:pt>
                <c:pt idx="336">
                  <c:v>40</c:v>
                </c:pt>
                <c:pt idx="337">
                  <c:v>40</c:v>
                </c:pt>
                <c:pt idx="338">
                  <c:v>40</c:v>
                </c:pt>
                <c:pt idx="339">
                  <c:v>40</c:v>
                </c:pt>
                <c:pt idx="340">
                  <c:v>40</c:v>
                </c:pt>
                <c:pt idx="341">
                  <c:v>40</c:v>
                </c:pt>
                <c:pt idx="342">
                  <c:v>40</c:v>
                </c:pt>
                <c:pt idx="343">
                  <c:v>40</c:v>
                </c:pt>
                <c:pt idx="344">
                  <c:v>40</c:v>
                </c:pt>
                <c:pt idx="345">
                  <c:v>40</c:v>
                </c:pt>
                <c:pt idx="346">
                  <c:v>40</c:v>
                </c:pt>
                <c:pt idx="347">
                  <c:v>40</c:v>
                </c:pt>
                <c:pt idx="348">
                  <c:v>40</c:v>
                </c:pt>
                <c:pt idx="349">
                  <c:v>40</c:v>
                </c:pt>
                <c:pt idx="350">
                  <c:v>40</c:v>
                </c:pt>
                <c:pt idx="351">
                  <c:v>40</c:v>
                </c:pt>
                <c:pt idx="352">
                  <c:v>40</c:v>
                </c:pt>
                <c:pt idx="353">
                  <c:v>40</c:v>
                </c:pt>
                <c:pt idx="354">
                  <c:v>40</c:v>
                </c:pt>
                <c:pt idx="355">
                  <c:v>40</c:v>
                </c:pt>
                <c:pt idx="356">
                  <c:v>40</c:v>
                </c:pt>
                <c:pt idx="357">
                  <c:v>40</c:v>
                </c:pt>
                <c:pt idx="358">
                  <c:v>40</c:v>
                </c:pt>
                <c:pt idx="359">
                  <c:v>40</c:v>
                </c:pt>
                <c:pt idx="360">
                  <c:v>40</c:v>
                </c:pt>
                <c:pt idx="361">
                  <c:v>40</c:v>
                </c:pt>
                <c:pt idx="362">
                  <c:v>40</c:v>
                </c:pt>
                <c:pt idx="363">
                  <c:v>40</c:v>
                </c:pt>
                <c:pt idx="364">
                  <c:v>40</c:v>
                </c:pt>
                <c:pt idx="365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FD-EA4B-B36A-1B93F88913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6289763"/>
        <c:axId val="45040002"/>
      </c:lineChart>
      <c:catAx>
        <c:axId val="462897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DejaVu Sans"/>
              </a:defRPr>
            </a:pPr>
            <a:endParaRPr lang="cs-CZ"/>
          </a:p>
        </c:txPr>
        <c:crossAx val="45040002"/>
        <c:crosses val="autoZero"/>
        <c:auto val="1"/>
        <c:lblAlgn val="ctr"/>
        <c:lblOffset val="100"/>
        <c:noMultiLvlLbl val="0"/>
      </c:catAx>
      <c:valAx>
        <c:axId val="45040002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0.0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DejaVu Sans"/>
              </a:defRPr>
            </a:pPr>
            <a:endParaRPr lang="cs-CZ"/>
          </a:p>
        </c:txPr>
        <c:crossAx val="46289763"/>
        <c:crossesAt val="1"/>
        <c:crossBetween val="between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300" b="0" u="none" strike="noStrike">
                <a:solidFill>
                  <a:srgbClr val="000000"/>
                </a:solidFill>
                <a:uFillTx/>
                <a:latin typeface="Calibri"/>
                <a:ea typeface="DejaVu Sans"/>
              </a:rPr>
              <a:t>Mean TD 1999-2025, last year vs current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List1!$B$4</c:f>
              <c:strCache>
                <c:ptCount val="1"/>
                <c:pt idx="0">
                  <c:v>average</c:v>
                </c:pt>
              </c:strCache>
            </c:strRef>
          </c:tx>
          <c:spPr>
            <a:ln w="36000" cap="rnd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360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List1!$B$5:$B$370</c:f>
              <c:numCache>
                <c:formatCode>0.0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3.7037037037037035E-2</c:v>
                </c:pt>
                <c:pt idx="3">
                  <c:v>7.407407407407407E-2</c:v>
                </c:pt>
                <c:pt idx="4">
                  <c:v>0.1111111111111111</c:v>
                </c:pt>
                <c:pt idx="5">
                  <c:v>0.1111111111111111</c:v>
                </c:pt>
                <c:pt idx="6">
                  <c:v>0.1111111111111111</c:v>
                </c:pt>
                <c:pt idx="7">
                  <c:v>0.1111111111111111</c:v>
                </c:pt>
                <c:pt idx="8">
                  <c:v>0.1111111111111111</c:v>
                </c:pt>
                <c:pt idx="9">
                  <c:v>0.1111111111111111</c:v>
                </c:pt>
                <c:pt idx="10">
                  <c:v>0.1111111111111111</c:v>
                </c:pt>
                <c:pt idx="11">
                  <c:v>0.14814814814814814</c:v>
                </c:pt>
                <c:pt idx="12">
                  <c:v>0.14814814814814814</c:v>
                </c:pt>
                <c:pt idx="13">
                  <c:v>0.18518518518518517</c:v>
                </c:pt>
                <c:pt idx="14">
                  <c:v>0.18518518518518517</c:v>
                </c:pt>
                <c:pt idx="15">
                  <c:v>0.22222222222222221</c:v>
                </c:pt>
                <c:pt idx="16">
                  <c:v>0.22222222222222221</c:v>
                </c:pt>
                <c:pt idx="17">
                  <c:v>0.25925925925925924</c:v>
                </c:pt>
                <c:pt idx="18">
                  <c:v>0.25925925925925924</c:v>
                </c:pt>
                <c:pt idx="19">
                  <c:v>0.25925925925925924</c:v>
                </c:pt>
                <c:pt idx="20">
                  <c:v>0.25925925925925924</c:v>
                </c:pt>
                <c:pt idx="21">
                  <c:v>0.25925925925925924</c:v>
                </c:pt>
                <c:pt idx="22">
                  <c:v>0.25925925925925924</c:v>
                </c:pt>
                <c:pt idx="23">
                  <c:v>0.25925925925925924</c:v>
                </c:pt>
                <c:pt idx="24">
                  <c:v>0.25925925925925924</c:v>
                </c:pt>
                <c:pt idx="25">
                  <c:v>0.25925925925925924</c:v>
                </c:pt>
                <c:pt idx="26">
                  <c:v>0.25925925925925924</c:v>
                </c:pt>
                <c:pt idx="27">
                  <c:v>0.25925925925925924</c:v>
                </c:pt>
                <c:pt idx="28">
                  <c:v>0.25925925925925924</c:v>
                </c:pt>
                <c:pt idx="29">
                  <c:v>0.25925925925925924</c:v>
                </c:pt>
                <c:pt idx="30">
                  <c:v>0.25925925925925924</c:v>
                </c:pt>
                <c:pt idx="31">
                  <c:v>0.29629629629629628</c:v>
                </c:pt>
                <c:pt idx="32">
                  <c:v>0.29629629629629628</c:v>
                </c:pt>
                <c:pt idx="33">
                  <c:v>0.29629629629629628</c:v>
                </c:pt>
                <c:pt idx="34">
                  <c:v>0.33333333333333331</c:v>
                </c:pt>
                <c:pt idx="35">
                  <c:v>0.33333333333333331</c:v>
                </c:pt>
                <c:pt idx="36">
                  <c:v>0.33333333333333331</c:v>
                </c:pt>
                <c:pt idx="37">
                  <c:v>0.33333333333333331</c:v>
                </c:pt>
                <c:pt idx="38">
                  <c:v>0.33333333333333331</c:v>
                </c:pt>
                <c:pt idx="39">
                  <c:v>0.33333333333333331</c:v>
                </c:pt>
                <c:pt idx="40">
                  <c:v>0.37037037037037035</c:v>
                </c:pt>
                <c:pt idx="41">
                  <c:v>0.40740740740740738</c:v>
                </c:pt>
                <c:pt idx="42">
                  <c:v>0.40740740740740738</c:v>
                </c:pt>
                <c:pt idx="43">
                  <c:v>0.40740740740740738</c:v>
                </c:pt>
                <c:pt idx="44">
                  <c:v>0.40740740740740738</c:v>
                </c:pt>
                <c:pt idx="45">
                  <c:v>0.40740740740740738</c:v>
                </c:pt>
                <c:pt idx="46">
                  <c:v>0.40740740740740738</c:v>
                </c:pt>
                <c:pt idx="47">
                  <c:v>0.40740740740740738</c:v>
                </c:pt>
                <c:pt idx="48">
                  <c:v>0.40740740740740738</c:v>
                </c:pt>
                <c:pt idx="49">
                  <c:v>0.40740740740740738</c:v>
                </c:pt>
                <c:pt idx="50">
                  <c:v>0.40740740740740738</c:v>
                </c:pt>
                <c:pt idx="51">
                  <c:v>0.40740740740740738</c:v>
                </c:pt>
                <c:pt idx="52">
                  <c:v>0.40740740740740738</c:v>
                </c:pt>
                <c:pt idx="53">
                  <c:v>0.44444444444444442</c:v>
                </c:pt>
                <c:pt idx="54">
                  <c:v>0.44444444444444442</c:v>
                </c:pt>
                <c:pt idx="55">
                  <c:v>0.44444444444444442</c:v>
                </c:pt>
                <c:pt idx="56">
                  <c:v>0.44444444444444442</c:v>
                </c:pt>
                <c:pt idx="57">
                  <c:v>0.48148148148148145</c:v>
                </c:pt>
                <c:pt idx="58">
                  <c:v>0.51851851851851849</c:v>
                </c:pt>
                <c:pt idx="59">
                  <c:v>0.51851851851851849</c:v>
                </c:pt>
                <c:pt idx="60">
                  <c:v>0.55555555555555558</c:v>
                </c:pt>
                <c:pt idx="61">
                  <c:v>0.55555555555555558</c:v>
                </c:pt>
                <c:pt idx="62">
                  <c:v>0.55555555555555558</c:v>
                </c:pt>
                <c:pt idx="63">
                  <c:v>0.55555555555555558</c:v>
                </c:pt>
                <c:pt idx="64">
                  <c:v>0.59259259259259256</c:v>
                </c:pt>
                <c:pt idx="65">
                  <c:v>0.59259259259259256</c:v>
                </c:pt>
                <c:pt idx="66">
                  <c:v>0.59259259259259256</c:v>
                </c:pt>
                <c:pt idx="67">
                  <c:v>0.59259259259259256</c:v>
                </c:pt>
                <c:pt idx="68">
                  <c:v>0.59259259259259256</c:v>
                </c:pt>
                <c:pt idx="69">
                  <c:v>0.66666666666666663</c:v>
                </c:pt>
                <c:pt idx="70">
                  <c:v>0.66666666666666663</c:v>
                </c:pt>
                <c:pt idx="71">
                  <c:v>0.66666666666666663</c:v>
                </c:pt>
                <c:pt idx="72">
                  <c:v>0.66666666666666663</c:v>
                </c:pt>
                <c:pt idx="73">
                  <c:v>0.70370370370370372</c:v>
                </c:pt>
                <c:pt idx="74">
                  <c:v>0.7407407407407407</c:v>
                </c:pt>
                <c:pt idx="75">
                  <c:v>0.7407407407407407</c:v>
                </c:pt>
                <c:pt idx="76">
                  <c:v>0.7407407407407407</c:v>
                </c:pt>
                <c:pt idx="77">
                  <c:v>0.7407407407407407</c:v>
                </c:pt>
                <c:pt idx="78">
                  <c:v>0.7407407407407407</c:v>
                </c:pt>
                <c:pt idx="79">
                  <c:v>0.7407407407407407</c:v>
                </c:pt>
                <c:pt idx="80">
                  <c:v>0.7407407407407407</c:v>
                </c:pt>
                <c:pt idx="81">
                  <c:v>0.7407407407407407</c:v>
                </c:pt>
                <c:pt idx="82">
                  <c:v>0.77777777777777779</c:v>
                </c:pt>
                <c:pt idx="83">
                  <c:v>0.77777777777777779</c:v>
                </c:pt>
                <c:pt idx="84">
                  <c:v>0.77777777777777779</c:v>
                </c:pt>
                <c:pt idx="85">
                  <c:v>0.81481481481481477</c:v>
                </c:pt>
                <c:pt idx="86">
                  <c:v>0.81481481481481477</c:v>
                </c:pt>
                <c:pt idx="87">
                  <c:v>0.81481481481481477</c:v>
                </c:pt>
                <c:pt idx="88">
                  <c:v>0.81481481481481477</c:v>
                </c:pt>
                <c:pt idx="89">
                  <c:v>0.85185185185185186</c:v>
                </c:pt>
                <c:pt idx="90">
                  <c:v>0.88888888888888884</c:v>
                </c:pt>
                <c:pt idx="91">
                  <c:v>0.88888888888888884</c:v>
                </c:pt>
                <c:pt idx="92">
                  <c:v>0.88888888888888884</c:v>
                </c:pt>
                <c:pt idx="93">
                  <c:v>0.96296296296296291</c:v>
                </c:pt>
                <c:pt idx="94">
                  <c:v>1.037037037037037</c:v>
                </c:pt>
                <c:pt idx="95">
                  <c:v>1.1111111111111112</c:v>
                </c:pt>
                <c:pt idx="96">
                  <c:v>1.1481481481481481</c:v>
                </c:pt>
                <c:pt idx="97">
                  <c:v>1.1481481481481481</c:v>
                </c:pt>
                <c:pt idx="98">
                  <c:v>1.1851851851851851</c:v>
                </c:pt>
                <c:pt idx="99">
                  <c:v>1.2222222222222223</c:v>
                </c:pt>
                <c:pt idx="100">
                  <c:v>1.2222222222222223</c:v>
                </c:pt>
                <c:pt idx="101">
                  <c:v>1.2592592592592593</c:v>
                </c:pt>
                <c:pt idx="102">
                  <c:v>1.2962962962962963</c:v>
                </c:pt>
                <c:pt idx="103">
                  <c:v>1.2962962962962963</c:v>
                </c:pt>
                <c:pt idx="104">
                  <c:v>1.3703703703703705</c:v>
                </c:pt>
                <c:pt idx="105">
                  <c:v>1.4074074074074074</c:v>
                </c:pt>
                <c:pt idx="106">
                  <c:v>1.4074074074074074</c:v>
                </c:pt>
                <c:pt idx="107">
                  <c:v>1.4444444444444444</c:v>
                </c:pt>
                <c:pt idx="108">
                  <c:v>1.5185185185185186</c:v>
                </c:pt>
                <c:pt idx="109">
                  <c:v>1.5925925925925926</c:v>
                </c:pt>
                <c:pt idx="110">
                  <c:v>1.5925925925925926</c:v>
                </c:pt>
                <c:pt idx="111">
                  <c:v>1.5925925925925926</c:v>
                </c:pt>
                <c:pt idx="112">
                  <c:v>1.6666666666666667</c:v>
                </c:pt>
                <c:pt idx="113">
                  <c:v>1.7407407407407407</c:v>
                </c:pt>
                <c:pt idx="114">
                  <c:v>1.8148148148148149</c:v>
                </c:pt>
                <c:pt idx="115">
                  <c:v>1.8518518518518519</c:v>
                </c:pt>
                <c:pt idx="116">
                  <c:v>2</c:v>
                </c:pt>
                <c:pt idx="117">
                  <c:v>2.1481481481481484</c:v>
                </c:pt>
                <c:pt idx="118">
                  <c:v>2.2222222222222223</c:v>
                </c:pt>
                <c:pt idx="119">
                  <c:v>2.2592592592592591</c:v>
                </c:pt>
                <c:pt idx="120">
                  <c:v>2.3703703703703702</c:v>
                </c:pt>
                <c:pt idx="121">
                  <c:v>2.4814814814814814</c:v>
                </c:pt>
                <c:pt idx="122">
                  <c:v>2.7037037037037037</c:v>
                </c:pt>
                <c:pt idx="123">
                  <c:v>2.8148148148148149</c:v>
                </c:pt>
                <c:pt idx="124">
                  <c:v>2.8518518518518516</c:v>
                </c:pt>
                <c:pt idx="125">
                  <c:v>3</c:v>
                </c:pt>
                <c:pt idx="126">
                  <c:v>3.1481481481481484</c:v>
                </c:pt>
                <c:pt idx="127">
                  <c:v>3.1851851851851851</c:v>
                </c:pt>
                <c:pt idx="128">
                  <c:v>3.3333333333333335</c:v>
                </c:pt>
                <c:pt idx="129">
                  <c:v>3.5925925925925926</c:v>
                </c:pt>
                <c:pt idx="130">
                  <c:v>3.7037037037037037</c:v>
                </c:pt>
                <c:pt idx="131">
                  <c:v>3.8888888888888888</c:v>
                </c:pt>
                <c:pt idx="132">
                  <c:v>4.0740740740740744</c:v>
                </c:pt>
                <c:pt idx="133">
                  <c:v>4.1851851851851851</c:v>
                </c:pt>
                <c:pt idx="134">
                  <c:v>4.333333333333333</c:v>
                </c:pt>
                <c:pt idx="135">
                  <c:v>4.4814814814814818</c:v>
                </c:pt>
                <c:pt idx="136">
                  <c:v>4.666666666666667</c:v>
                </c:pt>
                <c:pt idx="137">
                  <c:v>4.8148148148148149</c:v>
                </c:pt>
                <c:pt idx="138">
                  <c:v>4.9259259259259256</c:v>
                </c:pt>
                <c:pt idx="139">
                  <c:v>5.1111111111111107</c:v>
                </c:pt>
                <c:pt idx="140">
                  <c:v>5.333333333333333</c:v>
                </c:pt>
                <c:pt idx="141">
                  <c:v>5.5185185185185182</c:v>
                </c:pt>
                <c:pt idx="142">
                  <c:v>5.6296296296296298</c:v>
                </c:pt>
                <c:pt idx="143">
                  <c:v>5.9259259259259256</c:v>
                </c:pt>
                <c:pt idx="144">
                  <c:v>6.0740740740740744</c:v>
                </c:pt>
                <c:pt idx="145">
                  <c:v>6.2962962962962967</c:v>
                </c:pt>
                <c:pt idx="146">
                  <c:v>6.4814814814814818</c:v>
                </c:pt>
                <c:pt idx="147">
                  <c:v>6.5925925925925926</c:v>
                </c:pt>
                <c:pt idx="148">
                  <c:v>6.7777777777777777</c:v>
                </c:pt>
                <c:pt idx="149">
                  <c:v>6.9259259259259256</c:v>
                </c:pt>
                <c:pt idx="150">
                  <c:v>7.1111111111111107</c:v>
                </c:pt>
                <c:pt idx="151">
                  <c:v>7.3703703703703702</c:v>
                </c:pt>
                <c:pt idx="152">
                  <c:v>7.6296296296296298</c:v>
                </c:pt>
                <c:pt idx="153">
                  <c:v>7.7407407407407405</c:v>
                </c:pt>
                <c:pt idx="154">
                  <c:v>7.8148148148148149</c:v>
                </c:pt>
                <c:pt idx="155">
                  <c:v>7.9629629629629628</c:v>
                </c:pt>
                <c:pt idx="156">
                  <c:v>8.1481481481481488</c:v>
                </c:pt>
                <c:pt idx="157">
                  <c:v>8.4074074074074066</c:v>
                </c:pt>
                <c:pt idx="158">
                  <c:v>8.6666666666666661</c:v>
                </c:pt>
                <c:pt idx="159">
                  <c:v>8.8888888888888893</c:v>
                </c:pt>
                <c:pt idx="160">
                  <c:v>9.2222222222222214</c:v>
                </c:pt>
                <c:pt idx="161">
                  <c:v>9.4444444444444446</c:v>
                </c:pt>
                <c:pt idx="162">
                  <c:v>9.6296296296296298</c:v>
                </c:pt>
                <c:pt idx="163">
                  <c:v>9.8518518518518512</c:v>
                </c:pt>
                <c:pt idx="164">
                  <c:v>10.074074074074074</c:v>
                </c:pt>
                <c:pt idx="165">
                  <c:v>10.333333333333334</c:v>
                </c:pt>
                <c:pt idx="166">
                  <c:v>10.592592592592593</c:v>
                </c:pt>
                <c:pt idx="167">
                  <c:v>10.851851851851851</c:v>
                </c:pt>
                <c:pt idx="168">
                  <c:v>11</c:v>
                </c:pt>
                <c:pt idx="169">
                  <c:v>11.148148148148149</c:v>
                </c:pt>
                <c:pt idx="170">
                  <c:v>11.185185185185185</c:v>
                </c:pt>
                <c:pt idx="171">
                  <c:v>11.37037037037037</c:v>
                </c:pt>
                <c:pt idx="172">
                  <c:v>11.703703703703704</c:v>
                </c:pt>
                <c:pt idx="173">
                  <c:v>11.962962962962964</c:v>
                </c:pt>
                <c:pt idx="174">
                  <c:v>12.222222222222221</c:v>
                </c:pt>
                <c:pt idx="175">
                  <c:v>12.37037037037037</c:v>
                </c:pt>
                <c:pt idx="176">
                  <c:v>12.555555555555555</c:v>
                </c:pt>
                <c:pt idx="177">
                  <c:v>12.62962962962963</c:v>
                </c:pt>
                <c:pt idx="178">
                  <c:v>12.851851851851851</c:v>
                </c:pt>
                <c:pt idx="179">
                  <c:v>13.037037037037036</c:v>
                </c:pt>
                <c:pt idx="180">
                  <c:v>13.074074074074074</c:v>
                </c:pt>
                <c:pt idx="181">
                  <c:v>13.481481481481481</c:v>
                </c:pt>
                <c:pt idx="182">
                  <c:v>13.851851851851851</c:v>
                </c:pt>
                <c:pt idx="183">
                  <c:v>14.111111111111111</c:v>
                </c:pt>
                <c:pt idx="184">
                  <c:v>14.296296296296296</c:v>
                </c:pt>
                <c:pt idx="185">
                  <c:v>14.444444444444445</c:v>
                </c:pt>
                <c:pt idx="186">
                  <c:v>14.777777777777779</c:v>
                </c:pt>
                <c:pt idx="187">
                  <c:v>15.111111111111111</c:v>
                </c:pt>
                <c:pt idx="188">
                  <c:v>15.37037037037037</c:v>
                </c:pt>
                <c:pt idx="189">
                  <c:v>15.62962962962963</c:v>
                </c:pt>
                <c:pt idx="190">
                  <c:v>15.74074074074074</c:v>
                </c:pt>
                <c:pt idx="191">
                  <c:v>15.962962962962964</c:v>
                </c:pt>
                <c:pt idx="192">
                  <c:v>16.333333333333332</c:v>
                </c:pt>
                <c:pt idx="193">
                  <c:v>16.518518518518519</c:v>
                </c:pt>
                <c:pt idx="194">
                  <c:v>16.74074074074074</c:v>
                </c:pt>
                <c:pt idx="195">
                  <c:v>16.962962962962962</c:v>
                </c:pt>
                <c:pt idx="196">
                  <c:v>17.222222222222221</c:v>
                </c:pt>
                <c:pt idx="197">
                  <c:v>17.37037037037037</c:v>
                </c:pt>
                <c:pt idx="198">
                  <c:v>17.592592592592592</c:v>
                </c:pt>
                <c:pt idx="199">
                  <c:v>17.666666666666668</c:v>
                </c:pt>
                <c:pt idx="200">
                  <c:v>17.814814814814813</c:v>
                </c:pt>
                <c:pt idx="201">
                  <c:v>18</c:v>
                </c:pt>
                <c:pt idx="202">
                  <c:v>18.296296296296298</c:v>
                </c:pt>
                <c:pt idx="203">
                  <c:v>18.555555555555557</c:v>
                </c:pt>
                <c:pt idx="204">
                  <c:v>18.814814814814813</c:v>
                </c:pt>
                <c:pt idx="205">
                  <c:v>18.962962962962962</c:v>
                </c:pt>
                <c:pt idx="206">
                  <c:v>19.185185185185187</c:v>
                </c:pt>
                <c:pt idx="207">
                  <c:v>19.407407407407408</c:v>
                </c:pt>
                <c:pt idx="208">
                  <c:v>19.62962962962963</c:v>
                </c:pt>
                <c:pt idx="209">
                  <c:v>19.925925925925927</c:v>
                </c:pt>
                <c:pt idx="210">
                  <c:v>20.296296296296298</c:v>
                </c:pt>
                <c:pt idx="211">
                  <c:v>20.481481481481481</c:v>
                </c:pt>
                <c:pt idx="212">
                  <c:v>20.62962962962963</c:v>
                </c:pt>
                <c:pt idx="213">
                  <c:v>20.888888888888889</c:v>
                </c:pt>
                <c:pt idx="214">
                  <c:v>21.185185185185187</c:v>
                </c:pt>
                <c:pt idx="215">
                  <c:v>21.407407407407408</c:v>
                </c:pt>
                <c:pt idx="216">
                  <c:v>21.62962962962963</c:v>
                </c:pt>
                <c:pt idx="217">
                  <c:v>21.814814814814813</c:v>
                </c:pt>
                <c:pt idx="218">
                  <c:v>21.925925925925927</c:v>
                </c:pt>
                <c:pt idx="219">
                  <c:v>22.074074074074073</c:v>
                </c:pt>
                <c:pt idx="220">
                  <c:v>22.333333333333332</c:v>
                </c:pt>
                <c:pt idx="221">
                  <c:v>22.444444444444443</c:v>
                </c:pt>
                <c:pt idx="222">
                  <c:v>22.74074074074074</c:v>
                </c:pt>
                <c:pt idx="223">
                  <c:v>22.888888888888889</c:v>
                </c:pt>
                <c:pt idx="224">
                  <c:v>22.962962962962962</c:v>
                </c:pt>
                <c:pt idx="225">
                  <c:v>23.111111111111111</c:v>
                </c:pt>
                <c:pt idx="226">
                  <c:v>23.333333333333332</c:v>
                </c:pt>
                <c:pt idx="227">
                  <c:v>23.481481481481481</c:v>
                </c:pt>
                <c:pt idx="228">
                  <c:v>23.62962962962963</c:v>
                </c:pt>
                <c:pt idx="229">
                  <c:v>23.925925925925927</c:v>
                </c:pt>
                <c:pt idx="230">
                  <c:v>24.185185185185187</c:v>
                </c:pt>
                <c:pt idx="231">
                  <c:v>24.37037037037037</c:v>
                </c:pt>
                <c:pt idx="232">
                  <c:v>24.555555555555557</c:v>
                </c:pt>
                <c:pt idx="233">
                  <c:v>24.777777777777779</c:v>
                </c:pt>
                <c:pt idx="234">
                  <c:v>24.962962962962962</c:v>
                </c:pt>
                <c:pt idx="235">
                  <c:v>25.074074074074073</c:v>
                </c:pt>
                <c:pt idx="236">
                  <c:v>25.148148148148149</c:v>
                </c:pt>
                <c:pt idx="237">
                  <c:v>25.296296296296298</c:v>
                </c:pt>
                <c:pt idx="238">
                  <c:v>25.518518518518519</c:v>
                </c:pt>
                <c:pt idx="239">
                  <c:v>25.62962962962963</c:v>
                </c:pt>
                <c:pt idx="240">
                  <c:v>25.666666666666668</c:v>
                </c:pt>
                <c:pt idx="241">
                  <c:v>25.777777777777779</c:v>
                </c:pt>
                <c:pt idx="242">
                  <c:v>25.925925925925927</c:v>
                </c:pt>
                <c:pt idx="243">
                  <c:v>26</c:v>
                </c:pt>
                <c:pt idx="244">
                  <c:v>26.111111111111111</c:v>
                </c:pt>
                <c:pt idx="245">
                  <c:v>26.148148148148149</c:v>
                </c:pt>
                <c:pt idx="246">
                  <c:v>26.185185185185187</c:v>
                </c:pt>
                <c:pt idx="247">
                  <c:v>26.222222222222221</c:v>
                </c:pt>
                <c:pt idx="248">
                  <c:v>26.333333333333332</c:v>
                </c:pt>
                <c:pt idx="249">
                  <c:v>26.444444444444443</c:v>
                </c:pt>
                <c:pt idx="250">
                  <c:v>26.518518518518519</c:v>
                </c:pt>
                <c:pt idx="251">
                  <c:v>26.592592592592592</c:v>
                </c:pt>
                <c:pt idx="252">
                  <c:v>26.666666666666668</c:v>
                </c:pt>
                <c:pt idx="253">
                  <c:v>26.814814814814813</c:v>
                </c:pt>
                <c:pt idx="254">
                  <c:v>26.925925925925927</c:v>
                </c:pt>
                <c:pt idx="255">
                  <c:v>26.925925925925927</c:v>
                </c:pt>
                <c:pt idx="256">
                  <c:v>26.925925925925927</c:v>
                </c:pt>
                <c:pt idx="257">
                  <c:v>26.962962962962962</c:v>
                </c:pt>
                <c:pt idx="258">
                  <c:v>26.962962962962962</c:v>
                </c:pt>
                <c:pt idx="259">
                  <c:v>26.962962962962962</c:v>
                </c:pt>
                <c:pt idx="260">
                  <c:v>27.074074074074073</c:v>
                </c:pt>
                <c:pt idx="261">
                  <c:v>27.148148148148149</c:v>
                </c:pt>
                <c:pt idx="262">
                  <c:v>27.222222222222221</c:v>
                </c:pt>
                <c:pt idx="263">
                  <c:v>27.25925925925926</c:v>
                </c:pt>
                <c:pt idx="264">
                  <c:v>27.333333333333332</c:v>
                </c:pt>
                <c:pt idx="265">
                  <c:v>27.37037037037037</c:v>
                </c:pt>
                <c:pt idx="266">
                  <c:v>27.481481481481481</c:v>
                </c:pt>
                <c:pt idx="267">
                  <c:v>27.481481481481481</c:v>
                </c:pt>
                <c:pt idx="268">
                  <c:v>27.518518518518519</c:v>
                </c:pt>
                <c:pt idx="269">
                  <c:v>27.518518518518519</c:v>
                </c:pt>
                <c:pt idx="270">
                  <c:v>27.592592592592592</c:v>
                </c:pt>
                <c:pt idx="271">
                  <c:v>27.592592592592592</c:v>
                </c:pt>
                <c:pt idx="272">
                  <c:v>27.592592592592592</c:v>
                </c:pt>
                <c:pt idx="273">
                  <c:v>27.592592592592592</c:v>
                </c:pt>
                <c:pt idx="274">
                  <c:v>27.666666666666668</c:v>
                </c:pt>
                <c:pt idx="275">
                  <c:v>27.666666666666668</c:v>
                </c:pt>
                <c:pt idx="276">
                  <c:v>27.703703703703702</c:v>
                </c:pt>
                <c:pt idx="277">
                  <c:v>27.703703703703702</c:v>
                </c:pt>
                <c:pt idx="278">
                  <c:v>27.703703703703702</c:v>
                </c:pt>
                <c:pt idx="279">
                  <c:v>27.703703703703702</c:v>
                </c:pt>
                <c:pt idx="280">
                  <c:v>27.703703703703702</c:v>
                </c:pt>
                <c:pt idx="281">
                  <c:v>27.703703703703702</c:v>
                </c:pt>
                <c:pt idx="282">
                  <c:v>27.703703703703702</c:v>
                </c:pt>
                <c:pt idx="283">
                  <c:v>27.703703703703702</c:v>
                </c:pt>
                <c:pt idx="284">
                  <c:v>27.703703703703702</c:v>
                </c:pt>
                <c:pt idx="285">
                  <c:v>27.703703703703702</c:v>
                </c:pt>
                <c:pt idx="286">
                  <c:v>27.703703703703702</c:v>
                </c:pt>
                <c:pt idx="287">
                  <c:v>27.703703703703702</c:v>
                </c:pt>
                <c:pt idx="288">
                  <c:v>27.703703703703702</c:v>
                </c:pt>
                <c:pt idx="289">
                  <c:v>27.703703703703702</c:v>
                </c:pt>
                <c:pt idx="290">
                  <c:v>27.703703703703702</c:v>
                </c:pt>
                <c:pt idx="291">
                  <c:v>27.703703703703702</c:v>
                </c:pt>
                <c:pt idx="292">
                  <c:v>27.703703703703702</c:v>
                </c:pt>
                <c:pt idx="293">
                  <c:v>27.703703703703702</c:v>
                </c:pt>
                <c:pt idx="294">
                  <c:v>27.703703703703702</c:v>
                </c:pt>
                <c:pt idx="295">
                  <c:v>27.703703703703702</c:v>
                </c:pt>
                <c:pt idx="296">
                  <c:v>27.703703703703702</c:v>
                </c:pt>
                <c:pt idx="297">
                  <c:v>27.74074074074074</c:v>
                </c:pt>
                <c:pt idx="298">
                  <c:v>27.74074074074074</c:v>
                </c:pt>
                <c:pt idx="299">
                  <c:v>27.74074074074074</c:v>
                </c:pt>
                <c:pt idx="300">
                  <c:v>27.74074074074074</c:v>
                </c:pt>
                <c:pt idx="301">
                  <c:v>27.74074074074074</c:v>
                </c:pt>
                <c:pt idx="302">
                  <c:v>27.814814814814813</c:v>
                </c:pt>
                <c:pt idx="303">
                  <c:v>27.851851851851851</c:v>
                </c:pt>
                <c:pt idx="304">
                  <c:v>27.851851851851851</c:v>
                </c:pt>
                <c:pt idx="305">
                  <c:v>27.851851851851851</c:v>
                </c:pt>
                <c:pt idx="306">
                  <c:v>27.851851851851851</c:v>
                </c:pt>
                <c:pt idx="307">
                  <c:v>27.851851851851851</c:v>
                </c:pt>
                <c:pt idx="308">
                  <c:v>27.851851851851851</c:v>
                </c:pt>
                <c:pt idx="309">
                  <c:v>27.851851851851851</c:v>
                </c:pt>
                <c:pt idx="310">
                  <c:v>27.851851851851851</c:v>
                </c:pt>
                <c:pt idx="311">
                  <c:v>27.851851851851851</c:v>
                </c:pt>
                <c:pt idx="312">
                  <c:v>27.888888888888889</c:v>
                </c:pt>
                <c:pt idx="313">
                  <c:v>27.888888888888889</c:v>
                </c:pt>
                <c:pt idx="314">
                  <c:v>27.888888888888889</c:v>
                </c:pt>
                <c:pt idx="315">
                  <c:v>27.888888888888889</c:v>
                </c:pt>
                <c:pt idx="316">
                  <c:v>27.888888888888889</c:v>
                </c:pt>
                <c:pt idx="317">
                  <c:v>27.888888888888889</c:v>
                </c:pt>
                <c:pt idx="318">
                  <c:v>27.888888888888889</c:v>
                </c:pt>
                <c:pt idx="319">
                  <c:v>27.888888888888889</c:v>
                </c:pt>
                <c:pt idx="320">
                  <c:v>27.888888888888889</c:v>
                </c:pt>
                <c:pt idx="321">
                  <c:v>27.888888888888889</c:v>
                </c:pt>
                <c:pt idx="322">
                  <c:v>27.888888888888889</c:v>
                </c:pt>
                <c:pt idx="323">
                  <c:v>27.888888888888889</c:v>
                </c:pt>
                <c:pt idx="324">
                  <c:v>27.888888888888889</c:v>
                </c:pt>
                <c:pt idx="325">
                  <c:v>27.888888888888889</c:v>
                </c:pt>
                <c:pt idx="326">
                  <c:v>27.888888888888889</c:v>
                </c:pt>
                <c:pt idx="327">
                  <c:v>27.888888888888889</c:v>
                </c:pt>
                <c:pt idx="328">
                  <c:v>27.888888888888889</c:v>
                </c:pt>
                <c:pt idx="329">
                  <c:v>27.888888888888889</c:v>
                </c:pt>
                <c:pt idx="330">
                  <c:v>27.888888888888889</c:v>
                </c:pt>
                <c:pt idx="331">
                  <c:v>27.888888888888889</c:v>
                </c:pt>
                <c:pt idx="332">
                  <c:v>27.888888888888889</c:v>
                </c:pt>
                <c:pt idx="333">
                  <c:v>27.888888888888889</c:v>
                </c:pt>
                <c:pt idx="334">
                  <c:v>27.888888888888889</c:v>
                </c:pt>
                <c:pt idx="335">
                  <c:v>27.888888888888889</c:v>
                </c:pt>
                <c:pt idx="336">
                  <c:v>27.888888888888889</c:v>
                </c:pt>
                <c:pt idx="337">
                  <c:v>27.925925925925927</c:v>
                </c:pt>
                <c:pt idx="338">
                  <c:v>27.925925925925927</c:v>
                </c:pt>
                <c:pt idx="339">
                  <c:v>27.925925925925927</c:v>
                </c:pt>
                <c:pt idx="340">
                  <c:v>27.925925925925927</c:v>
                </c:pt>
                <c:pt idx="341">
                  <c:v>27.925925925925927</c:v>
                </c:pt>
                <c:pt idx="342">
                  <c:v>27.925925925925927</c:v>
                </c:pt>
                <c:pt idx="343">
                  <c:v>27.925925925925927</c:v>
                </c:pt>
                <c:pt idx="344">
                  <c:v>27.925925925925927</c:v>
                </c:pt>
                <c:pt idx="345">
                  <c:v>27.925925925925927</c:v>
                </c:pt>
                <c:pt idx="346">
                  <c:v>27.925925925925927</c:v>
                </c:pt>
                <c:pt idx="347">
                  <c:v>27.925925925925927</c:v>
                </c:pt>
                <c:pt idx="348">
                  <c:v>27.925925925925927</c:v>
                </c:pt>
                <c:pt idx="349">
                  <c:v>27.962962962962962</c:v>
                </c:pt>
                <c:pt idx="350">
                  <c:v>28</c:v>
                </c:pt>
                <c:pt idx="351">
                  <c:v>28</c:v>
                </c:pt>
                <c:pt idx="352">
                  <c:v>28</c:v>
                </c:pt>
                <c:pt idx="353">
                  <c:v>28</c:v>
                </c:pt>
                <c:pt idx="354">
                  <c:v>28</c:v>
                </c:pt>
                <c:pt idx="355">
                  <c:v>28.037037037037038</c:v>
                </c:pt>
                <c:pt idx="356">
                  <c:v>28.074074074074073</c:v>
                </c:pt>
                <c:pt idx="357">
                  <c:v>28.074074074074073</c:v>
                </c:pt>
                <c:pt idx="358">
                  <c:v>28.074074074074073</c:v>
                </c:pt>
                <c:pt idx="359">
                  <c:v>28.074074074074073</c:v>
                </c:pt>
                <c:pt idx="360">
                  <c:v>28.074074074074073</c:v>
                </c:pt>
                <c:pt idx="361">
                  <c:v>28.074074074074073</c:v>
                </c:pt>
                <c:pt idx="362">
                  <c:v>28.074074074074073</c:v>
                </c:pt>
                <c:pt idx="363">
                  <c:v>28.074074074074073</c:v>
                </c:pt>
                <c:pt idx="364">
                  <c:v>28.074074074074073</c:v>
                </c:pt>
                <c:pt idx="365">
                  <c:v>28.074074074074073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04-6543-8D7C-D7D7D459119D}"/>
            </c:ext>
          </c:extLst>
        </c:ser>
        <c:ser>
          <c:idx val="1"/>
          <c:order val="1"/>
          <c:tx>
            <c:strRef>
              <c:f>List1!$AE$4</c:f>
              <c:strCache>
                <c:ptCount val="1"/>
                <c:pt idx="0">
                  <c:v>2025</c:v>
                </c:pt>
              </c:strCache>
            </c:strRef>
          </c:tx>
          <c:spPr>
            <a:ln w="28800" cap="rnd">
              <a:solidFill>
                <a:srgbClr val="FF000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List1!$AE$5:$AE$370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3</c:v>
                </c:pt>
                <c:pt idx="149">
                  <c:v>3</c:v>
                </c:pt>
                <c:pt idx="150">
                  <c:v>3</c:v>
                </c:pt>
                <c:pt idx="151">
                  <c:v>4</c:v>
                </c:pt>
                <c:pt idx="152">
                  <c:v>5</c:v>
                </c:pt>
                <c:pt idx="153">
                  <c:v>5</c:v>
                </c:pt>
                <c:pt idx="154">
                  <c:v>5</c:v>
                </c:pt>
                <c:pt idx="155">
                  <c:v>5</c:v>
                </c:pt>
                <c:pt idx="156">
                  <c:v>5</c:v>
                </c:pt>
                <c:pt idx="157">
                  <c:v>5</c:v>
                </c:pt>
                <c:pt idx="158">
                  <c:v>5</c:v>
                </c:pt>
                <c:pt idx="159">
                  <c:v>5</c:v>
                </c:pt>
                <c:pt idx="160">
                  <c:v>5</c:v>
                </c:pt>
                <c:pt idx="161">
                  <c:v>5</c:v>
                </c:pt>
                <c:pt idx="162">
                  <c:v>5</c:v>
                </c:pt>
                <c:pt idx="163">
                  <c:v>5</c:v>
                </c:pt>
                <c:pt idx="164">
                  <c:v>5</c:v>
                </c:pt>
                <c:pt idx="165">
                  <c:v>5</c:v>
                </c:pt>
                <c:pt idx="166">
                  <c:v>6</c:v>
                </c:pt>
                <c:pt idx="167">
                  <c:v>6</c:v>
                </c:pt>
                <c:pt idx="168">
                  <c:v>6</c:v>
                </c:pt>
                <c:pt idx="169">
                  <c:v>6</c:v>
                </c:pt>
                <c:pt idx="170">
                  <c:v>6</c:v>
                </c:pt>
                <c:pt idx="171">
                  <c:v>6</c:v>
                </c:pt>
                <c:pt idx="172">
                  <c:v>6</c:v>
                </c:pt>
                <c:pt idx="173">
                  <c:v>6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7</c:v>
                </c:pt>
                <c:pt idx="184">
                  <c:v>7</c:v>
                </c:pt>
                <c:pt idx="185">
                  <c:v>7</c:v>
                </c:pt>
                <c:pt idx="186">
                  <c:v>7</c:v>
                </c:pt>
                <c:pt idx="187">
                  <c:v>7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8</c:v>
                </c:pt>
                <c:pt idx="193">
                  <c:v>8</c:v>
                </c:pt>
                <c:pt idx="194">
                  <c:v>8</c:v>
                </c:pt>
                <c:pt idx="195">
                  <c:v>8</c:v>
                </c:pt>
                <c:pt idx="196">
                  <c:v>9</c:v>
                </c:pt>
                <c:pt idx="197">
                  <c:v>10</c:v>
                </c:pt>
                <c:pt idx="198">
                  <c:v>10</c:v>
                </c:pt>
                <c:pt idx="199">
                  <c:v>10</c:v>
                </c:pt>
                <c:pt idx="200">
                  <c:v>10</c:v>
                </c:pt>
                <c:pt idx="201">
                  <c:v>10</c:v>
                </c:pt>
                <c:pt idx="202">
                  <c:v>11</c:v>
                </c:pt>
                <c:pt idx="203">
                  <c:v>12</c:v>
                </c:pt>
                <c:pt idx="204">
                  <c:v>12</c:v>
                </c:pt>
                <c:pt idx="205">
                  <c:v>12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13</c:v>
                </c:pt>
                <c:pt idx="211">
                  <c:v>14</c:v>
                </c:pt>
                <c:pt idx="212">
                  <c:v>14</c:v>
                </c:pt>
                <c:pt idx="213">
                  <c:v>15</c:v>
                </c:pt>
                <c:pt idx="214">
                  <c:v>16</c:v>
                </c:pt>
                <c:pt idx="215">
                  <c:v>16</c:v>
                </c:pt>
                <c:pt idx="216">
                  <c:v>16</c:v>
                </c:pt>
                <c:pt idx="217">
                  <c:v>16</c:v>
                </c:pt>
                <c:pt idx="218">
                  <c:v>16</c:v>
                </c:pt>
                <c:pt idx="219">
                  <c:v>16</c:v>
                </c:pt>
                <c:pt idx="220">
                  <c:v>16</c:v>
                </c:pt>
                <c:pt idx="221">
                  <c:v>16</c:v>
                </c:pt>
                <c:pt idx="222">
                  <c:v>16</c:v>
                </c:pt>
                <c:pt idx="223">
                  <c:v>16</c:v>
                </c:pt>
                <c:pt idx="224">
                  <c:v>16</c:v>
                </c:pt>
                <c:pt idx="225">
                  <c:v>16</c:v>
                </c:pt>
                <c:pt idx="226">
                  <c:v>16</c:v>
                </c:pt>
                <c:pt idx="227">
                  <c:v>16</c:v>
                </c:pt>
                <c:pt idx="228">
                  <c:v>16</c:v>
                </c:pt>
                <c:pt idx="229">
                  <c:v>16</c:v>
                </c:pt>
                <c:pt idx="230">
                  <c:v>16</c:v>
                </c:pt>
                <c:pt idx="231">
                  <c:v>16</c:v>
                </c:pt>
                <c:pt idx="232">
                  <c:v>16</c:v>
                </c:pt>
                <c:pt idx="233">
                  <c:v>16</c:v>
                </c:pt>
                <c:pt idx="234">
                  <c:v>16</c:v>
                </c:pt>
                <c:pt idx="235">
                  <c:v>16</c:v>
                </c:pt>
                <c:pt idx="236">
                  <c:v>16</c:v>
                </c:pt>
                <c:pt idx="237">
                  <c:v>16</c:v>
                </c:pt>
                <c:pt idx="238">
                  <c:v>16</c:v>
                </c:pt>
                <c:pt idx="239">
                  <c:v>16</c:v>
                </c:pt>
                <c:pt idx="240">
                  <c:v>16</c:v>
                </c:pt>
                <c:pt idx="241">
                  <c:v>16</c:v>
                </c:pt>
                <c:pt idx="242">
                  <c:v>16</c:v>
                </c:pt>
                <c:pt idx="243">
                  <c:v>16</c:v>
                </c:pt>
                <c:pt idx="244">
                  <c:v>16</c:v>
                </c:pt>
                <c:pt idx="245">
                  <c:v>17</c:v>
                </c:pt>
                <c:pt idx="246">
                  <c:v>17</c:v>
                </c:pt>
                <c:pt idx="247">
                  <c:v>17</c:v>
                </c:pt>
                <c:pt idx="248">
                  <c:v>17</c:v>
                </c:pt>
                <c:pt idx="249">
                  <c:v>17</c:v>
                </c:pt>
                <c:pt idx="250">
                  <c:v>17</c:v>
                </c:pt>
                <c:pt idx="251">
                  <c:v>17</c:v>
                </c:pt>
                <c:pt idx="252">
                  <c:v>17</c:v>
                </c:pt>
                <c:pt idx="253">
                  <c:v>17</c:v>
                </c:pt>
                <c:pt idx="254">
                  <c:v>17</c:v>
                </c:pt>
                <c:pt idx="255">
                  <c:v>17</c:v>
                </c:pt>
                <c:pt idx="256">
                  <c:v>17</c:v>
                </c:pt>
                <c:pt idx="257">
                  <c:v>18</c:v>
                </c:pt>
                <c:pt idx="258">
                  <c:v>18</c:v>
                </c:pt>
                <c:pt idx="259">
                  <c:v>18</c:v>
                </c:pt>
                <c:pt idx="260">
                  <c:v>18</c:v>
                </c:pt>
                <c:pt idx="261">
                  <c:v>18</c:v>
                </c:pt>
                <c:pt idx="262">
                  <c:v>18</c:v>
                </c:pt>
                <c:pt idx="263">
                  <c:v>18</c:v>
                </c:pt>
                <c:pt idx="264">
                  <c:v>19</c:v>
                </c:pt>
                <c:pt idx="265">
                  <c:v>19</c:v>
                </c:pt>
                <c:pt idx="266">
                  <c:v>19</c:v>
                </c:pt>
                <c:pt idx="267">
                  <c:v>19</c:v>
                </c:pt>
                <c:pt idx="268">
                  <c:v>19</c:v>
                </c:pt>
                <c:pt idx="269">
                  <c:v>19</c:v>
                </c:pt>
                <c:pt idx="270">
                  <c:v>19</c:v>
                </c:pt>
                <c:pt idx="271">
                  <c:v>19</c:v>
                </c:pt>
                <c:pt idx="272">
                  <c:v>19</c:v>
                </c:pt>
                <c:pt idx="273">
                  <c:v>19</c:v>
                </c:pt>
                <c:pt idx="274">
                  <c:v>19</c:v>
                </c:pt>
                <c:pt idx="275">
                  <c:v>19</c:v>
                </c:pt>
                <c:pt idx="276">
                  <c:v>19</c:v>
                </c:pt>
                <c:pt idx="277">
                  <c:v>19</c:v>
                </c:pt>
                <c:pt idx="278">
                  <c:v>19</c:v>
                </c:pt>
                <c:pt idx="279">
                  <c:v>19</c:v>
                </c:pt>
                <c:pt idx="280">
                  <c:v>19</c:v>
                </c:pt>
                <c:pt idx="281">
                  <c:v>19</c:v>
                </c:pt>
                <c:pt idx="282">
                  <c:v>19</c:v>
                </c:pt>
                <c:pt idx="283">
                  <c:v>19</c:v>
                </c:pt>
                <c:pt idx="284">
                  <c:v>19</c:v>
                </c:pt>
                <c:pt idx="285">
                  <c:v>19</c:v>
                </c:pt>
                <c:pt idx="286">
                  <c:v>19</c:v>
                </c:pt>
                <c:pt idx="287">
                  <c:v>19</c:v>
                </c:pt>
                <c:pt idx="288">
                  <c:v>19</c:v>
                </c:pt>
                <c:pt idx="289">
                  <c:v>19</c:v>
                </c:pt>
                <c:pt idx="290">
                  <c:v>19</c:v>
                </c:pt>
                <c:pt idx="291">
                  <c:v>19</c:v>
                </c:pt>
                <c:pt idx="292">
                  <c:v>19</c:v>
                </c:pt>
                <c:pt idx="293">
                  <c:v>19</c:v>
                </c:pt>
                <c:pt idx="294">
                  <c:v>19</c:v>
                </c:pt>
                <c:pt idx="295">
                  <c:v>19</c:v>
                </c:pt>
                <c:pt idx="296">
                  <c:v>19</c:v>
                </c:pt>
                <c:pt idx="297">
                  <c:v>19</c:v>
                </c:pt>
                <c:pt idx="298">
                  <c:v>19</c:v>
                </c:pt>
                <c:pt idx="299">
                  <c:v>19</c:v>
                </c:pt>
                <c:pt idx="300">
                  <c:v>19</c:v>
                </c:pt>
                <c:pt idx="301">
                  <c:v>19</c:v>
                </c:pt>
                <c:pt idx="302">
                  <c:v>19</c:v>
                </c:pt>
                <c:pt idx="303">
                  <c:v>19</c:v>
                </c:pt>
                <c:pt idx="304">
                  <c:v>19</c:v>
                </c:pt>
                <c:pt idx="305">
                  <c:v>19</c:v>
                </c:pt>
                <c:pt idx="306">
                  <c:v>19</c:v>
                </c:pt>
                <c:pt idx="307">
                  <c:v>19</c:v>
                </c:pt>
                <c:pt idx="308">
                  <c:v>19</c:v>
                </c:pt>
                <c:pt idx="309">
                  <c:v>19</c:v>
                </c:pt>
                <c:pt idx="310">
                  <c:v>19</c:v>
                </c:pt>
                <c:pt idx="311">
                  <c:v>19</c:v>
                </c:pt>
                <c:pt idx="312">
                  <c:v>19</c:v>
                </c:pt>
                <c:pt idx="313">
                  <c:v>19</c:v>
                </c:pt>
                <c:pt idx="314">
                  <c:v>19</c:v>
                </c:pt>
                <c:pt idx="315">
                  <c:v>19</c:v>
                </c:pt>
                <c:pt idx="316">
                  <c:v>19</c:v>
                </c:pt>
                <c:pt idx="317">
                  <c:v>19</c:v>
                </c:pt>
                <c:pt idx="318">
                  <c:v>19</c:v>
                </c:pt>
                <c:pt idx="319">
                  <c:v>19</c:v>
                </c:pt>
                <c:pt idx="320">
                  <c:v>19</c:v>
                </c:pt>
                <c:pt idx="321">
                  <c:v>19</c:v>
                </c:pt>
                <c:pt idx="322">
                  <c:v>19</c:v>
                </c:pt>
                <c:pt idx="323">
                  <c:v>19</c:v>
                </c:pt>
                <c:pt idx="324">
                  <c:v>19</c:v>
                </c:pt>
                <c:pt idx="325">
                  <c:v>19</c:v>
                </c:pt>
                <c:pt idx="326">
                  <c:v>19</c:v>
                </c:pt>
                <c:pt idx="327">
                  <c:v>19</c:v>
                </c:pt>
                <c:pt idx="328">
                  <c:v>19</c:v>
                </c:pt>
                <c:pt idx="329">
                  <c:v>19</c:v>
                </c:pt>
                <c:pt idx="330">
                  <c:v>19</c:v>
                </c:pt>
                <c:pt idx="331">
                  <c:v>19</c:v>
                </c:pt>
                <c:pt idx="332">
                  <c:v>19</c:v>
                </c:pt>
                <c:pt idx="333">
                  <c:v>19</c:v>
                </c:pt>
                <c:pt idx="334">
                  <c:v>19</c:v>
                </c:pt>
                <c:pt idx="335">
                  <c:v>19</c:v>
                </c:pt>
                <c:pt idx="336">
                  <c:v>19</c:v>
                </c:pt>
                <c:pt idx="337">
                  <c:v>19</c:v>
                </c:pt>
                <c:pt idx="338">
                  <c:v>19</c:v>
                </c:pt>
                <c:pt idx="339">
                  <c:v>19</c:v>
                </c:pt>
                <c:pt idx="340">
                  <c:v>19</c:v>
                </c:pt>
                <c:pt idx="341">
                  <c:v>19</c:v>
                </c:pt>
                <c:pt idx="342">
                  <c:v>19</c:v>
                </c:pt>
                <c:pt idx="343">
                  <c:v>19</c:v>
                </c:pt>
                <c:pt idx="344">
                  <c:v>19</c:v>
                </c:pt>
                <c:pt idx="345">
                  <c:v>19</c:v>
                </c:pt>
                <c:pt idx="346">
                  <c:v>19</c:v>
                </c:pt>
                <c:pt idx="347">
                  <c:v>19</c:v>
                </c:pt>
                <c:pt idx="348">
                  <c:v>19</c:v>
                </c:pt>
                <c:pt idx="349">
                  <c:v>19</c:v>
                </c:pt>
                <c:pt idx="350">
                  <c:v>19</c:v>
                </c:pt>
                <c:pt idx="351">
                  <c:v>19</c:v>
                </c:pt>
                <c:pt idx="352">
                  <c:v>19</c:v>
                </c:pt>
                <c:pt idx="353">
                  <c:v>19</c:v>
                </c:pt>
                <c:pt idx="354">
                  <c:v>19</c:v>
                </c:pt>
                <c:pt idx="355">
                  <c:v>19</c:v>
                </c:pt>
                <c:pt idx="356">
                  <c:v>19</c:v>
                </c:pt>
                <c:pt idx="357">
                  <c:v>19</c:v>
                </c:pt>
                <c:pt idx="358">
                  <c:v>19</c:v>
                </c:pt>
                <c:pt idx="359">
                  <c:v>19</c:v>
                </c:pt>
                <c:pt idx="360">
                  <c:v>19</c:v>
                </c:pt>
                <c:pt idx="361">
                  <c:v>19</c:v>
                </c:pt>
                <c:pt idx="362">
                  <c:v>19</c:v>
                </c:pt>
                <c:pt idx="363">
                  <c:v>19</c:v>
                </c:pt>
                <c:pt idx="364">
                  <c:v>19</c:v>
                </c:pt>
                <c:pt idx="365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04-6543-8D7C-D7D7D459119D}"/>
            </c:ext>
          </c:extLst>
        </c:ser>
        <c:ser>
          <c:idx val="2"/>
          <c:order val="2"/>
          <c:tx>
            <c:strRef>
              <c:f>List1!$AF$4</c:f>
              <c:strCache>
                <c:ptCount val="1"/>
                <c:pt idx="0">
                  <c:v>2026</c:v>
                </c:pt>
              </c:strCache>
            </c:strRef>
          </c:tx>
          <c:spPr>
            <a:ln w="28800">
              <a:solidFill>
                <a:srgbClr val="5983B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List1!$AF$5:$AF$370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2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5</c:v>
                </c:pt>
                <c:pt idx="152">
                  <c:v>5</c:v>
                </c:pt>
                <c:pt idx="153">
                  <c:v>5</c:v>
                </c:pt>
                <c:pt idx="154">
                  <c:v>5</c:v>
                </c:pt>
                <c:pt idx="155">
                  <c:v>6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8</c:v>
                </c:pt>
                <c:pt idx="163">
                  <c:v>8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9</c:v>
                </c:pt>
                <c:pt idx="173">
                  <c:v>9</c:v>
                </c:pt>
                <c:pt idx="174">
                  <c:v>9</c:v>
                </c:pt>
                <c:pt idx="175">
                  <c:v>9</c:v>
                </c:pt>
                <c:pt idx="176">
                  <c:v>9</c:v>
                </c:pt>
                <c:pt idx="177">
                  <c:v>9</c:v>
                </c:pt>
                <c:pt idx="178">
                  <c:v>9</c:v>
                </c:pt>
                <c:pt idx="179">
                  <c:v>10</c:v>
                </c:pt>
                <c:pt idx="180">
                  <c:v>11</c:v>
                </c:pt>
                <c:pt idx="181">
                  <c:v>11</c:v>
                </c:pt>
                <c:pt idx="182">
                  <c:v>12</c:v>
                </c:pt>
                <c:pt idx="183">
                  <c:v>12</c:v>
                </c:pt>
                <c:pt idx="184">
                  <c:v>12</c:v>
                </c:pt>
                <c:pt idx="185">
                  <c:v>12</c:v>
                </c:pt>
                <c:pt idx="186">
                  <c:v>12</c:v>
                </c:pt>
                <c:pt idx="187">
                  <c:v>12</c:v>
                </c:pt>
                <c:pt idx="188">
                  <c:v>12</c:v>
                </c:pt>
                <c:pt idx="189">
                  <c:v>12</c:v>
                </c:pt>
                <c:pt idx="190">
                  <c:v>12</c:v>
                </c:pt>
                <c:pt idx="191">
                  <c:v>12</c:v>
                </c:pt>
                <c:pt idx="192">
                  <c:v>12</c:v>
                </c:pt>
                <c:pt idx="193">
                  <c:v>12</c:v>
                </c:pt>
                <c:pt idx="194">
                  <c:v>12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14</c:v>
                </c:pt>
                <c:pt idx="213">
                  <c:v>14</c:v>
                </c:pt>
                <c:pt idx="214">
                  <c:v>14</c:v>
                </c:pt>
                <c:pt idx="215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04-6543-8D7C-D7D7D459119D}"/>
            </c:ext>
          </c:extLst>
        </c:ser>
        <c:ser>
          <c:idx val="3"/>
          <c:order val="3"/>
          <c:tx>
            <c:strRef>
              <c:f>List1!$C$4</c:f>
              <c:strCache>
                <c:ptCount val="1"/>
                <c:pt idx="0">
                  <c:v>minimum</c:v>
                </c:pt>
              </c:strCache>
            </c:strRef>
          </c:tx>
          <c:spPr>
            <a:ln w="28800" cap="rnd">
              <a:solidFill>
                <a:srgbClr val="808080">
                  <a:alpha val="6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List1!$C$5:$C$370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2</c:v>
                </c:pt>
                <c:pt idx="149">
                  <c:v>2</c:v>
                </c:pt>
                <c:pt idx="150">
                  <c:v>2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4</c:v>
                </c:pt>
                <c:pt idx="158">
                  <c:v>4</c:v>
                </c:pt>
                <c:pt idx="159">
                  <c:v>5</c:v>
                </c:pt>
                <c:pt idx="160">
                  <c:v>5</c:v>
                </c:pt>
                <c:pt idx="161">
                  <c:v>5</c:v>
                </c:pt>
                <c:pt idx="162">
                  <c:v>5</c:v>
                </c:pt>
                <c:pt idx="163">
                  <c:v>5</c:v>
                </c:pt>
                <c:pt idx="164">
                  <c:v>5</c:v>
                </c:pt>
                <c:pt idx="165">
                  <c:v>5</c:v>
                </c:pt>
                <c:pt idx="166">
                  <c:v>6</c:v>
                </c:pt>
                <c:pt idx="167">
                  <c:v>6</c:v>
                </c:pt>
                <c:pt idx="168">
                  <c:v>6</c:v>
                </c:pt>
                <c:pt idx="169">
                  <c:v>6</c:v>
                </c:pt>
                <c:pt idx="170">
                  <c:v>6</c:v>
                </c:pt>
                <c:pt idx="171">
                  <c:v>6</c:v>
                </c:pt>
                <c:pt idx="172">
                  <c:v>6</c:v>
                </c:pt>
                <c:pt idx="173">
                  <c:v>6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7</c:v>
                </c:pt>
                <c:pt idx="184">
                  <c:v>7</c:v>
                </c:pt>
                <c:pt idx="185">
                  <c:v>7</c:v>
                </c:pt>
                <c:pt idx="186">
                  <c:v>7</c:v>
                </c:pt>
                <c:pt idx="187">
                  <c:v>7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8</c:v>
                </c:pt>
                <c:pt idx="193">
                  <c:v>8</c:v>
                </c:pt>
                <c:pt idx="194">
                  <c:v>8</c:v>
                </c:pt>
                <c:pt idx="195">
                  <c:v>8</c:v>
                </c:pt>
                <c:pt idx="196">
                  <c:v>9</c:v>
                </c:pt>
                <c:pt idx="197">
                  <c:v>10</c:v>
                </c:pt>
                <c:pt idx="198">
                  <c:v>10</c:v>
                </c:pt>
                <c:pt idx="199">
                  <c:v>10</c:v>
                </c:pt>
                <c:pt idx="200">
                  <c:v>10</c:v>
                </c:pt>
                <c:pt idx="201">
                  <c:v>10</c:v>
                </c:pt>
                <c:pt idx="202">
                  <c:v>11</c:v>
                </c:pt>
                <c:pt idx="203">
                  <c:v>11</c:v>
                </c:pt>
                <c:pt idx="204">
                  <c:v>11</c:v>
                </c:pt>
                <c:pt idx="205">
                  <c:v>11</c:v>
                </c:pt>
                <c:pt idx="206">
                  <c:v>11</c:v>
                </c:pt>
                <c:pt idx="207">
                  <c:v>11</c:v>
                </c:pt>
                <c:pt idx="208">
                  <c:v>12</c:v>
                </c:pt>
                <c:pt idx="209">
                  <c:v>12</c:v>
                </c:pt>
                <c:pt idx="210">
                  <c:v>13</c:v>
                </c:pt>
                <c:pt idx="211">
                  <c:v>14</c:v>
                </c:pt>
                <c:pt idx="212">
                  <c:v>14</c:v>
                </c:pt>
                <c:pt idx="213">
                  <c:v>14</c:v>
                </c:pt>
                <c:pt idx="214">
                  <c:v>14</c:v>
                </c:pt>
                <c:pt idx="215">
                  <c:v>14</c:v>
                </c:pt>
                <c:pt idx="216">
                  <c:v>14</c:v>
                </c:pt>
                <c:pt idx="217">
                  <c:v>14</c:v>
                </c:pt>
                <c:pt idx="218">
                  <c:v>14</c:v>
                </c:pt>
                <c:pt idx="219">
                  <c:v>14</c:v>
                </c:pt>
                <c:pt idx="220">
                  <c:v>14</c:v>
                </c:pt>
                <c:pt idx="221">
                  <c:v>14</c:v>
                </c:pt>
                <c:pt idx="222">
                  <c:v>14</c:v>
                </c:pt>
                <c:pt idx="223">
                  <c:v>14</c:v>
                </c:pt>
                <c:pt idx="224">
                  <c:v>14</c:v>
                </c:pt>
                <c:pt idx="225">
                  <c:v>14</c:v>
                </c:pt>
                <c:pt idx="226">
                  <c:v>14</c:v>
                </c:pt>
                <c:pt idx="227">
                  <c:v>14</c:v>
                </c:pt>
                <c:pt idx="228">
                  <c:v>15</c:v>
                </c:pt>
                <c:pt idx="229">
                  <c:v>16</c:v>
                </c:pt>
                <c:pt idx="230">
                  <c:v>16</c:v>
                </c:pt>
                <c:pt idx="231">
                  <c:v>16</c:v>
                </c:pt>
                <c:pt idx="232">
                  <c:v>16</c:v>
                </c:pt>
                <c:pt idx="233">
                  <c:v>16</c:v>
                </c:pt>
                <c:pt idx="234">
                  <c:v>16</c:v>
                </c:pt>
                <c:pt idx="235">
                  <c:v>16</c:v>
                </c:pt>
                <c:pt idx="236">
                  <c:v>16</c:v>
                </c:pt>
                <c:pt idx="237">
                  <c:v>16</c:v>
                </c:pt>
                <c:pt idx="238">
                  <c:v>16</c:v>
                </c:pt>
                <c:pt idx="239">
                  <c:v>16</c:v>
                </c:pt>
                <c:pt idx="240">
                  <c:v>16</c:v>
                </c:pt>
                <c:pt idx="241">
                  <c:v>16</c:v>
                </c:pt>
                <c:pt idx="242">
                  <c:v>16</c:v>
                </c:pt>
                <c:pt idx="243">
                  <c:v>16</c:v>
                </c:pt>
                <c:pt idx="244">
                  <c:v>16</c:v>
                </c:pt>
                <c:pt idx="245">
                  <c:v>17</c:v>
                </c:pt>
                <c:pt idx="246">
                  <c:v>17</c:v>
                </c:pt>
                <c:pt idx="247">
                  <c:v>17</c:v>
                </c:pt>
                <c:pt idx="248">
                  <c:v>17</c:v>
                </c:pt>
                <c:pt idx="249">
                  <c:v>17</c:v>
                </c:pt>
                <c:pt idx="250">
                  <c:v>17</c:v>
                </c:pt>
                <c:pt idx="251">
                  <c:v>17</c:v>
                </c:pt>
                <c:pt idx="252">
                  <c:v>17</c:v>
                </c:pt>
                <c:pt idx="253">
                  <c:v>17</c:v>
                </c:pt>
                <c:pt idx="254">
                  <c:v>17</c:v>
                </c:pt>
                <c:pt idx="255">
                  <c:v>17</c:v>
                </c:pt>
                <c:pt idx="256">
                  <c:v>17</c:v>
                </c:pt>
                <c:pt idx="257">
                  <c:v>17</c:v>
                </c:pt>
                <c:pt idx="258">
                  <c:v>17</c:v>
                </c:pt>
                <c:pt idx="259">
                  <c:v>17</c:v>
                </c:pt>
                <c:pt idx="260">
                  <c:v>18</c:v>
                </c:pt>
                <c:pt idx="261">
                  <c:v>18</c:v>
                </c:pt>
                <c:pt idx="262">
                  <c:v>18</c:v>
                </c:pt>
                <c:pt idx="263">
                  <c:v>18</c:v>
                </c:pt>
                <c:pt idx="264">
                  <c:v>19</c:v>
                </c:pt>
                <c:pt idx="265">
                  <c:v>19</c:v>
                </c:pt>
                <c:pt idx="266">
                  <c:v>19</c:v>
                </c:pt>
                <c:pt idx="267">
                  <c:v>19</c:v>
                </c:pt>
                <c:pt idx="268">
                  <c:v>19</c:v>
                </c:pt>
                <c:pt idx="269">
                  <c:v>19</c:v>
                </c:pt>
                <c:pt idx="270">
                  <c:v>19</c:v>
                </c:pt>
                <c:pt idx="271">
                  <c:v>19</c:v>
                </c:pt>
                <c:pt idx="272">
                  <c:v>19</c:v>
                </c:pt>
                <c:pt idx="273">
                  <c:v>19</c:v>
                </c:pt>
                <c:pt idx="274">
                  <c:v>19</c:v>
                </c:pt>
                <c:pt idx="275">
                  <c:v>19</c:v>
                </c:pt>
                <c:pt idx="276">
                  <c:v>19</c:v>
                </c:pt>
                <c:pt idx="277">
                  <c:v>19</c:v>
                </c:pt>
                <c:pt idx="278">
                  <c:v>19</c:v>
                </c:pt>
                <c:pt idx="279">
                  <c:v>19</c:v>
                </c:pt>
                <c:pt idx="280">
                  <c:v>19</c:v>
                </c:pt>
                <c:pt idx="281">
                  <c:v>19</c:v>
                </c:pt>
                <c:pt idx="282">
                  <c:v>19</c:v>
                </c:pt>
                <c:pt idx="283">
                  <c:v>19</c:v>
                </c:pt>
                <c:pt idx="284">
                  <c:v>19</c:v>
                </c:pt>
                <c:pt idx="285">
                  <c:v>19</c:v>
                </c:pt>
                <c:pt idx="286">
                  <c:v>19</c:v>
                </c:pt>
                <c:pt idx="287">
                  <c:v>19</c:v>
                </c:pt>
                <c:pt idx="288">
                  <c:v>19</c:v>
                </c:pt>
                <c:pt idx="289">
                  <c:v>19</c:v>
                </c:pt>
                <c:pt idx="290">
                  <c:v>19</c:v>
                </c:pt>
                <c:pt idx="291">
                  <c:v>19</c:v>
                </c:pt>
                <c:pt idx="292">
                  <c:v>19</c:v>
                </c:pt>
                <c:pt idx="293">
                  <c:v>19</c:v>
                </c:pt>
                <c:pt idx="294">
                  <c:v>19</c:v>
                </c:pt>
                <c:pt idx="295">
                  <c:v>19</c:v>
                </c:pt>
                <c:pt idx="296">
                  <c:v>19</c:v>
                </c:pt>
                <c:pt idx="297">
                  <c:v>19</c:v>
                </c:pt>
                <c:pt idx="298">
                  <c:v>19</c:v>
                </c:pt>
                <c:pt idx="299">
                  <c:v>19</c:v>
                </c:pt>
                <c:pt idx="300">
                  <c:v>19</c:v>
                </c:pt>
                <c:pt idx="301">
                  <c:v>19</c:v>
                </c:pt>
                <c:pt idx="302">
                  <c:v>19</c:v>
                </c:pt>
                <c:pt idx="303">
                  <c:v>19</c:v>
                </c:pt>
                <c:pt idx="304">
                  <c:v>19</c:v>
                </c:pt>
                <c:pt idx="305">
                  <c:v>19</c:v>
                </c:pt>
                <c:pt idx="306">
                  <c:v>19</c:v>
                </c:pt>
                <c:pt idx="307">
                  <c:v>19</c:v>
                </c:pt>
                <c:pt idx="308">
                  <c:v>19</c:v>
                </c:pt>
                <c:pt idx="309">
                  <c:v>19</c:v>
                </c:pt>
                <c:pt idx="310">
                  <c:v>19</c:v>
                </c:pt>
                <c:pt idx="311">
                  <c:v>19</c:v>
                </c:pt>
                <c:pt idx="312">
                  <c:v>19</c:v>
                </c:pt>
                <c:pt idx="313">
                  <c:v>19</c:v>
                </c:pt>
                <c:pt idx="314">
                  <c:v>19</c:v>
                </c:pt>
                <c:pt idx="315">
                  <c:v>19</c:v>
                </c:pt>
                <c:pt idx="316">
                  <c:v>19</c:v>
                </c:pt>
                <c:pt idx="317">
                  <c:v>19</c:v>
                </c:pt>
                <c:pt idx="318">
                  <c:v>19</c:v>
                </c:pt>
                <c:pt idx="319">
                  <c:v>19</c:v>
                </c:pt>
                <c:pt idx="320">
                  <c:v>19</c:v>
                </c:pt>
                <c:pt idx="321">
                  <c:v>19</c:v>
                </c:pt>
                <c:pt idx="322">
                  <c:v>19</c:v>
                </c:pt>
                <c:pt idx="323">
                  <c:v>19</c:v>
                </c:pt>
                <c:pt idx="324">
                  <c:v>19</c:v>
                </c:pt>
                <c:pt idx="325">
                  <c:v>19</c:v>
                </c:pt>
                <c:pt idx="326">
                  <c:v>19</c:v>
                </c:pt>
                <c:pt idx="327">
                  <c:v>19</c:v>
                </c:pt>
                <c:pt idx="328">
                  <c:v>19</c:v>
                </c:pt>
                <c:pt idx="329">
                  <c:v>19</c:v>
                </c:pt>
                <c:pt idx="330">
                  <c:v>19</c:v>
                </c:pt>
                <c:pt idx="331">
                  <c:v>19</c:v>
                </c:pt>
                <c:pt idx="332">
                  <c:v>19</c:v>
                </c:pt>
                <c:pt idx="333">
                  <c:v>19</c:v>
                </c:pt>
                <c:pt idx="334">
                  <c:v>19</c:v>
                </c:pt>
                <c:pt idx="335">
                  <c:v>19</c:v>
                </c:pt>
                <c:pt idx="336">
                  <c:v>19</c:v>
                </c:pt>
                <c:pt idx="337">
                  <c:v>19</c:v>
                </c:pt>
                <c:pt idx="338">
                  <c:v>19</c:v>
                </c:pt>
                <c:pt idx="339">
                  <c:v>19</c:v>
                </c:pt>
                <c:pt idx="340">
                  <c:v>19</c:v>
                </c:pt>
                <c:pt idx="341">
                  <c:v>19</c:v>
                </c:pt>
                <c:pt idx="342">
                  <c:v>19</c:v>
                </c:pt>
                <c:pt idx="343">
                  <c:v>19</c:v>
                </c:pt>
                <c:pt idx="344">
                  <c:v>19</c:v>
                </c:pt>
                <c:pt idx="345">
                  <c:v>19</c:v>
                </c:pt>
                <c:pt idx="346">
                  <c:v>19</c:v>
                </c:pt>
                <c:pt idx="347">
                  <c:v>19</c:v>
                </c:pt>
                <c:pt idx="348">
                  <c:v>19</c:v>
                </c:pt>
                <c:pt idx="349">
                  <c:v>19</c:v>
                </c:pt>
                <c:pt idx="350">
                  <c:v>19</c:v>
                </c:pt>
                <c:pt idx="351">
                  <c:v>19</c:v>
                </c:pt>
                <c:pt idx="352">
                  <c:v>19</c:v>
                </c:pt>
                <c:pt idx="353">
                  <c:v>19</c:v>
                </c:pt>
                <c:pt idx="354">
                  <c:v>19</c:v>
                </c:pt>
                <c:pt idx="355">
                  <c:v>19</c:v>
                </c:pt>
                <c:pt idx="356">
                  <c:v>19</c:v>
                </c:pt>
                <c:pt idx="357">
                  <c:v>19</c:v>
                </c:pt>
                <c:pt idx="358">
                  <c:v>19</c:v>
                </c:pt>
                <c:pt idx="359">
                  <c:v>19</c:v>
                </c:pt>
                <c:pt idx="360">
                  <c:v>19</c:v>
                </c:pt>
                <c:pt idx="361">
                  <c:v>19</c:v>
                </c:pt>
                <c:pt idx="362">
                  <c:v>19</c:v>
                </c:pt>
                <c:pt idx="363">
                  <c:v>19</c:v>
                </c:pt>
                <c:pt idx="364">
                  <c:v>19</c:v>
                </c:pt>
                <c:pt idx="365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04-6543-8D7C-D7D7D459119D}"/>
            </c:ext>
          </c:extLst>
        </c:ser>
        <c:ser>
          <c:idx val="4"/>
          <c:order val="4"/>
          <c:tx>
            <c:strRef>
              <c:f>List1!$D$4</c:f>
              <c:strCache>
                <c:ptCount val="1"/>
                <c:pt idx="0">
                  <c:v>maximum</c:v>
                </c:pt>
              </c:strCache>
            </c:strRef>
          </c:tx>
          <c:spPr>
            <a:ln w="28800" cap="rnd">
              <a:solidFill>
                <a:srgbClr val="808080">
                  <a:alpha val="6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List1!$D$5:$D$370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5</c:v>
                </c:pt>
                <c:pt idx="117">
                  <c:v>5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7</c:v>
                </c:pt>
                <c:pt idx="122">
                  <c:v>8</c:v>
                </c:pt>
                <c:pt idx="123">
                  <c:v>8</c:v>
                </c:pt>
                <c:pt idx="124">
                  <c:v>8</c:v>
                </c:pt>
                <c:pt idx="125">
                  <c:v>8</c:v>
                </c:pt>
                <c:pt idx="126">
                  <c:v>9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10</c:v>
                </c:pt>
                <c:pt idx="138">
                  <c:v>10</c:v>
                </c:pt>
                <c:pt idx="139">
                  <c:v>10</c:v>
                </c:pt>
                <c:pt idx="140">
                  <c:v>10</c:v>
                </c:pt>
                <c:pt idx="141">
                  <c:v>10</c:v>
                </c:pt>
                <c:pt idx="142">
                  <c:v>10</c:v>
                </c:pt>
                <c:pt idx="143">
                  <c:v>11</c:v>
                </c:pt>
                <c:pt idx="144">
                  <c:v>12</c:v>
                </c:pt>
                <c:pt idx="145">
                  <c:v>12</c:v>
                </c:pt>
                <c:pt idx="146">
                  <c:v>12</c:v>
                </c:pt>
                <c:pt idx="147">
                  <c:v>13</c:v>
                </c:pt>
                <c:pt idx="148">
                  <c:v>13</c:v>
                </c:pt>
                <c:pt idx="149">
                  <c:v>13</c:v>
                </c:pt>
                <c:pt idx="150">
                  <c:v>13</c:v>
                </c:pt>
                <c:pt idx="151">
                  <c:v>13</c:v>
                </c:pt>
                <c:pt idx="152">
                  <c:v>13</c:v>
                </c:pt>
                <c:pt idx="153">
                  <c:v>13</c:v>
                </c:pt>
                <c:pt idx="154">
                  <c:v>13</c:v>
                </c:pt>
                <c:pt idx="155">
                  <c:v>13</c:v>
                </c:pt>
                <c:pt idx="156">
                  <c:v>13</c:v>
                </c:pt>
                <c:pt idx="157">
                  <c:v>13</c:v>
                </c:pt>
                <c:pt idx="158">
                  <c:v>13</c:v>
                </c:pt>
                <c:pt idx="159">
                  <c:v>14</c:v>
                </c:pt>
                <c:pt idx="160">
                  <c:v>15</c:v>
                </c:pt>
                <c:pt idx="161">
                  <c:v>15</c:v>
                </c:pt>
                <c:pt idx="162">
                  <c:v>15</c:v>
                </c:pt>
                <c:pt idx="163">
                  <c:v>15</c:v>
                </c:pt>
                <c:pt idx="164">
                  <c:v>15</c:v>
                </c:pt>
                <c:pt idx="165">
                  <c:v>16</c:v>
                </c:pt>
                <c:pt idx="166">
                  <c:v>16</c:v>
                </c:pt>
                <c:pt idx="167">
                  <c:v>16</c:v>
                </c:pt>
                <c:pt idx="168">
                  <c:v>16</c:v>
                </c:pt>
                <c:pt idx="169">
                  <c:v>16</c:v>
                </c:pt>
                <c:pt idx="170">
                  <c:v>16</c:v>
                </c:pt>
                <c:pt idx="171">
                  <c:v>16</c:v>
                </c:pt>
                <c:pt idx="172">
                  <c:v>16</c:v>
                </c:pt>
                <c:pt idx="173">
                  <c:v>17</c:v>
                </c:pt>
                <c:pt idx="174">
                  <c:v>17</c:v>
                </c:pt>
                <c:pt idx="175">
                  <c:v>17</c:v>
                </c:pt>
                <c:pt idx="176">
                  <c:v>18</c:v>
                </c:pt>
                <c:pt idx="177">
                  <c:v>18</c:v>
                </c:pt>
                <c:pt idx="178">
                  <c:v>18</c:v>
                </c:pt>
                <c:pt idx="179">
                  <c:v>18</c:v>
                </c:pt>
                <c:pt idx="180">
                  <c:v>18</c:v>
                </c:pt>
                <c:pt idx="181">
                  <c:v>19</c:v>
                </c:pt>
                <c:pt idx="182">
                  <c:v>19</c:v>
                </c:pt>
                <c:pt idx="183">
                  <c:v>20</c:v>
                </c:pt>
                <c:pt idx="184">
                  <c:v>21</c:v>
                </c:pt>
                <c:pt idx="185">
                  <c:v>21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23</c:v>
                </c:pt>
                <c:pt idx="195">
                  <c:v>23</c:v>
                </c:pt>
                <c:pt idx="196">
                  <c:v>23</c:v>
                </c:pt>
                <c:pt idx="197">
                  <c:v>23</c:v>
                </c:pt>
                <c:pt idx="198">
                  <c:v>24</c:v>
                </c:pt>
                <c:pt idx="199">
                  <c:v>24</c:v>
                </c:pt>
                <c:pt idx="200">
                  <c:v>24</c:v>
                </c:pt>
                <c:pt idx="201">
                  <c:v>24</c:v>
                </c:pt>
                <c:pt idx="202">
                  <c:v>24</c:v>
                </c:pt>
                <c:pt idx="203">
                  <c:v>24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26</c:v>
                </c:pt>
                <c:pt idx="208">
                  <c:v>27</c:v>
                </c:pt>
                <c:pt idx="209">
                  <c:v>28</c:v>
                </c:pt>
                <c:pt idx="210">
                  <c:v>29</c:v>
                </c:pt>
                <c:pt idx="211">
                  <c:v>29</c:v>
                </c:pt>
                <c:pt idx="212">
                  <c:v>30</c:v>
                </c:pt>
                <c:pt idx="213">
                  <c:v>30</c:v>
                </c:pt>
                <c:pt idx="214">
                  <c:v>30</c:v>
                </c:pt>
                <c:pt idx="215">
                  <c:v>31</c:v>
                </c:pt>
                <c:pt idx="216">
                  <c:v>32</c:v>
                </c:pt>
                <c:pt idx="217">
                  <c:v>33</c:v>
                </c:pt>
                <c:pt idx="218">
                  <c:v>33</c:v>
                </c:pt>
                <c:pt idx="219">
                  <c:v>33</c:v>
                </c:pt>
                <c:pt idx="220">
                  <c:v>33</c:v>
                </c:pt>
                <c:pt idx="221">
                  <c:v>33</c:v>
                </c:pt>
                <c:pt idx="222">
                  <c:v>33</c:v>
                </c:pt>
                <c:pt idx="223">
                  <c:v>33</c:v>
                </c:pt>
                <c:pt idx="224">
                  <c:v>33</c:v>
                </c:pt>
                <c:pt idx="225">
                  <c:v>33</c:v>
                </c:pt>
                <c:pt idx="226">
                  <c:v>33</c:v>
                </c:pt>
                <c:pt idx="227">
                  <c:v>33</c:v>
                </c:pt>
                <c:pt idx="228">
                  <c:v>33</c:v>
                </c:pt>
                <c:pt idx="229">
                  <c:v>33</c:v>
                </c:pt>
                <c:pt idx="230">
                  <c:v>33</c:v>
                </c:pt>
                <c:pt idx="231">
                  <c:v>33</c:v>
                </c:pt>
                <c:pt idx="232">
                  <c:v>33</c:v>
                </c:pt>
                <c:pt idx="233">
                  <c:v>33</c:v>
                </c:pt>
                <c:pt idx="234">
                  <c:v>33</c:v>
                </c:pt>
                <c:pt idx="235">
                  <c:v>33</c:v>
                </c:pt>
                <c:pt idx="236">
                  <c:v>33</c:v>
                </c:pt>
                <c:pt idx="237">
                  <c:v>33</c:v>
                </c:pt>
                <c:pt idx="238">
                  <c:v>33</c:v>
                </c:pt>
                <c:pt idx="239">
                  <c:v>33</c:v>
                </c:pt>
                <c:pt idx="240">
                  <c:v>33</c:v>
                </c:pt>
                <c:pt idx="241">
                  <c:v>33</c:v>
                </c:pt>
                <c:pt idx="242">
                  <c:v>34</c:v>
                </c:pt>
                <c:pt idx="243">
                  <c:v>34</c:v>
                </c:pt>
                <c:pt idx="244">
                  <c:v>34</c:v>
                </c:pt>
                <c:pt idx="245">
                  <c:v>34</c:v>
                </c:pt>
                <c:pt idx="246">
                  <c:v>34</c:v>
                </c:pt>
                <c:pt idx="247">
                  <c:v>34</c:v>
                </c:pt>
                <c:pt idx="248">
                  <c:v>34</c:v>
                </c:pt>
                <c:pt idx="249">
                  <c:v>35</c:v>
                </c:pt>
                <c:pt idx="250">
                  <c:v>36</c:v>
                </c:pt>
                <c:pt idx="251">
                  <c:v>37</c:v>
                </c:pt>
                <c:pt idx="252">
                  <c:v>37</c:v>
                </c:pt>
                <c:pt idx="253">
                  <c:v>37</c:v>
                </c:pt>
                <c:pt idx="254">
                  <c:v>37</c:v>
                </c:pt>
                <c:pt idx="255">
                  <c:v>37</c:v>
                </c:pt>
                <c:pt idx="256">
                  <c:v>37</c:v>
                </c:pt>
                <c:pt idx="257">
                  <c:v>37</c:v>
                </c:pt>
                <c:pt idx="258">
                  <c:v>37</c:v>
                </c:pt>
                <c:pt idx="259">
                  <c:v>37</c:v>
                </c:pt>
                <c:pt idx="260">
                  <c:v>37</c:v>
                </c:pt>
                <c:pt idx="261">
                  <c:v>37</c:v>
                </c:pt>
                <c:pt idx="262">
                  <c:v>38</c:v>
                </c:pt>
                <c:pt idx="263">
                  <c:v>39</c:v>
                </c:pt>
                <c:pt idx="264">
                  <c:v>39</c:v>
                </c:pt>
                <c:pt idx="265">
                  <c:v>39</c:v>
                </c:pt>
                <c:pt idx="266">
                  <c:v>39</c:v>
                </c:pt>
                <c:pt idx="267">
                  <c:v>39</c:v>
                </c:pt>
                <c:pt idx="268">
                  <c:v>39</c:v>
                </c:pt>
                <c:pt idx="269">
                  <c:v>39</c:v>
                </c:pt>
                <c:pt idx="270">
                  <c:v>39</c:v>
                </c:pt>
                <c:pt idx="271">
                  <c:v>39</c:v>
                </c:pt>
                <c:pt idx="272">
                  <c:v>39</c:v>
                </c:pt>
                <c:pt idx="273">
                  <c:v>39</c:v>
                </c:pt>
                <c:pt idx="274">
                  <c:v>40</c:v>
                </c:pt>
                <c:pt idx="275">
                  <c:v>40</c:v>
                </c:pt>
                <c:pt idx="276">
                  <c:v>40</c:v>
                </c:pt>
                <c:pt idx="277">
                  <c:v>40</c:v>
                </c:pt>
                <c:pt idx="278">
                  <c:v>40</c:v>
                </c:pt>
                <c:pt idx="279">
                  <c:v>40</c:v>
                </c:pt>
                <c:pt idx="280">
                  <c:v>40</c:v>
                </c:pt>
                <c:pt idx="281">
                  <c:v>40</c:v>
                </c:pt>
                <c:pt idx="282">
                  <c:v>40</c:v>
                </c:pt>
                <c:pt idx="283">
                  <c:v>40</c:v>
                </c:pt>
                <c:pt idx="284">
                  <c:v>40</c:v>
                </c:pt>
                <c:pt idx="285">
                  <c:v>40</c:v>
                </c:pt>
                <c:pt idx="286">
                  <c:v>40</c:v>
                </c:pt>
                <c:pt idx="287">
                  <c:v>40</c:v>
                </c:pt>
                <c:pt idx="288">
                  <c:v>40</c:v>
                </c:pt>
                <c:pt idx="289">
                  <c:v>40</c:v>
                </c:pt>
                <c:pt idx="290">
                  <c:v>40</c:v>
                </c:pt>
                <c:pt idx="291">
                  <c:v>40</c:v>
                </c:pt>
                <c:pt idx="292">
                  <c:v>40</c:v>
                </c:pt>
                <c:pt idx="293">
                  <c:v>40</c:v>
                </c:pt>
                <c:pt idx="294">
                  <c:v>40</c:v>
                </c:pt>
                <c:pt idx="295">
                  <c:v>40</c:v>
                </c:pt>
                <c:pt idx="296">
                  <c:v>40</c:v>
                </c:pt>
                <c:pt idx="297">
                  <c:v>40</c:v>
                </c:pt>
                <c:pt idx="298">
                  <c:v>40</c:v>
                </c:pt>
                <c:pt idx="299">
                  <c:v>40</c:v>
                </c:pt>
                <c:pt idx="300">
                  <c:v>40</c:v>
                </c:pt>
                <c:pt idx="301">
                  <c:v>40</c:v>
                </c:pt>
                <c:pt idx="302">
                  <c:v>40</c:v>
                </c:pt>
                <c:pt idx="303">
                  <c:v>40</c:v>
                </c:pt>
                <c:pt idx="304">
                  <c:v>40</c:v>
                </c:pt>
                <c:pt idx="305">
                  <c:v>40</c:v>
                </c:pt>
                <c:pt idx="306">
                  <c:v>40</c:v>
                </c:pt>
                <c:pt idx="307">
                  <c:v>40</c:v>
                </c:pt>
                <c:pt idx="308">
                  <c:v>40</c:v>
                </c:pt>
                <c:pt idx="309">
                  <c:v>40</c:v>
                </c:pt>
                <c:pt idx="310">
                  <c:v>40</c:v>
                </c:pt>
                <c:pt idx="311">
                  <c:v>40</c:v>
                </c:pt>
                <c:pt idx="312">
                  <c:v>40</c:v>
                </c:pt>
                <c:pt idx="313">
                  <c:v>40</c:v>
                </c:pt>
                <c:pt idx="314">
                  <c:v>40</c:v>
                </c:pt>
                <c:pt idx="315">
                  <c:v>40</c:v>
                </c:pt>
                <c:pt idx="316">
                  <c:v>40</c:v>
                </c:pt>
                <c:pt idx="317">
                  <c:v>40</c:v>
                </c:pt>
                <c:pt idx="318">
                  <c:v>40</c:v>
                </c:pt>
                <c:pt idx="319">
                  <c:v>40</c:v>
                </c:pt>
                <c:pt idx="320">
                  <c:v>40</c:v>
                </c:pt>
                <c:pt idx="321">
                  <c:v>40</c:v>
                </c:pt>
                <c:pt idx="322">
                  <c:v>40</c:v>
                </c:pt>
                <c:pt idx="323">
                  <c:v>40</c:v>
                </c:pt>
                <c:pt idx="324">
                  <c:v>40</c:v>
                </c:pt>
                <c:pt idx="325">
                  <c:v>40</c:v>
                </c:pt>
                <c:pt idx="326">
                  <c:v>40</c:v>
                </c:pt>
                <c:pt idx="327">
                  <c:v>40</c:v>
                </c:pt>
                <c:pt idx="328">
                  <c:v>40</c:v>
                </c:pt>
                <c:pt idx="329">
                  <c:v>40</c:v>
                </c:pt>
                <c:pt idx="330">
                  <c:v>40</c:v>
                </c:pt>
                <c:pt idx="331">
                  <c:v>40</c:v>
                </c:pt>
                <c:pt idx="332">
                  <c:v>40</c:v>
                </c:pt>
                <c:pt idx="333">
                  <c:v>40</c:v>
                </c:pt>
                <c:pt idx="334">
                  <c:v>40</c:v>
                </c:pt>
                <c:pt idx="335">
                  <c:v>40</c:v>
                </c:pt>
                <c:pt idx="336">
                  <c:v>40</c:v>
                </c:pt>
                <c:pt idx="337">
                  <c:v>40</c:v>
                </c:pt>
                <c:pt idx="338">
                  <c:v>40</c:v>
                </c:pt>
                <c:pt idx="339">
                  <c:v>40</c:v>
                </c:pt>
                <c:pt idx="340">
                  <c:v>40</c:v>
                </c:pt>
                <c:pt idx="341">
                  <c:v>40</c:v>
                </c:pt>
                <c:pt idx="342">
                  <c:v>40</c:v>
                </c:pt>
                <c:pt idx="343">
                  <c:v>40</c:v>
                </c:pt>
                <c:pt idx="344">
                  <c:v>40</c:v>
                </c:pt>
                <c:pt idx="345">
                  <c:v>40</c:v>
                </c:pt>
                <c:pt idx="346">
                  <c:v>40</c:v>
                </c:pt>
                <c:pt idx="347">
                  <c:v>40</c:v>
                </c:pt>
                <c:pt idx="348">
                  <c:v>40</c:v>
                </c:pt>
                <c:pt idx="349">
                  <c:v>40</c:v>
                </c:pt>
                <c:pt idx="350">
                  <c:v>40</c:v>
                </c:pt>
                <c:pt idx="351">
                  <c:v>40</c:v>
                </c:pt>
                <c:pt idx="352">
                  <c:v>40</c:v>
                </c:pt>
                <c:pt idx="353">
                  <c:v>40</c:v>
                </c:pt>
                <c:pt idx="354">
                  <c:v>40</c:v>
                </c:pt>
                <c:pt idx="355">
                  <c:v>40</c:v>
                </c:pt>
                <c:pt idx="356">
                  <c:v>40</c:v>
                </c:pt>
                <c:pt idx="357">
                  <c:v>40</c:v>
                </c:pt>
                <c:pt idx="358">
                  <c:v>40</c:v>
                </c:pt>
                <c:pt idx="359">
                  <c:v>40</c:v>
                </c:pt>
                <c:pt idx="360">
                  <c:v>40</c:v>
                </c:pt>
                <c:pt idx="361">
                  <c:v>40</c:v>
                </c:pt>
                <c:pt idx="362">
                  <c:v>40</c:v>
                </c:pt>
                <c:pt idx="363">
                  <c:v>40</c:v>
                </c:pt>
                <c:pt idx="364">
                  <c:v>40</c:v>
                </c:pt>
                <c:pt idx="365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C04-6543-8D7C-D7D7D45911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6697542"/>
        <c:axId val="1328740"/>
      </c:lineChart>
      <c:catAx>
        <c:axId val="8669754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DejaVu Sans"/>
              </a:defRPr>
            </a:pPr>
            <a:endParaRPr lang="cs-CZ"/>
          </a:p>
        </c:txPr>
        <c:crossAx val="1328740"/>
        <c:crosses val="autoZero"/>
        <c:auto val="1"/>
        <c:lblAlgn val="ctr"/>
        <c:lblOffset val="100"/>
        <c:noMultiLvlLbl val="0"/>
      </c:catAx>
      <c:valAx>
        <c:axId val="1328740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0.0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DejaVu Sans"/>
              </a:defRPr>
            </a:pPr>
            <a:endParaRPr lang="cs-CZ"/>
          </a:p>
        </c:txPr>
        <c:crossAx val="86697542"/>
        <c:crossesAt val="1"/>
        <c:crossBetween val="between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Total storms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List1!$BD$9</c:f>
              <c:strCache>
                <c:ptCount val="1"/>
                <c:pt idx="0">
                  <c:v>TD Amount:</c:v>
                </c:pt>
              </c:strCache>
            </c:strRef>
          </c:tx>
          <c:spPr>
            <a:ln w="360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360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trendline>
            <c:name>TD trend</c:name>
            <c:spPr>
              <a:ln w="18000">
                <a:solidFill>
                  <a:srgbClr val="83CAFF"/>
                </a:solidFill>
                <a:round/>
              </a:ln>
            </c:spPr>
            <c:trendlineType val="linear"/>
            <c:forward val="1"/>
            <c:backward val="1"/>
            <c:dispRSqr val="0"/>
            <c:dispEq val="0"/>
          </c:trendline>
          <c:cat>
            <c:numRef>
              <c:f>List1!$BE$10:$BE$40</c:f>
              <c:numCache>
                <c:formatCode>General</c:formatCode>
                <c:ptCount val="31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  <c:pt idx="28">
                  <c:v>2027</c:v>
                </c:pt>
                <c:pt idx="29">
                  <c:v>2028</c:v>
                </c:pt>
                <c:pt idx="30">
                  <c:v>2029</c:v>
                </c:pt>
              </c:numCache>
            </c:numRef>
          </c:cat>
          <c:val>
            <c:numRef>
              <c:f>List1!$BF$10:$BF$40</c:f>
              <c:numCache>
                <c:formatCode>General</c:formatCode>
                <c:ptCount val="31"/>
                <c:pt idx="0">
                  <c:v>20</c:v>
                </c:pt>
                <c:pt idx="1">
                  <c:v>28</c:v>
                </c:pt>
                <c:pt idx="2">
                  <c:v>22</c:v>
                </c:pt>
                <c:pt idx="3">
                  <c:v>30</c:v>
                </c:pt>
                <c:pt idx="4">
                  <c:v>30</c:v>
                </c:pt>
                <c:pt idx="5">
                  <c:v>34</c:v>
                </c:pt>
                <c:pt idx="6">
                  <c:v>28</c:v>
                </c:pt>
                <c:pt idx="7">
                  <c:v>31</c:v>
                </c:pt>
                <c:pt idx="8">
                  <c:v>33</c:v>
                </c:pt>
                <c:pt idx="9">
                  <c:v>26</c:v>
                </c:pt>
                <c:pt idx="10">
                  <c:v>29</c:v>
                </c:pt>
                <c:pt idx="11">
                  <c:v>20</c:v>
                </c:pt>
                <c:pt idx="12">
                  <c:v>32</c:v>
                </c:pt>
                <c:pt idx="13">
                  <c:v>33</c:v>
                </c:pt>
                <c:pt idx="14">
                  <c:v>20</c:v>
                </c:pt>
                <c:pt idx="15">
                  <c:v>40</c:v>
                </c:pt>
                <c:pt idx="16">
                  <c:v>28</c:v>
                </c:pt>
                <c:pt idx="17">
                  <c:v>33</c:v>
                </c:pt>
                <c:pt idx="18">
                  <c:v>33</c:v>
                </c:pt>
                <c:pt idx="19">
                  <c:v>29</c:v>
                </c:pt>
                <c:pt idx="20">
                  <c:v>25</c:v>
                </c:pt>
                <c:pt idx="21">
                  <c:v>22</c:v>
                </c:pt>
                <c:pt idx="22">
                  <c:v>28</c:v>
                </c:pt>
                <c:pt idx="23">
                  <c:v>26</c:v>
                </c:pt>
                <c:pt idx="24">
                  <c:v>29</c:v>
                </c:pt>
                <c:pt idx="25">
                  <c:v>30</c:v>
                </c:pt>
                <c:pt idx="26">
                  <c:v>19</c:v>
                </c:pt>
                <c:pt idx="27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89-ED47-A83A-B3EED965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5773153"/>
        <c:axId val="78765012"/>
      </c:lineChart>
      <c:catAx>
        <c:axId val="45773153"/>
        <c:scaling>
          <c:orientation val="minMax"/>
        </c:scaling>
        <c:delete val="0"/>
        <c:axPos val="b"/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DejaVu Sans"/>
              </a:defRPr>
            </a:pPr>
            <a:endParaRPr lang="cs-CZ"/>
          </a:p>
        </c:txPr>
        <c:crossAx val="78765012"/>
        <c:crosses val="autoZero"/>
        <c:auto val="1"/>
        <c:lblAlgn val="ctr"/>
        <c:lblOffset val="100"/>
        <c:noMultiLvlLbl val="0"/>
      </c:catAx>
      <c:valAx>
        <c:axId val="78765012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DejaVu Sans"/>
              </a:defRPr>
            </a:pPr>
            <a:endParaRPr lang="cs-CZ"/>
          </a:p>
        </c:txPr>
        <c:crossAx val="45773153"/>
        <c:crossesAt val="1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3.4339641286624797E-2"/>
          <c:y val="3.0890745182367101E-2"/>
          <c:w val="0.82731360245071395"/>
          <c:h val="0.9239930526838140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List1!$BI$9</c:f>
              <c:strCache>
                <c:ptCount val="1"/>
                <c:pt idx="0">
                  <c:v>MCS</c:v>
                </c:pt>
              </c:strCache>
            </c:strRef>
          </c:tx>
          <c:spPr>
            <a:solidFill>
              <a:srgbClr val="FF00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List1!$BH$10:$BH$40</c:f>
              <c:numCache>
                <c:formatCode>General</c:formatCode>
                <c:ptCount val="31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  <c:pt idx="28">
                  <c:v>2027</c:v>
                </c:pt>
                <c:pt idx="29">
                  <c:v>2028</c:v>
                </c:pt>
                <c:pt idx="30">
                  <c:v>2029</c:v>
                </c:pt>
              </c:numCache>
            </c:numRef>
          </c:cat>
          <c:val>
            <c:numRef>
              <c:f>List1!$BI$10:$BI$40</c:f>
              <c:numCache>
                <c:formatCode>General</c:formatCode>
                <c:ptCount val="31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  <c:pt idx="12">
                  <c:v>4</c:v>
                </c:pt>
                <c:pt idx="13">
                  <c:v>2</c:v>
                </c:pt>
                <c:pt idx="14">
                  <c:v>1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2</c:v>
                </c:pt>
                <c:pt idx="20">
                  <c:v>1</c:v>
                </c:pt>
                <c:pt idx="21">
                  <c:v>0</c:v>
                </c:pt>
                <c:pt idx="22">
                  <c:v>2</c:v>
                </c:pt>
                <c:pt idx="23">
                  <c:v>2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93-8140-BB48-07204036416E}"/>
            </c:ext>
          </c:extLst>
        </c:ser>
        <c:ser>
          <c:idx val="1"/>
          <c:order val="1"/>
          <c:tx>
            <c:strRef>
              <c:f>List1!$BJ$9</c:f>
              <c:strCache>
                <c:ptCount val="1"/>
                <c:pt idx="0">
                  <c:v>STR TS or SC</c:v>
                </c:pt>
              </c:strCache>
            </c:strRef>
          </c:tx>
          <c:spPr>
            <a:solidFill>
              <a:srgbClr val="FF80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List1!$BH$10:$BH$40</c:f>
              <c:numCache>
                <c:formatCode>General</c:formatCode>
                <c:ptCount val="31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  <c:pt idx="28">
                  <c:v>2027</c:v>
                </c:pt>
                <c:pt idx="29">
                  <c:v>2028</c:v>
                </c:pt>
                <c:pt idx="30">
                  <c:v>2029</c:v>
                </c:pt>
              </c:numCache>
            </c:numRef>
          </c:cat>
          <c:val>
            <c:numRef>
              <c:f>List1!$BJ$10:$BJ$40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5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0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2</c:v>
                </c:pt>
                <c:pt idx="17">
                  <c:v>1</c:v>
                </c:pt>
                <c:pt idx="18">
                  <c:v>4</c:v>
                </c:pt>
                <c:pt idx="19">
                  <c:v>3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2</c:v>
                </c:pt>
                <c:pt idx="24">
                  <c:v>2</c:v>
                </c:pt>
                <c:pt idx="25">
                  <c:v>9</c:v>
                </c:pt>
                <c:pt idx="26">
                  <c:v>3</c:v>
                </c:pt>
                <c:pt idx="2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93-8140-BB48-07204036416E}"/>
            </c:ext>
          </c:extLst>
        </c:ser>
        <c:ser>
          <c:idx val="2"/>
          <c:order val="2"/>
          <c:tx>
            <c:strRef>
              <c:f>List1!$BK$9</c:f>
              <c:strCache>
                <c:ptCount val="1"/>
                <c:pt idx="0">
                  <c:v>WF induced</c:v>
                </c:pt>
              </c:strCache>
            </c:strRef>
          </c:tx>
          <c:spPr>
            <a:solidFill>
              <a:srgbClr val="0084D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List1!$BH$10:$BH$40</c:f>
              <c:numCache>
                <c:formatCode>General</c:formatCode>
                <c:ptCount val="31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  <c:pt idx="28">
                  <c:v>2027</c:v>
                </c:pt>
                <c:pt idx="29">
                  <c:v>2028</c:v>
                </c:pt>
                <c:pt idx="30">
                  <c:v>2029</c:v>
                </c:pt>
              </c:numCache>
            </c:numRef>
          </c:cat>
          <c:val>
            <c:numRef>
              <c:f>List1!$BK$10:$BK$40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3</c:v>
                </c:pt>
                <c:pt idx="22">
                  <c:v>2</c:v>
                </c:pt>
                <c:pt idx="23">
                  <c:v>4</c:v>
                </c:pt>
                <c:pt idx="24">
                  <c:v>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93-8140-BB48-07204036416E}"/>
            </c:ext>
          </c:extLst>
        </c:ser>
        <c:ser>
          <c:idx val="3"/>
          <c:order val="3"/>
          <c:tx>
            <c:strRef>
              <c:f>List1!$BL$9</c:f>
              <c:strCache>
                <c:ptCount val="1"/>
                <c:pt idx="0">
                  <c:v>Far storms</c:v>
                </c:pt>
              </c:strCache>
            </c:strRef>
          </c:tx>
          <c:spPr>
            <a:solidFill>
              <a:srgbClr val="FFFF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List1!$BH$10:$BH$40</c:f>
              <c:numCache>
                <c:formatCode>General</c:formatCode>
                <c:ptCount val="31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  <c:pt idx="28">
                  <c:v>2027</c:v>
                </c:pt>
                <c:pt idx="29">
                  <c:v>2028</c:v>
                </c:pt>
                <c:pt idx="30">
                  <c:v>2029</c:v>
                </c:pt>
              </c:numCache>
            </c:numRef>
          </c:cat>
          <c:val>
            <c:numRef>
              <c:f>List1!$BL$10:$BL$40</c:f>
              <c:numCache>
                <c:formatCode>General</c:formatCode>
                <c:ptCount val="31"/>
                <c:pt idx="0">
                  <c:v>9</c:v>
                </c:pt>
                <c:pt idx="1">
                  <c:v>15</c:v>
                </c:pt>
                <c:pt idx="2">
                  <c:v>8</c:v>
                </c:pt>
                <c:pt idx="3">
                  <c:v>9</c:v>
                </c:pt>
                <c:pt idx="4">
                  <c:v>11</c:v>
                </c:pt>
                <c:pt idx="5">
                  <c:v>15</c:v>
                </c:pt>
                <c:pt idx="6">
                  <c:v>8</c:v>
                </c:pt>
                <c:pt idx="7">
                  <c:v>9</c:v>
                </c:pt>
                <c:pt idx="8">
                  <c:v>12</c:v>
                </c:pt>
                <c:pt idx="9">
                  <c:v>8</c:v>
                </c:pt>
                <c:pt idx="10">
                  <c:v>11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11</c:v>
                </c:pt>
                <c:pt idx="16">
                  <c:v>9</c:v>
                </c:pt>
                <c:pt idx="17">
                  <c:v>14</c:v>
                </c:pt>
                <c:pt idx="18">
                  <c:v>11</c:v>
                </c:pt>
                <c:pt idx="19">
                  <c:v>12</c:v>
                </c:pt>
                <c:pt idx="20">
                  <c:v>10</c:v>
                </c:pt>
                <c:pt idx="21">
                  <c:v>10</c:v>
                </c:pt>
                <c:pt idx="22">
                  <c:v>9</c:v>
                </c:pt>
                <c:pt idx="23">
                  <c:v>10</c:v>
                </c:pt>
                <c:pt idx="24">
                  <c:v>13</c:v>
                </c:pt>
                <c:pt idx="25">
                  <c:v>11</c:v>
                </c:pt>
                <c:pt idx="26">
                  <c:v>7</c:v>
                </c:pt>
                <c:pt idx="27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F93-8140-BB48-0720403641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657011"/>
        <c:axId val="73081455"/>
      </c:barChart>
      <c:catAx>
        <c:axId val="1165701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DejaVu Sans"/>
              </a:defRPr>
            </a:pPr>
            <a:endParaRPr lang="cs-CZ"/>
          </a:p>
        </c:txPr>
        <c:crossAx val="73081455"/>
        <c:crosses val="autoZero"/>
        <c:auto val="1"/>
        <c:lblAlgn val="ctr"/>
        <c:lblOffset val="100"/>
        <c:noMultiLvlLbl val="0"/>
      </c:catAx>
      <c:valAx>
        <c:axId val="73081455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DejaVu Sans"/>
              </a:defRPr>
            </a:pPr>
            <a:endParaRPr lang="cs-CZ"/>
          </a:p>
        </c:txPr>
        <c:crossAx val="11657011"/>
        <c:crossesAt val="1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List1!$BY$18</c:f>
              <c:strCache>
                <c:ptCount val="1"/>
                <c:pt idx="0">
                  <c:v>Points:</c:v>
                </c:pt>
              </c:strCache>
            </c:strRef>
          </c:tx>
          <c:spPr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List1!$BS$19:$BS$46</c:f>
              <c:strCache>
                <c:ptCount val="28"/>
                <c:pt idx="0">
                  <c:v>Season 1999:</c:v>
                </c:pt>
                <c:pt idx="1">
                  <c:v>Season 2000:</c:v>
                </c:pt>
                <c:pt idx="2">
                  <c:v>Season 2001:</c:v>
                </c:pt>
                <c:pt idx="3">
                  <c:v>Season 2002:</c:v>
                </c:pt>
                <c:pt idx="4">
                  <c:v>Season 2003:</c:v>
                </c:pt>
                <c:pt idx="5">
                  <c:v>Season 2004:</c:v>
                </c:pt>
                <c:pt idx="6">
                  <c:v>Season 2005:</c:v>
                </c:pt>
                <c:pt idx="7">
                  <c:v>Season 2006:</c:v>
                </c:pt>
                <c:pt idx="8">
                  <c:v>Season 2007:</c:v>
                </c:pt>
                <c:pt idx="9">
                  <c:v>Season 2008:</c:v>
                </c:pt>
                <c:pt idx="10">
                  <c:v>Season 2009:</c:v>
                </c:pt>
                <c:pt idx="11">
                  <c:v>Season 2010:</c:v>
                </c:pt>
                <c:pt idx="12">
                  <c:v>Season 2011:</c:v>
                </c:pt>
                <c:pt idx="13">
                  <c:v>Season 2012:</c:v>
                </c:pt>
                <c:pt idx="14">
                  <c:v>Season 2013:</c:v>
                </c:pt>
                <c:pt idx="15">
                  <c:v>Season 2014:</c:v>
                </c:pt>
                <c:pt idx="16">
                  <c:v>Season 2015:</c:v>
                </c:pt>
                <c:pt idx="17">
                  <c:v>Season 2016:</c:v>
                </c:pt>
                <c:pt idx="18">
                  <c:v>Season 2017:</c:v>
                </c:pt>
                <c:pt idx="19">
                  <c:v>Season 2018:</c:v>
                </c:pt>
                <c:pt idx="20">
                  <c:v>Season 2019:</c:v>
                </c:pt>
                <c:pt idx="21">
                  <c:v>Season 2020:</c:v>
                </c:pt>
                <c:pt idx="22">
                  <c:v>Season 2021:</c:v>
                </c:pt>
                <c:pt idx="23">
                  <c:v>Season 2022:</c:v>
                </c:pt>
                <c:pt idx="24">
                  <c:v>Season 2023:</c:v>
                </c:pt>
                <c:pt idx="25">
                  <c:v>Season 2024:</c:v>
                </c:pt>
                <c:pt idx="26">
                  <c:v>Season 2025:</c:v>
                </c:pt>
                <c:pt idx="27">
                  <c:v>Season 2026:</c:v>
                </c:pt>
              </c:strCache>
            </c:strRef>
          </c:cat>
          <c:val>
            <c:numRef>
              <c:f>List1!$BY$19:$BY$46</c:f>
              <c:numCache>
                <c:formatCode>General</c:formatCode>
                <c:ptCount val="28"/>
                <c:pt idx="0">
                  <c:v>-3</c:v>
                </c:pt>
                <c:pt idx="1">
                  <c:v>0</c:v>
                </c:pt>
                <c:pt idx="2">
                  <c:v>-2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-3</c:v>
                </c:pt>
                <c:pt idx="12">
                  <c:v>1</c:v>
                </c:pt>
                <c:pt idx="13">
                  <c:v>2</c:v>
                </c:pt>
                <c:pt idx="14">
                  <c:v>-3</c:v>
                </c:pt>
                <c:pt idx="15">
                  <c:v>3</c:v>
                </c:pt>
                <c:pt idx="16">
                  <c:v>0</c:v>
                </c:pt>
                <c:pt idx="17">
                  <c:v>2</c:v>
                </c:pt>
                <c:pt idx="18">
                  <c:v>2</c:v>
                </c:pt>
                <c:pt idx="19">
                  <c:v>0</c:v>
                </c:pt>
                <c:pt idx="20">
                  <c:v>-1</c:v>
                </c:pt>
                <c:pt idx="21">
                  <c:v>-2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-3</c:v>
                </c:pt>
                <c:pt idx="27">
                  <c:v>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45-8A47-A839-EAB438123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5815465"/>
        <c:axId val="83832507"/>
      </c:lineChart>
      <c:catAx>
        <c:axId val="3581546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83832507"/>
        <c:crosses val="autoZero"/>
        <c:auto val="1"/>
        <c:lblAlgn val="ctr"/>
        <c:lblOffset val="100"/>
        <c:noMultiLvlLbl val="0"/>
      </c:catAx>
      <c:valAx>
        <c:axId val="8383250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3581546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TOTAL STORMS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5521845076706603E-2"/>
          <c:y val="7.8892993550810905E-2"/>
          <c:w val="0.80423516491059499"/>
          <c:h val="0.85630204746102301"/>
        </c:manualLayout>
      </c:layout>
      <c:lineChart>
        <c:grouping val="standard"/>
        <c:varyColors val="0"/>
        <c:ser>
          <c:idx val="0"/>
          <c:order val="0"/>
          <c:tx>
            <c:strRef>
              <c:f>List1!$CH$7</c:f>
              <c:strCache>
                <c:ptCount val="1"/>
                <c:pt idx="0">
                  <c:v>January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trendline>
            <c:spPr>
              <a:ln w="18000">
                <a:solidFill>
                  <a:srgbClr val="83CAFF"/>
                </a:solidFill>
                <a:round/>
              </a:ln>
            </c:spPr>
            <c:trendlineType val="linear"/>
            <c:dispRSqr val="0"/>
            <c:dispEq val="0"/>
          </c:trendline>
          <c:cat>
            <c:numRef>
              <c:f>List1!$CG$8:$CG$35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List1!$CH$8:$CH$35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D6-C44B-B60E-824ACEF3A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2291586"/>
        <c:axId val="83053646"/>
      </c:lineChart>
      <c:catAx>
        <c:axId val="1229158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83053646"/>
        <c:crosses val="autoZero"/>
        <c:auto val="1"/>
        <c:lblAlgn val="ctr"/>
        <c:lblOffset val="100"/>
        <c:noMultiLvlLbl val="0"/>
      </c:catAx>
      <c:valAx>
        <c:axId val="83053646"/>
        <c:scaling>
          <c:orientation val="minMax"/>
          <c:max val="3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12291586"/>
        <c:crossesAt val="1"/>
        <c:crossBetween val="midCat"/>
        <c:majorUnit val="1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4.7098835411728303E-2"/>
          <c:y val="3.3591892906292997E-2"/>
          <c:w val="0.79923734927342105"/>
          <c:h val="0.87833103965970205"/>
        </c:manualLayout>
      </c:layout>
      <c:lineChart>
        <c:grouping val="standard"/>
        <c:varyColors val="0"/>
        <c:ser>
          <c:idx val="0"/>
          <c:order val="0"/>
          <c:tx>
            <c:strRef>
              <c:f>List1!$CI$7</c:f>
              <c:strCache>
                <c:ptCount val="1"/>
                <c:pt idx="0">
                  <c:v>February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trendline>
            <c:spPr>
              <a:ln w="18000">
                <a:solidFill>
                  <a:srgbClr val="83CAFF"/>
                </a:solidFill>
                <a:round/>
              </a:ln>
            </c:spPr>
            <c:trendlineType val="linear"/>
            <c:dispRSqr val="0"/>
            <c:dispEq val="0"/>
          </c:trendline>
          <c:cat>
            <c:numRef>
              <c:f>List1!$CG$8:$CG$35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List1!$CI$8:$CI$35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B9-DB4D-A34F-7BD262316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3493706"/>
        <c:axId val="28074233"/>
      </c:lineChart>
      <c:catAx>
        <c:axId val="8349370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28074233"/>
        <c:crosses val="autoZero"/>
        <c:auto val="1"/>
        <c:lblAlgn val="ctr"/>
        <c:lblOffset val="100"/>
        <c:noMultiLvlLbl val="0"/>
      </c:catAx>
      <c:valAx>
        <c:axId val="28074233"/>
        <c:scaling>
          <c:orientation val="minMax"/>
          <c:max val="3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83493706"/>
        <c:crossesAt val="1"/>
        <c:crossBetween val="midCat"/>
        <c:majorUnit val="1"/>
        <c:minorUnit val="1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3.5617005137399599E-2"/>
          <c:y val="3.0817710836938499E-2"/>
          <c:w val="0.818294659173189"/>
          <c:h val="0.91101853335469696"/>
        </c:manualLayout>
      </c:layout>
      <c:lineChart>
        <c:grouping val="standard"/>
        <c:varyColors val="0"/>
        <c:ser>
          <c:idx val="0"/>
          <c:order val="0"/>
          <c:tx>
            <c:strRef>
              <c:f>List1!$CJ$7</c:f>
              <c:strCache>
                <c:ptCount val="1"/>
                <c:pt idx="0">
                  <c:v>March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trendline>
            <c:spPr>
              <a:ln w="18000">
                <a:solidFill>
                  <a:srgbClr val="83CAFF"/>
                </a:solidFill>
                <a:round/>
              </a:ln>
            </c:spPr>
            <c:trendlineType val="linear"/>
            <c:dispRSqr val="0"/>
            <c:dispEq val="0"/>
          </c:trendline>
          <c:cat>
            <c:numRef>
              <c:f>List1!$CG$8:$CG$35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List1!$CJ$8:$CJ$35</c:f>
              <c:numCache>
                <c:formatCode>General</c:formatCode>
                <c:ptCount val="28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5B-524C-A1B7-26A5E8F9F5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1937765"/>
        <c:axId val="4828625"/>
      </c:lineChart>
      <c:catAx>
        <c:axId val="4193776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4828625"/>
        <c:crosses val="autoZero"/>
        <c:auto val="1"/>
        <c:lblAlgn val="ctr"/>
        <c:lblOffset val="100"/>
        <c:noMultiLvlLbl val="0"/>
      </c:catAx>
      <c:valAx>
        <c:axId val="4828625"/>
        <c:scaling>
          <c:orientation val="minMax"/>
          <c:max val="4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41937765"/>
        <c:crossesAt val="1"/>
        <c:crossBetween val="midCat"/>
        <c:majorUnit val="1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3.4868853025538202E-2"/>
          <c:y val="1.9307313016099299E-2"/>
          <c:w val="0.83415696167536402"/>
          <c:h val="0.90043367195390001"/>
        </c:manualLayout>
      </c:layout>
      <c:lineChart>
        <c:grouping val="standard"/>
        <c:varyColors val="0"/>
        <c:ser>
          <c:idx val="0"/>
          <c:order val="0"/>
          <c:tx>
            <c:strRef>
              <c:f>List1!$CK$7</c:f>
              <c:strCache>
                <c:ptCount val="1"/>
                <c:pt idx="0">
                  <c:v>April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trendline>
            <c:spPr>
              <a:ln w="18000">
                <a:solidFill>
                  <a:srgbClr val="83CAFF"/>
                </a:solidFill>
                <a:round/>
              </a:ln>
            </c:spPr>
            <c:trendlineType val="linear"/>
            <c:dispRSqr val="0"/>
            <c:dispEq val="0"/>
          </c:trendline>
          <c:cat>
            <c:numRef>
              <c:f>List1!$CG$8:$CG$35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List1!$CK$8:$CK$35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2</c:v>
                </c:pt>
                <c:pt idx="7">
                  <c:v>4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2</c:v>
                </c:pt>
                <c:pt idx="13">
                  <c:v>1</c:v>
                </c:pt>
                <c:pt idx="14">
                  <c:v>2</c:v>
                </c:pt>
                <c:pt idx="15">
                  <c:v>6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2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0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97-D84E-84EF-28DEA6B8E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3008082"/>
        <c:axId val="96467392"/>
      </c:lineChart>
      <c:catAx>
        <c:axId val="9300808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96467392"/>
        <c:crosses val="autoZero"/>
        <c:auto val="1"/>
        <c:lblAlgn val="ctr"/>
        <c:lblOffset val="100"/>
        <c:noMultiLvlLbl val="0"/>
      </c:catAx>
      <c:valAx>
        <c:axId val="964673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9300808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2.45850622406639E-2"/>
          <c:y val="3.1523061608229201E-2"/>
          <c:w val="0.85096818810511798"/>
          <c:h val="0.88867381926778"/>
        </c:manualLayout>
      </c:layout>
      <c:lineChart>
        <c:grouping val="standard"/>
        <c:varyColors val="0"/>
        <c:ser>
          <c:idx val="0"/>
          <c:order val="0"/>
          <c:tx>
            <c:strRef>
              <c:f>List1!$CL$7</c:f>
              <c:strCache>
                <c:ptCount val="1"/>
                <c:pt idx="0">
                  <c:v>May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trendline>
            <c:spPr>
              <a:ln w="18000">
                <a:solidFill>
                  <a:srgbClr val="83CAFF"/>
                </a:solidFill>
                <a:round/>
              </a:ln>
            </c:spPr>
            <c:trendlineType val="linear"/>
            <c:dispRSqr val="0"/>
            <c:dispEq val="0"/>
          </c:trendline>
          <c:cat>
            <c:numRef>
              <c:f>List1!$CG$8:$CG$35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List1!$CL$8:$CL$35</c:f>
              <c:numCache>
                <c:formatCode>General</c:formatCode>
                <c:ptCount val="28"/>
                <c:pt idx="0">
                  <c:v>6</c:v>
                </c:pt>
                <c:pt idx="1">
                  <c:v>6</c:v>
                </c:pt>
                <c:pt idx="2">
                  <c:v>4</c:v>
                </c:pt>
                <c:pt idx="3">
                  <c:v>5</c:v>
                </c:pt>
                <c:pt idx="4">
                  <c:v>7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6</c:v>
                </c:pt>
                <c:pt idx="9">
                  <c:v>7</c:v>
                </c:pt>
                <c:pt idx="10">
                  <c:v>7</c:v>
                </c:pt>
                <c:pt idx="11">
                  <c:v>3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7</c:v>
                </c:pt>
                <c:pt idx="16">
                  <c:v>2</c:v>
                </c:pt>
                <c:pt idx="17">
                  <c:v>5</c:v>
                </c:pt>
                <c:pt idx="18">
                  <c:v>5</c:v>
                </c:pt>
                <c:pt idx="19">
                  <c:v>6</c:v>
                </c:pt>
                <c:pt idx="20">
                  <c:v>1</c:v>
                </c:pt>
                <c:pt idx="21">
                  <c:v>0</c:v>
                </c:pt>
                <c:pt idx="22">
                  <c:v>5</c:v>
                </c:pt>
                <c:pt idx="23">
                  <c:v>4</c:v>
                </c:pt>
                <c:pt idx="24">
                  <c:v>1</c:v>
                </c:pt>
                <c:pt idx="25">
                  <c:v>7</c:v>
                </c:pt>
                <c:pt idx="26">
                  <c:v>4</c:v>
                </c:pt>
                <c:pt idx="27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CB-FF4E-9CA0-625C10EC44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8278863"/>
        <c:axId val="89161186"/>
      </c:lineChart>
      <c:catAx>
        <c:axId val="6827886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89161186"/>
        <c:crosses val="autoZero"/>
        <c:auto val="1"/>
        <c:lblAlgn val="ctr"/>
        <c:lblOffset val="100"/>
        <c:noMultiLvlLbl val="0"/>
      </c:catAx>
      <c:valAx>
        <c:axId val="8916118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6827886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7366455761850403"/>
          <c:y val="0.46944982029306098"/>
          <c:w val="0.126270659013899"/>
          <c:h val="6.0993143109931397E-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2.6866905483604299E-2"/>
          <c:y val="2.99168429857797E-2"/>
          <c:w val="0.84568751722237501"/>
          <c:h val="0.91492397775918899"/>
        </c:manualLayout>
      </c:layout>
      <c:lineChart>
        <c:grouping val="standard"/>
        <c:varyColors val="0"/>
        <c:ser>
          <c:idx val="0"/>
          <c:order val="0"/>
          <c:tx>
            <c:strRef>
              <c:f>List1!$CM$7</c:f>
              <c:strCache>
                <c:ptCount val="1"/>
                <c:pt idx="0">
                  <c:v>June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trendline>
            <c:spPr>
              <a:ln w="18000">
                <a:solidFill>
                  <a:srgbClr val="83CAFF"/>
                </a:solidFill>
                <a:round/>
              </a:ln>
            </c:spPr>
            <c:trendlineType val="linear"/>
            <c:forward val="-1"/>
            <c:dispRSqr val="0"/>
            <c:dispEq val="0"/>
          </c:trendline>
          <c:cat>
            <c:numRef>
              <c:f>List1!$CG$8:$CG$35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List1!$CM$8:$CM$35</c:f>
              <c:numCache>
                <c:formatCode>General</c:formatCode>
                <c:ptCount val="28"/>
                <c:pt idx="0">
                  <c:v>4</c:v>
                </c:pt>
                <c:pt idx="1">
                  <c:v>7</c:v>
                </c:pt>
                <c:pt idx="2">
                  <c:v>5</c:v>
                </c:pt>
                <c:pt idx="3">
                  <c:v>4</c:v>
                </c:pt>
                <c:pt idx="4">
                  <c:v>7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3</c:v>
                </c:pt>
                <c:pt idx="12">
                  <c:v>8</c:v>
                </c:pt>
                <c:pt idx="13">
                  <c:v>6</c:v>
                </c:pt>
                <c:pt idx="14">
                  <c:v>4</c:v>
                </c:pt>
                <c:pt idx="15">
                  <c:v>3</c:v>
                </c:pt>
                <c:pt idx="16">
                  <c:v>7</c:v>
                </c:pt>
                <c:pt idx="17">
                  <c:v>13</c:v>
                </c:pt>
                <c:pt idx="18">
                  <c:v>8</c:v>
                </c:pt>
                <c:pt idx="19">
                  <c:v>3</c:v>
                </c:pt>
                <c:pt idx="20">
                  <c:v>5</c:v>
                </c:pt>
                <c:pt idx="21">
                  <c:v>8</c:v>
                </c:pt>
                <c:pt idx="22">
                  <c:v>8</c:v>
                </c:pt>
                <c:pt idx="23">
                  <c:v>5</c:v>
                </c:pt>
                <c:pt idx="24">
                  <c:v>10</c:v>
                </c:pt>
                <c:pt idx="25">
                  <c:v>6</c:v>
                </c:pt>
                <c:pt idx="26">
                  <c:v>3</c:v>
                </c:pt>
                <c:pt idx="27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3C-1648-8D2D-E5C13933F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4322955"/>
        <c:axId val="64080589"/>
      </c:lineChart>
      <c:catAx>
        <c:axId val="3432295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64080589"/>
        <c:crosses val="autoZero"/>
        <c:auto val="1"/>
        <c:lblAlgn val="ctr"/>
        <c:lblOffset val="100"/>
        <c:noMultiLvlLbl val="0"/>
      </c:catAx>
      <c:valAx>
        <c:axId val="6408058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34322955"/>
        <c:crossesAt val="1"/>
        <c:crossBetween val="midCat"/>
        <c:majorUnit val="1"/>
        <c:minorUnit val="1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7656276907180997"/>
          <c:y val="0.47279346649611298"/>
          <c:w val="0.120479437900393"/>
          <c:h val="5.4317343173431697E-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3.1602991332644999E-2"/>
          <c:y val="3.2263052105344497E-2"/>
          <c:w val="0.85171626145999602"/>
          <c:h val="0.90439622738751702"/>
        </c:manualLayout>
      </c:layout>
      <c:lineChart>
        <c:grouping val="standard"/>
        <c:varyColors val="0"/>
        <c:ser>
          <c:idx val="0"/>
          <c:order val="0"/>
          <c:tx>
            <c:strRef>
              <c:f>List1!$CN$7</c:f>
              <c:strCache>
                <c:ptCount val="1"/>
                <c:pt idx="0">
                  <c:v>July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trendline>
            <c:spPr>
              <a:ln w="18000">
                <a:solidFill>
                  <a:srgbClr val="83CAFF"/>
                </a:solidFill>
                <a:round/>
              </a:ln>
            </c:spPr>
            <c:trendlineType val="linear"/>
            <c:dispRSqr val="0"/>
            <c:dispEq val="0"/>
          </c:trendline>
          <c:cat>
            <c:numRef>
              <c:f>List1!$CG$8:$CG$35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List1!$CN$8:$CN$35</c:f>
              <c:numCache>
                <c:formatCode>General</c:formatCode>
                <c:ptCount val="28"/>
                <c:pt idx="0">
                  <c:v>5</c:v>
                </c:pt>
                <c:pt idx="1">
                  <c:v>6</c:v>
                </c:pt>
                <c:pt idx="2">
                  <c:v>4</c:v>
                </c:pt>
                <c:pt idx="3">
                  <c:v>7</c:v>
                </c:pt>
                <c:pt idx="4">
                  <c:v>10</c:v>
                </c:pt>
                <c:pt idx="5">
                  <c:v>9</c:v>
                </c:pt>
                <c:pt idx="6">
                  <c:v>9</c:v>
                </c:pt>
                <c:pt idx="7">
                  <c:v>11</c:v>
                </c:pt>
                <c:pt idx="8">
                  <c:v>7</c:v>
                </c:pt>
                <c:pt idx="9">
                  <c:v>3</c:v>
                </c:pt>
                <c:pt idx="10">
                  <c:v>8</c:v>
                </c:pt>
                <c:pt idx="11">
                  <c:v>7</c:v>
                </c:pt>
                <c:pt idx="12">
                  <c:v>7</c:v>
                </c:pt>
                <c:pt idx="13">
                  <c:v>10</c:v>
                </c:pt>
                <c:pt idx="14">
                  <c:v>3</c:v>
                </c:pt>
                <c:pt idx="15">
                  <c:v>13</c:v>
                </c:pt>
                <c:pt idx="16">
                  <c:v>9</c:v>
                </c:pt>
                <c:pt idx="17">
                  <c:v>11</c:v>
                </c:pt>
                <c:pt idx="18">
                  <c:v>10</c:v>
                </c:pt>
                <c:pt idx="19">
                  <c:v>4</c:v>
                </c:pt>
                <c:pt idx="20">
                  <c:v>6</c:v>
                </c:pt>
                <c:pt idx="21">
                  <c:v>4</c:v>
                </c:pt>
                <c:pt idx="22">
                  <c:v>7</c:v>
                </c:pt>
                <c:pt idx="23">
                  <c:v>4</c:v>
                </c:pt>
                <c:pt idx="24">
                  <c:v>6</c:v>
                </c:pt>
                <c:pt idx="25">
                  <c:v>6</c:v>
                </c:pt>
                <c:pt idx="26">
                  <c:v>7</c:v>
                </c:pt>
                <c:pt idx="27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22-A942-BE81-610C932160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3235631"/>
        <c:axId val="81250414"/>
      </c:lineChart>
      <c:catAx>
        <c:axId val="8323563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81250414"/>
        <c:crosses val="autoZero"/>
        <c:auto val="1"/>
        <c:lblAlgn val="ctr"/>
        <c:lblOffset val="100"/>
        <c:noMultiLvlLbl val="0"/>
      </c:catAx>
      <c:valAx>
        <c:axId val="8125041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83235631"/>
        <c:crossesAt val="1"/>
        <c:crossBetween val="midCat"/>
        <c:majorUnit val="1"/>
        <c:minorUnit val="1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1.97711042504756E-2"/>
          <c:y val="3.2910431576664498E-2"/>
          <c:w val="0.85433623351108601"/>
          <c:h val="0.90181088700932599"/>
        </c:manualLayout>
      </c:layout>
      <c:lineChart>
        <c:grouping val="standard"/>
        <c:varyColors val="0"/>
        <c:ser>
          <c:idx val="0"/>
          <c:order val="0"/>
          <c:tx>
            <c:strRef>
              <c:f>List1!$CO$7</c:f>
              <c:strCache>
                <c:ptCount val="1"/>
                <c:pt idx="0">
                  <c:v>August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trendline>
            <c:spPr>
              <a:ln w="18000">
                <a:solidFill>
                  <a:srgbClr val="83CAFF"/>
                </a:solidFill>
                <a:round/>
              </a:ln>
            </c:spPr>
            <c:trendlineType val="linear"/>
            <c:dispRSqr val="0"/>
            <c:dispEq val="0"/>
          </c:trendline>
          <c:cat>
            <c:numRef>
              <c:f>List1!$CG$8:$CG$35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List1!$CO$8:$CO$35</c:f>
              <c:numCache>
                <c:formatCode>General</c:formatCode>
                <c:ptCount val="28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6</c:v>
                </c:pt>
                <c:pt idx="4">
                  <c:v>4</c:v>
                </c:pt>
                <c:pt idx="5">
                  <c:v>8</c:v>
                </c:pt>
                <c:pt idx="6">
                  <c:v>4</c:v>
                </c:pt>
                <c:pt idx="7">
                  <c:v>4</c:v>
                </c:pt>
                <c:pt idx="8">
                  <c:v>9</c:v>
                </c:pt>
                <c:pt idx="9">
                  <c:v>4</c:v>
                </c:pt>
                <c:pt idx="10">
                  <c:v>5</c:v>
                </c:pt>
                <c:pt idx="11">
                  <c:v>4</c:v>
                </c:pt>
                <c:pt idx="12">
                  <c:v>5</c:v>
                </c:pt>
                <c:pt idx="13">
                  <c:v>6</c:v>
                </c:pt>
                <c:pt idx="14">
                  <c:v>4</c:v>
                </c:pt>
                <c:pt idx="15">
                  <c:v>5</c:v>
                </c:pt>
                <c:pt idx="16">
                  <c:v>4</c:v>
                </c:pt>
                <c:pt idx="17">
                  <c:v>2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6</c:v>
                </c:pt>
                <c:pt idx="22">
                  <c:v>6</c:v>
                </c:pt>
                <c:pt idx="23">
                  <c:v>5</c:v>
                </c:pt>
                <c:pt idx="24">
                  <c:v>5</c:v>
                </c:pt>
                <c:pt idx="25">
                  <c:v>9</c:v>
                </c:pt>
                <c:pt idx="2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E5-C747-B055-34B3CEEE6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3492560"/>
        <c:axId val="82934334"/>
      </c:lineChart>
      <c:catAx>
        <c:axId val="134925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82934334"/>
        <c:crosses val="autoZero"/>
        <c:auto val="1"/>
        <c:lblAlgn val="ctr"/>
        <c:lblOffset val="100"/>
        <c:noMultiLvlLbl val="0"/>
      </c:catAx>
      <c:valAx>
        <c:axId val="8293433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1349256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7617711256626096"/>
          <c:y val="0.46647151298314099"/>
          <c:w val="0.12376438304905001"/>
          <c:h val="6.6897972460153998E-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3.4242093784078498E-2"/>
          <c:y val="3.13798136297294E-2"/>
          <c:w val="0.79766318741236997"/>
          <c:h val="0.90855506904681704"/>
        </c:manualLayout>
      </c:layout>
      <c:lineChart>
        <c:grouping val="standard"/>
        <c:varyColors val="0"/>
        <c:ser>
          <c:idx val="0"/>
          <c:order val="0"/>
          <c:tx>
            <c:strRef>
              <c:f>List1!$CP$7</c:f>
              <c:strCache>
                <c:ptCount val="1"/>
                <c:pt idx="0">
                  <c:v>September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trendline>
            <c:spPr>
              <a:ln w="18000">
                <a:solidFill>
                  <a:srgbClr val="83CAFF"/>
                </a:solidFill>
                <a:round/>
              </a:ln>
            </c:spPr>
            <c:trendlineType val="linear"/>
            <c:dispRSqr val="0"/>
            <c:dispEq val="0"/>
          </c:trendline>
          <c:cat>
            <c:numRef>
              <c:f>List1!$CG$8:$CG$35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List1!$CP$8:$CP$35</c:f>
              <c:numCache>
                <c:formatCode>General</c:formatCode>
                <c:ptCount val="28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5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3</c:v>
                </c:pt>
                <c:pt idx="13">
                  <c:v>2</c:v>
                </c:pt>
                <c:pt idx="14">
                  <c:v>1</c:v>
                </c:pt>
                <c:pt idx="15">
                  <c:v>5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3</c:v>
                </c:pt>
                <c:pt idx="20">
                  <c:v>1</c:v>
                </c:pt>
                <c:pt idx="21">
                  <c:v>2</c:v>
                </c:pt>
                <c:pt idx="22">
                  <c:v>2</c:v>
                </c:pt>
                <c:pt idx="23">
                  <c:v>5</c:v>
                </c:pt>
                <c:pt idx="24">
                  <c:v>2</c:v>
                </c:pt>
                <c:pt idx="25">
                  <c:v>1</c:v>
                </c:pt>
                <c:pt idx="2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C8-7D4F-A0A9-20850D8C2E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9289014"/>
        <c:axId val="66607313"/>
      </c:lineChart>
      <c:catAx>
        <c:axId val="6928901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66607313"/>
        <c:crosses val="autoZero"/>
        <c:auto val="1"/>
        <c:lblAlgn val="ctr"/>
        <c:lblOffset val="100"/>
        <c:noMultiLvlLbl val="0"/>
      </c:catAx>
      <c:valAx>
        <c:axId val="6660731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6928901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List1!$CQ$7</c:f>
              <c:strCache>
                <c:ptCount val="1"/>
                <c:pt idx="0">
                  <c:v>October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trendline>
            <c:spPr>
              <a:ln w="18000">
                <a:solidFill>
                  <a:srgbClr val="83CAFF"/>
                </a:solidFill>
                <a:round/>
              </a:ln>
            </c:spPr>
            <c:trendlineType val="linear"/>
            <c:dispRSqr val="0"/>
            <c:dispEq val="0"/>
          </c:trendline>
          <c:cat>
            <c:numRef>
              <c:f>List1!$CG$8:$CG$35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List1!$CQ$8:$CQ$35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3C-1646-9617-3AC261456F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8142165"/>
        <c:axId val="60797503"/>
      </c:lineChart>
      <c:catAx>
        <c:axId val="2814216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60797503"/>
        <c:crosses val="autoZero"/>
        <c:auto val="1"/>
        <c:lblAlgn val="ctr"/>
        <c:lblOffset val="100"/>
        <c:noMultiLvlLbl val="0"/>
      </c:catAx>
      <c:valAx>
        <c:axId val="6079750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28142165"/>
        <c:crossesAt val="1"/>
        <c:crossBetween val="midCat"/>
        <c:majorUnit val="1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List1!$CR$7</c:f>
              <c:strCache>
                <c:ptCount val="1"/>
                <c:pt idx="0">
                  <c:v>November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trendline>
            <c:spPr>
              <a:ln w="18000">
                <a:solidFill>
                  <a:srgbClr val="83CAFF"/>
                </a:solidFill>
                <a:round/>
              </a:ln>
            </c:spPr>
            <c:trendlineType val="linear"/>
            <c:dispRSqr val="0"/>
            <c:dispEq val="0"/>
          </c:trendline>
          <c:cat>
            <c:numRef>
              <c:f>List1!$CG$8:$CG$35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List1!$CR$8:$CR$35</c:f>
              <c:numCache>
                <c:formatCode>General</c:formatCode>
                <c:ptCount val="28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FF-3749-9250-EE9DB1EE9B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8089377"/>
        <c:axId val="25790022"/>
      </c:lineChart>
      <c:catAx>
        <c:axId val="5808937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25790022"/>
        <c:crosses val="autoZero"/>
        <c:auto val="1"/>
        <c:lblAlgn val="ctr"/>
        <c:lblOffset val="100"/>
        <c:noMultiLvlLbl val="0"/>
      </c:catAx>
      <c:valAx>
        <c:axId val="2579002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5808937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4.4411036988317797E-2"/>
          <c:y val="3.10106989626894E-2"/>
          <c:w val="0.84117886560806798"/>
          <c:h val="0.91028077988377798"/>
        </c:manualLayout>
      </c:layout>
      <c:lineChart>
        <c:grouping val="standard"/>
        <c:varyColors val="0"/>
        <c:ser>
          <c:idx val="0"/>
          <c:order val="0"/>
          <c:tx>
            <c:strRef>
              <c:f>List1!$CS$7</c:f>
              <c:strCache>
                <c:ptCount val="1"/>
                <c:pt idx="0">
                  <c:v>December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trendline>
            <c:spPr>
              <a:ln w="18000">
                <a:solidFill>
                  <a:srgbClr val="83CAFF"/>
                </a:solidFill>
                <a:round/>
              </a:ln>
            </c:spPr>
            <c:trendlineType val="linear"/>
            <c:dispRSqr val="0"/>
            <c:dispEq val="0"/>
          </c:trendline>
          <c:cat>
            <c:numRef>
              <c:f>List1!$CG$8:$CG$35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List1!$CS$8:$CS$35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33-A649-9E31-ED05910CF2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9384551"/>
        <c:axId val="57313085"/>
      </c:lineChart>
      <c:catAx>
        <c:axId val="2938455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57313085"/>
        <c:crosses val="autoZero"/>
        <c:auto val="1"/>
        <c:lblAlgn val="ctr"/>
        <c:lblOffset val="100"/>
        <c:noMultiLvlLbl val="0"/>
      </c:catAx>
      <c:valAx>
        <c:axId val="5731308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2938455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5.2353506243996199E-2"/>
          <c:y val="3.4298726250622601E-2"/>
          <c:w val="0.838176432917067"/>
          <c:h val="0.89553831922009497"/>
        </c:manualLayout>
      </c:layout>
      <c:lineChart>
        <c:grouping val="standard"/>
        <c:varyColors val="0"/>
        <c:ser>
          <c:idx val="0"/>
          <c:order val="0"/>
          <c:tx>
            <c:strRef>
              <c:f>List1!$CG$36</c:f>
              <c:strCache>
                <c:ptCount val="1"/>
                <c:pt idx="0">
                  <c:v>AVG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List1!$CH$7:$CS$7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List1!$CH$36:$CS$36</c:f>
              <c:numCache>
                <c:formatCode>0.00</c:formatCode>
                <c:ptCount val="12"/>
                <c:pt idx="0">
                  <c:v>0.25</c:v>
                </c:pt>
                <c:pt idx="1">
                  <c:v>0.25</c:v>
                </c:pt>
                <c:pt idx="2">
                  <c:v>0.35714285714285715</c:v>
                </c:pt>
                <c:pt idx="3">
                  <c:v>1.4642857142857142</c:v>
                </c:pt>
                <c:pt idx="4">
                  <c:v>4.9642857142857144</c:v>
                </c:pt>
                <c:pt idx="5">
                  <c:v>6.1071428571428568</c:v>
                </c:pt>
                <c:pt idx="6">
                  <c:v>7</c:v>
                </c:pt>
                <c:pt idx="7">
                  <c:v>5.3703703703703702</c:v>
                </c:pt>
                <c:pt idx="8">
                  <c:v>1.6296296296296295</c:v>
                </c:pt>
                <c:pt idx="9">
                  <c:v>0.25925925925925924</c:v>
                </c:pt>
                <c:pt idx="10">
                  <c:v>3.7037037037037035E-2</c:v>
                </c:pt>
                <c:pt idx="11">
                  <c:v>0.18518518518518517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61-AA46-AE8E-31174E5D9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7299751"/>
        <c:axId val="77193535"/>
      </c:lineChart>
      <c:catAx>
        <c:axId val="3729975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77193535"/>
        <c:crosses val="autoZero"/>
        <c:auto val="1"/>
        <c:lblAlgn val="ctr"/>
        <c:lblOffset val="100"/>
        <c:noMultiLvlLbl val="0"/>
      </c:catAx>
      <c:valAx>
        <c:axId val="7719353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3729975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7545268461659595E-2"/>
          <c:y val="3.9186717320951199E-2"/>
          <c:w val="0.80640843961580899"/>
          <c:h val="0.896229069931054"/>
        </c:manualLayout>
      </c:layout>
      <c:lineChart>
        <c:grouping val="standard"/>
        <c:varyColors val="0"/>
        <c:ser>
          <c:idx val="0"/>
          <c:order val="0"/>
          <c:tx>
            <c:strRef>
              <c:f>List1!$CG$37</c:f>
              <c:strCache>
                <c:ptCount val="1"/>
                <c:pt idx="0">
                  <c:v>SUM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List1!$CH$7:$CS$7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List1!$CH$37:$CS$37</c:f>
              <c:numCache>
                <c:formatCode>General</c:formatCode>
                <c:ptCount val="12"/>
                <c:pt idx="0">
                  <c:v>7</c:v>
                </c:pt>
                <c:pt idx="1">
                  <c:v>7</c:v>
                </c:pt>
                <c:pt idx="2">
                  <c:v>10</c:v>
                </c:pt>
                <c:pt idx="3">
                  <c:v>40</c:v>
                </c:pt>
                <c:pt idx="4">
                  <c:v>135</c:v>
                </c:pt>
                <c:pt idx="5">
                  <c:v>165</c:v>
                </c:pt>
                <c:pt idx="6">
                  <c:v>193</c:v>
                </c:pt>
                <c:pt idx="7">
                  <c:v>145</c:v>
                </c:pt>
                <c:pt idx="8">
                  <c:v>44</c:v>
                </c:pt>
                <c:pt idx="9">
                  <c:v>7</c:v>
                </c:pt>
                <c:pt idx="10">
                  <c:v>1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3E-7A45-94C1-E621DFF9C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8295152"/>
        <c:axId val="17406153"/>
      </c:lineChart>
      <c:catAx>
        <c:axId val="2829515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17406153"/>
        <c:crosses val="autoZero"/>
        <c:auto val="1"/>
        <c:lblAlgn val="ctr"/>
        <c:lblOffset val="100"/>
        <c:noMultiLvlLbl val="0"/>
      </c:catAx>
      <c:valAx>
        <c:axId val="1740615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2829515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cs-CZ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Direct/near storms (0-6km)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7453889442365197E-2"/>
          <c:y val="8.7496882533876497E-2"/>
          <c:w val="0.84372223269339497"/>
          <c:h val="0.86412004322886404"/>
        </c:manualLayout>
      </c:layout>
      <c:lineChart>
        <c:grouping val="standard"/>
        <c:varyColors val="0"/>
        <c:ser>
          <c:idx val="0"/>
          <c:order val="0"/>
          <c:tx>
            <c:strRef>
              <c:f>List1!$BN$9</c:f>
              <c:strCache>
                <c:ptCount val="1"/>
                <c:pt idx="0">
                  <c:v>Direct TS to 6km: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List1!$BO$10:$BO$40</c:f>
              <c:numCache>
                <c:formatCode>General</c:formatCode>
                <c:ptCount val="31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  <c:pt idx="28">
                  <c:v>2027</c:v>
                </c:pt>
                <c:pt idx="29">
                  <c:v>2028</c:v>
                </c:pt>
                <c:pt idx="30">
                  <c:v>2029</c:v>
                </c:pt>
              </c:numCache>
            </c:numRef>
          </c:cat>
          <c:val>
            <c:numRef>
              <c:f>List1!$BP$10:$BP$40</c:f>
              <c:numCache>
                <c:formatCode>General</c:formatCode>
                <c:ptCount val="31"/>
                <c:pt idx="0">
                  <c:v>11</c:v>
                </c:pt>
                <c:pt idx="1">
                  <c:v>13</c:v>
                </c:pt>
                <c:pt idx="2">
                  <c:v>14</c:v>
                </c:pt>
                <c:pt idx="3">
                  <c:v>21</c:v>
                </c:pt>
                <c:pt idx="4">
                  <c:v>19</c:v>
                </c:pt>
                <c:pt idx="5">
                  <c:v>19</c:v>
                </c:pt>
                <c:pt idx="6">
                  <c:v>20</c:v>
                </c:pt>
                <c:pt idx="7">
                  <c:v>22</c:v>
                </c:pt>
                <c:pt idx="8">
                  <c:v>21</c:v>
                </c:pt>
                <c:pt idx="9">
                  <c:v>18</c:v>
                </c:pt>
                <c:pt idx="10">
                  <c:v>18</c:v>
                </c:pt>
                <c:pt idx="11">
                  <c:v>12</c:v>
                </c:pt>
                <c:pt idx="12">
                  <c:v>24</c:v>
                </c:pt>
                <c:pt idx="13">
                  <c:v>25</c:v>
                </c:pt>
                <c:pt idx="14">
                  <c:v>12</c:v>
                </c:pt>
                <c:pt idx="15">
                  <c:v>29</c:v>
                </c:pt>
                <c:pt idx="16">
                  <c:v>19</c:v>
                </c:pt>
                <c:pt idx="17">
                  <c:v>19</c:v>
                </c:pt>
                <c:pt idx="18">
                  <c:v>22</c:v>
                </c:pt>
                <c:pt idx="19">
                  <c:v>17</c:v>
                </c:pt>
                <c:pt idx="20">
                  <c:v>15</c:v>
                </c:pt>
                <c:pt idx="21">
                  <c:v>12</c:v>
                </c:pt>
                <c:pt idx="22">
                  <c:v>19</c:v>
                </c:pt>
                <c:pt idx="23">
                  <c:v>16</c:v>
                </c:pt>
                <c:pt idx="24">
                  <c:v>16</c:v>
                </c:pt>
                <c:pt idx="25">
                  <c:v>19</c:v>
                </c:pt>
                <c:pt idx="26">
                  <c:v>12</c:v>
                </c:pt>
                <c:pt idx="27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1E-814D-913F-459288F31D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9627505"/>
        <c:axId val="51199658"/>
      </c:lineChart>
      <c:catAx>
        <c:axId val="8962750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51199658"/>
        <c:crosses val="autoZero"/>
        <c:auto val="1"/>
        <c:lblAlgn val="ctr"/>
        <c:lblOffset val="100"/>
        <c:noMultiLvlLbl val="0"/>
      </c:catAx>
      <c:valAx>
        <c:axId val="5119965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89627505"/>
        <c:crossesAt val="1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cs-CZ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January</a:t>
            </a:r>
          </a:p>
        </c:rich>
      </c:tx>
      <c:layout>
        <c:manualLayout>
          <c:xMode val="edge"/>
          <c:yMode val="edge"/>
          <c:x val="0.46990148301370799"/>
          <c:y val="1.1895544449919099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488798513480298E-2"/>
          <c:y val="8.0594073344126105E-2"/>
          <c:w val="0.86316306138905396"/>
          <c:h val="0.84782149644541405"/>
        </c:manualLayout>
      </c:layout>
      <c:lineChart>
        <c:grouping val="standard"/>
        <c:varyColors val="0"/>
        <c:ser>
          <c:idx val="0"/>
          <c:order val="0"/>
          <c:tx>
            <c:strRef>
              <c:f>List1!$FA$73</c:f>
              <c:strCache>
                <c:ptCount val="1"/>
                <c:pt idx="0">
                  <c:v>WF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List1!$FA$43:$FA$70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1</c:v>
                </c:pt>
                <c:pt idx="23">
                  <c:v>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64-3747-8FF5-2C3883137D92}"/>
            </c:ext>
          </c:extLst>
        </c:ser>
        <c:ser>
          <c:idx val="1"/>
          <c:order val="1"/>
          <c:tx>
            <c:strRef>
              <c:f>List1!$FB$73</c:f>
              <c:strCache>
                <c:ptCount val="1"/>
                <c:pt idx="0">
                  <c:v>Far</c:v>
                </c:pt>
              </c:strCache>
            </c:strRef>
          </c:tx>
          <c:spPr>
            <a:ln w="28800">
              <a:solidFill>
                <a:srgbClr val="FFFF00"/>
              </a:solidFill>
              <a:round/>
            </a:ln>
          </c:spPr>
          <c:marker>
            <c:symbol val="diamond"/>
            <c:size val="8"/>
            <c:spPr>
              <a:solidFill>
                <a:srgbClr val="FFF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List1!$FB$43:$FB$70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64-3747-8FF5-2C3883137D92}"/>
            </c:ext>
          </c:extLst>
        </c:ser>
        <c:ser>
          <c:idx val="2"/>
          <c:order val="2"/>
          <c:tx>
            <c:strRef>
              <c:f>List1!$FC$73</c:f>
              <c:strCache>
                <c:ptCount val="1"/>
                <c:pt idx="0">
                  <c:v>STS</c:v>
                </c:pt>
              </c:strCache>
            </c:strRef>
          </c:tx>
          <c:spPr>
            <a:ln w="28800">
              <a:solidFill>
                <a:srgbClr val="FF8000"/>
              </a:solidFill>
              <a:round/>
            </a:ln>
          </c:spPr>
          <c:marker>
            <c:symbol val="triangle"/>
            <c:size val="8"/>
            <c:spPr>
              <a:solidFill>
                <a:srgbClr val="FF8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List1!$FC$43:$FC$70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64-3747-8FF5-2C3883137D92}"/>
            </c:ext>
          </c:extLst>
        </c:ser>
        <c:ser>
          <c:idx val="3"/>
          <c:order val="3"/>
          <c:tx>
            <c:strRef>
              <c:f>List1!$FD$73</c:f>
              <c:strCache>
                <c:ptCount val="1"/>
                <c:pt idx="0">
                  <c:v>MCS</c:v>
                </c:pt>
              </c:strCache>
            </c:strRef>
          </c:tx>
          <c:spPr>
            <a:ln w="28800">
              <a:solidFill>
                <a:srgbClr val="FF0000"/>
              </a:solidFill>
              <a:round/>
            </a:ln>
          </c:spPr>
          <c:marker>
            <c:symbol val="triangle"/>
            <c:size val="8"/>
            <c:spPr>
              <a:solidFill>
                <a:srgbClr val="FF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List1!$FD$43:$FD$70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64-3747-8FF5-2C3883137D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4155338"/>
        <c:axId val="48500309"/>
      </c:lineChart>
      <c:catAx>
        <c:axId val="84155338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48500309"/>
        <c:crosses val="autoZero"/>
        <c:auto val="1"/>
        <c:lblAlgn val="ctr"/>
        <c:lblOffset val="100"/>
        <c:noMultiLvlLbl val="0"/>
      </c:catAx>
      <c:valAx>
        <c:axId val="48500309"/>
        <c:scaling>
          <c:orientation val="minMax"/>
          <c:max val="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84155338"/>
        <c:crossesAt val="1"/>
        <c:crossBetween val="midCat"/>
        <c:majorUnit val="1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1C1C1C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cs-CZ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February</a:t>
            </a:r>
          </a:p>
        </c:rich>
      </c:tx>
      <c:layout>
        <c:manualLayout>
          <c:xMode val="edge"/>
          <c:yMode val="edge"/>
          <c:x val="0.43285139365031999"/>
          <c:y val="2.2016387602422499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6704426889253197E-2"/>
          <c:y val="7.7235482721767001E-2"/>
          <c:w val="0.87159040095394302"/>
          <c:h val="0.85393658710366904"/>
        </c:manualLayout>
      </c:layout>
      <c:lineChart>
        <c:grouping val="standard"/>
        <c:varyColors val="0"/>
        <c:ser>
          <c:idx val="0"/>
          <c:order val="0"/>
          <c:tx>
            <c:strRef>
              <c:f>List1!$FE$73</c:f>
              <c:strCache>
                <c:ptCount val="1"/>
                <c:pt idx="0">
                  <c:v>WF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List1!$FE$43:$FE$70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ED-BF41-A518-50EE022D094F}"/>
            </c:ext>
          </c:extLst>
        </c:ser>
        <c:ser>
          <c:idx val="1"/>
          <c:order val="1"/>
          <c:tx>
            <c:strRef>
              <c:f>List1!$FF$73</c:f>
              <c:strCache>
                <c:ptCount val="1"/>
                <c:pt idx="0">
                  <c:v>Far</c:v>
                </c:pt>
              </c:strCache>
            </c:strRef>
          </c:tx>
          <c:spPr>
            <a:ln w="28800">
              <a:solidFill>
                <a:srgbClr val="FF8000"/>
              </a:solidFill>
              <a:round/>
            </a:ln>
          </c:spPr>
          <c:marker>
            <c:symbol val="diamond"/>
            <c:size val="8"/>
            <c:spPr>
              <a:solidFill>
                <a:srgbClr val="FF8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List1!$FF$43:$FF$70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ED-BF41-A518-50EE022D094F}"/>
            </c:ext>
          </c:extLst>
        </c:ser>
        <c:ser>
          <c:idx val="2"/>
          <c:order val="2"/>
          <c:tx>
            <c:strRef>
              <c:f>List1!$FG$73</c:f>
              <c:strCache>
                <c:ptCount val="1"/>
                <c:pt idx="0">
                  <c:v>STS</c:v>
                </c:pt>
              </c:strCache>
            </c:strRef>
          </c:tx>
          <c:spPr>
            <a:ln w="28800">
              <a:solidFill>
                <a:srgbClr val="FFFF00"/>
              </a:solidFill>
              <a:round/>
            </a:ln>
          </c:spPr>
          <c:marker>
            <c:symbol val="triangle"/>
            <c:size val="8"/>
            <c:spPr>
              <a:solidFill>
                <a:srgbClr val="FFF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List1!$FG$43:$FG$70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ED-BF41-A518-50EE022D094F}"/>
            </c:ext>
          </c:extLst>
        </c:ser>
        <c:ser>
          <c:idx val="3"/>
          <c:order val="3"/>
          <c:tx>
            <c:strRef>
              <c:f>List1!$FH$73</c:f>
              <c:strCache>
                <c:ptCount val="1"/>
                <c:pt idx="0">
                  <c:v>MCS</c:v>
                </c:pt>
              </c:strCache>
            </c:strRef>
          </c:tx>
          <c:spPr>
            <a:ln w="28800">
              <a:solidFill>
                <a:srgbClr val="FF0000"/>
              </a:solidFill>
              <a:round/>
            </a:ln>
          </c:spPr>
          <c:marker>
            <c:symbol val="triangle"/>
            <c:size val="8"/>
            <c:spPr>
              <a:solidFill>
                <a:srgbClr val="FF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List1!$FH$43:$FH$70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3ED-BF41-A518-50EE022D09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9821383"/>
        <c:axId val="75740458"/>
      </c:lineChart>
      <c:catAx>
        <c:axId val="39821383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75740458"/>
        <c:crosses val="autoZero"/>
        <c:auto val="1"/>
        <c:lblAlgn val="ctr"/>
        <c:lblOffset val="100"/>
        <c:noMultiLvlLbl val="0"/>
      </c:catAx>
      <c:valAx>
        <c:axId val="75740458"/>
        <c:scaling>
          <c:orientation val="minMax"/>
          <c:max val="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39821383"/>
        <c:crossesAt val="1"/>
        <c:crossBetween val="midCat"/>
        <c:majorUnit val="1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cs-CZ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March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627053477804999E-2"/>
          <c:y val="8.6975058622894896E-2"/>
          <c:w val="0.85616917161831496"/>
          <c:h val="0.84367228025296703"/>
        </c:manualLayout>
      </c:layout>
      <c:lineChart>
        <c:grouping val="standard"/>
        <c:varyColors val="0"/>
        <c:ser>
          <c:idx val="0"/>
          <c:order val="0"/>
          <c:tx>
            <c:strRef>
              <c:f>List1!$FI$73</c:f>
              <c:strCache>
                <c:ptCount val="1"/>
                <c:pt idx="0">
                  <c:v>WF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List1!$FI$43:$FI$70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0D-904A-A17D-789A27BB3207}"/>
            </c:ext>
          </c:extLst>
        </c:ser>
        <c:ser>
          <c:idx val="1"/>
          <c:order val="1"/>
          <c:tx>
            <c:strRef>
              <c:f>List1!$FJ$73</c:f>
              <c:strCache>
                <c:ptCount val="1"/>
                <c:pt idx="0">
                  <c:v>Far</c:v>
                </c:pt>
              </c:strCache>
            </c:strRef>
          </c:tx>
          <c:spPr>
            <a:ln w="28800">
              <a:solidFill>
                <a:srgbClr val="FFFF00"/>
              </a:solidFill>
              <a:round/>
            </a:ln>
          </c:spPr>
          <c:marker>
            <c:symbol val="diamond"/>
            <c:size val="8"/>
            <c:spPr>
              <a:solidFill>
                <a:srgbClr val="FFF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List1!$FJ$43:$FJ$70</c:f>
              <c:numCache>
                <c:formatCode>General</c:formatCode>
                <c:ptCount val="28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0D-904A-A17D-789A27BB3207}"/>
            </c:ext>
          </c:extLst>
        </c:ser>
        <c:ser>
          <c:idx val="2"/>
          <c:order val="2"/>
          <c:tx>
            <c:strRef>
              <c:f>List1!$FK$73</c:f>
              <c:strCache>
                <c:ptCount val="1"/>
                <c:pt idx="0">
                  <c:v>STS</c:v>
                </c:pt>
              </c:strCache>
            </c:strRef>
          </c:tx>
          <c:spPr>
            <a:ln w="28800">
              <a:solidFill>
                <a:srgbClr val="FF8000"/>
              </a:solidFill>
              <a:round/>
            </a:ln>
          </c:spPr>
          <c:marker>
            <c:symbol val="triangle"/>
            <c:size val="8"/>
            <c:spPr>
              <a:solidFill>
                <a:srgbClr val="FF8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List1!$FK$43:$FK$70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0D-904A-A17D-789A27BB3207}"/>
            </c:ext>
          </c:extLst>
        </c:ser>
        <c:ser>
          <c:idx val="3"/>
          <c:order val="3"/>
          <c:tx>
            <c:strRef>
              <c:f>List1!$FL$73</c:f>
              <c:strCache>
                <c:ptCount val="1"/>
                <c:pt idx="0">
                  <c:v>MCS</c:v>
                </c:pt>
              </c:strCache>
            </c:strRef>
          </c:tx>
          <c:spPr>
            <a:ln w="28800">
              <a:solidFill>
                <a:srgbClr val="FF0000"/>
              </a:solidFill>
              <a:round/>
            </a:ln>
          </c:spPr>
          <c:marker>
            <c:symbol val="triangle"/>
            <c:size val="8"/>
            <c:spPr>
              <a:solidFill>
                <a:srgbClr val="FF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List1!$FL$43:$FL$70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C0D-904A-A17D-789A27BB3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0741635"/>
        <c:axId val="80292694"/>
      </c:lineChart>
      <c:catAx>
        <c:axId val="60741635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80292694"/>
        <c:crosses val="autoZero"/>
        <c:auto val="1"/>
        <c:lblAlgn val="ctr"/>
        <c:lblOffset val="100"/>
        <c:noMultiLvlLbl val="0"/>
      </c:catAx>
      <c:valAx>
        <c:axId val="80292694"/>
        <c:scaling>
          <c:orientation val="minMax"/>
          <c:max val="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60741635"/>
        <c:crossesAt val="1"/>
        <c:crossBetween val="midCat"/>
        <c:majorUnit val="1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cs-CZ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April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485499613791198E-2"/>
          <c:y val="8.8815789473684195E-2"/>
          <c:w val="0.84260234534091705"/>
          <c:h val="0.84224828375285998"/>
        </c:manualLayout>
      </c:layout>
      <c:lineChart>
        <c:grouping val="standard"/>
        <c:varyColors val="0"/>
        <c:ser>
          <c:idx val="0"/>
          <c:order val="0"/>
          <c:tx>
            <c:strRef>
              <c:f>List1!$FM$73</c:f>
              <c:strCache>
                <c:ptCount val="1"/>
                <c:pt idx="0">
                  <c:v>WF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List1!$FM$43:$FM$70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B8-144E-AA19-47B52E6AD056}"/>
            </c:ext>
          </c:extLst>
        </c:ser>
        <c:ser>
          <c:idx val="1"/>
          <c:order val="1"/>
          <c:tx>
            <c:strRef>
              <c:f>List1!$FN$73</c:f>
              <c:strCache>
                <c:ptCount val="1"/>
                <c:pt idx="0">
                  <c:v>Far</c:v>
                </c:pt>
              </c:strCache>
            </c:strRef>
          </c:tx>
          <c:spPr>
            <a:ln w="28800">
              <a:solidFill>
                <a:srgbClr val="FFFF00"/>
              </a:solidFill>
              <a:round/>
            </a:ln>
          </c:spPr>
          <c:marker>
            <c:symbol val="diamond"/>
            <c:size val="8"/>
            <c:spPr>
              <a:solidFill>
                <a:srgbClr val="FFF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List1!$FN$43:$FN$70</c:f>
              <c:numCache>
                <c:formatCode>General</c:formatCode>
                <c:ptCount val="28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0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B8-144E-AA19-47B52E6AD056}"/>
            </c:ext>
          </c:extLst>
        </c:ser>
        <c:ser>
          <c:idx val="2"/>
          <c:order val="2"/>
          <c:tx>
            <c:strRef>
              <c:f>List1!$FO$73</c:f>
              <c:strCache>
                <c:ptCount val="1"/>
                <c:pt idx="0">
                  <c:v>STS</c:v>
                </c:pt>
              </c:strCache>
            </c:strRef>
          </c:tx>
          <c:spPr>
            <a:ln w="28800">
              <a:solidFill>
                <a:srgbClr val="FF8000"/>
              </a:solidFill>
              <a:round/>
            </a:ln>
          </c:spPr>
          <c:marker>
            <c:symbol val="triangle"/>
            <c:size val="8"/>
            <c:spPr>
              <a:solidFill>
                <a:srgbClr val="FF8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List1!$FO$43:$FO$70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B8-144E-AA19-47B52E6AD056}"/>
            </c:ext>
          </c:extLst>
        </c:ser>
        <c:ser>
          <c:idx val="3"/>
          <c:order val="3"/>
          <c:tx>
            <c:strRef>
              <c:f>List1!$FP$73</c:f>
              <c:strCache>
                <c:ptCount val="1"/>
                <c:pt idx="0">
                  <c:v>MCS</c:v>
                </c:pt>
              </c:strCache>
            </c:strRef>
          </c:tx>
          <c:spPr>
            <a:ln w="28800">
              <a:solidFill>
                <a:srgbClr val="FF0000"/>
              </a:solidFill>
              <a:round/>
            </a:ln>
          </c:spPr>
          <c:marker>
            <c:symbol val="triangle"/>
            <c:size val="8"/>
            <c:spPr>
              <a:solidFill>
                <a:srgbClr val="FF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List1!$FP$43:$FP$70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B8-144E-AA19-47B52E6AD0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0046610"/>
        <c:axId val="262653"/>
      </c:lineChart>
      <c:catAx>
        <c:axId val="80046610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262653"/>
        <c:crosses val="autoZero"/>
        <c:auto val="1"/>
        <c:lblAlgn val="ctr"/>
        <c:lblOffset val="100"/>
        <c:noMultiLvlLbl val="0"/>
      </c:catAx>
      <c:valAx>
        <c:axId val="262653"/>
        <c:scaling>
          <c:orientation val="minMax"/>
          <c:max val="3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80046610"/>
        <c:crossesAt val="1"/>
        <c:crossBetween val="midCat"/>
        <c:majorUnit val="1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cs-CZ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May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5772414031928497E-2"/>
          <c:y val="9.7476317882710203E-2"/>
          <c:w val="0.87152405028223201"/>
          <c:h val="0.83288741051413695"/>
        </c:manualLayout>
      </c:layout>
      <c:lineChart>
        <c:grouping val="standard"/>
        <c:varyColors val="0"/>
        <c:ser>
          <c:idx val="0"/>
          <c:order val="0"/>
          <c:tx>
            <c:strRef>
              <c:f>List1!$FQ$73</c:f>
              <c:strCache>
                <c:ptCount val="1"/>
                <c:pt idx="0">
                  <c:v>WF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List1!$FQ$43:$FQ$70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D6-1D48-8907-2EB8CE96C5B7}"/>
            </c:ext>
          </c:extLst>
        </c:ser>
        <c:ser>
          <c:idx val="1"/>
          <c:order val="1"/>
          <c:tx>
            <c:strRef>
              <c:f>List1!$FR$73</c:f>
              <c:strCache>
                <c:ptCount val="1"/>
                <c:pt idx="0">
                  <c:v>Far</c:v>
                </c:pt>
              </c:strCache>
            </c:strRef>
          </c:tx>
          <c:spPr>
            <a:ln w="28800">
              <a:solidFill>
                <a:srgbClr val="FFFF00"/>
              </a:solidFill>
              <a:round/>
            </a:ln>
          </c:spPr>
          <c:marker>
            <c:symbol val="diamond"/>
            <c:size val="8"/>
            <c:spPr>
              <a:solidFill>
                <a:srgbClr val="FFF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List1!$FR$43:$FR$70</c:f>
              <c:numCache>
                <c:formatCode>General</c:formatCode>
                <c:ptCount val="28"/>
                <c:pt idx="0">
                  <c:v>5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5</c:v>
                </c:pt>
                <c:pt idx="5">
                  <c:v>3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0</c:v>
                </c:pt>
                <c:pt idx="14">
                  <c:v>3</c:v>
                </c:pt>
                <c:pt idx="15">
                  <c:v>1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1</c:v>
                </c:pt>
                <c:pt idx="24">
                  <c:v>0</c:v>
                </c:pt>
                <c:pt idx="25">
                  <c:v>5</c:v>
                </c:pt>
                <c:pt idx="26">
                  <c:v>1</c:v>
                </c:pt>
                <c:pt idx="27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D6-1D48-8907-2EB8CE96C5B7}"/>
            </c:ext>
          </c:extLst>
        </c:ser>
        <c:ser>
          <c:idx val="2"/>
          <c:order val="2"/>
          <c:tx>
            <c:strRef>
              <c:f>List1!$FS$73</c:f>
              <c:strCache>
                <c:ptCount val="1"/>
                <c:pt idx="0">
                  <c:v>STS</c:v>
                </c:pt>
              </c:strCache>
            </c:strRef>
          </c:tx>
          <c:spPr>
            <a:ln w="28800">
              <a:solidFill>
                <a:srgbClr val="FF8000"/>
              </a:solidFill>
              <a:round/>
            </a:ln>
          </c:spPr>
          <c:marker>
            <c:symbol val="triangle"/>
            <c:size val="8"/>
            <c:spPr>
              <a:solidFill>
                <a:srgbClr val="FF8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List1!$FS$43:$FS$70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D6-1D48-8907-2EB8CE96C5B7}"/>
            </c:ext>
          </c:extLst>
        </c:ser>
        <c:ser>
          <c:idx val="3"/>
          <c:order val="3"/>
          <c:tx>
            <c:strRef>
              <c:f>List1!$FT$73</c:f>
              <c:strCache>
                <c:ptCount val="1"/>
                <c:pt idx="0">
                  <c:v>MCS</c:v>
                </c:pt>
              </c:strCache>
            </c:strRef>
          </c:tx>
          <c:spPr>
            <a:ln w="28800">
              <a:solidFill>
                <a:srgbClr val="FF0000"/>
              </a:solidFill>
              <a:round/>
            </a:ln>
          </c:spPr>
          <c:marker>
            <c:symbol val="triangle"/>
            <c:size val="8"/>
            <c:spPr>
              <a:solidFill>
                <a:srgbClr val="FF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List1!$FT$43:$FT$70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D6-1D48-8907-2EB8CE96C5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8284117"/>
        <c:axId val="57415041"/>
      </c:lineChart>
      <c:catAx>
        <c:axId val="68284117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57415041"/>
        <c:crosses val="autoZero"/>
        <c:auto val="1"/>
        <c:lblAlgn val="ctr"/>
        <c:lblOffset val="100"/>
        <c:noMultiLvlLbl val="0"/>
      </c:catAx>
      <c:valAx>
        <c:axId val="5741504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6828411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cs-CZ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June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6749617580121602E-2"/>
          <c:y val="9.5982302148005405E-2"/>
          <c:w val="0.86777599522441495"/>
          <c:h val="0.83515307214729195"/>
        </c:manualLayout>
      </c:layout>
      <c:lineChart>
        <c:grouping val="standard"/>
        <c:varyColors val="0"/>
        <c:ser>
          <c:idx val="0"/>
          <c:order val="0"/>
          <c:tx>
            <c:strRef>
              <c:f>List1!$FU$73</c:f>
              <c:strCache>
                <c:ptCount val="1"/>
                <c:pt idx="0">
                  <c:v>WF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List1!$FU$43:$FU$70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9-EC42-BFA3-F4904AF5AB46}"/>
            </c:ext>
          </c:extLst>
        </c:ser>
        <c:ser>
          <c:idx val="1"/>
          <c:order val="1"/>
          <c:tx>
            <c:strRef>
              <c:f>List1!$FV$73</c:f>
              <c:strCache>
                <c:ptCount val="1"/>
                <c:pt idx="0">
                  <c:v>Far</c:v>
                </c:pt>
              </c:strCache>
            </c:strRef>
          </c:tx>
          <c:spPr>
            <a:ln w="28800">
              <a:solidFill>
                <a:srgbClr val="FFFF00"/>
              </a:solidFill>
              <a:round/>
            </a:ln>
          </c:spPr>
          <c:marker>
            <c:symbol val="diamond"/>
            <c:size val="8"/>
            <c:spPr>
              <a:solidFill>
                <a:srgbClr val="FFF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List1!$FV$43:$FV$70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4</c:v>
                </c:pt>
                <c:pt idx="9">
                  <c:v>2</c:v>
                </c:pt>
                <c:pt idx="10">
                  <c:v>3</c:v>
                </c:pt>
                <c:pt idx="11">
                  <c:v>1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2</c:v>
                </c:pt>
                <c:pt idx="17">
                  <c:v>5</c:v>
                </c:pt>
                <c:pt idx="18">
                  <c:v>2</c:v>
                </c:pt>
                <c:pt idx="19">
                  <c:v>2</c:v>
                </c:pt>
                <c:pt idx="20">
                  <c:v>3</c:v>
                </c:pt>
                <c:pt idx="21">
                  <c:v>3</c:v>
                </c:pt>
                <c:pt idx="22">
                  <c:v>1</c:v>
                </c:pt>
                <c:pt idx="23">
                  <c:v>0</c:v>
                </c:pt>
                <c:pt idx="24">
                  <c:v>4</c:v>
                </c:pt>
                <c:pt idx="25">
                  <c:v>1</c:v>
                </c:pt>
                <c:pt idx="26">
                  <c:v>1</c:v>
                </c:pt>
                <c:pt idx="27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D9-EC42-BFA3-F4904AF5AB46}"/>
            </c:ext>
          </c:extLst>
        </c:ser>
        <c:ser>
          <c:idx val="2"/>
          <c:order val="2"/>
          <c:tx>
            <c:strRef>
              <c:f>List1!$FW$73</c:f>
              <c:strCache>
                <c:ptCount val="1"/>
                <c:pt idx="0">
                  <c:v>STS</c:v>
                </c:pt>
              </c:strCache>
            </c:strRef>
          </c:tx>
          <c:spPr>
            <a:ln w="28800">
              <a:solidFill>
                <a:srgbClr val="FF8000"/>
              </a:solidFill>
              <a:round/>
            </a:ln>
          </c:spPr>
          <c:marker>
            <c:symbol val="triangle"/>
            <c:size val="8"/>
            <c:spPr>
              <a:solidFill>
                <a:srgbClr val="FF8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List1!$FW$43:$FW$70</c:f>
              <c:numCache>
                <c:formatCode>General</c:formatCode>
                <c:ptCount val="28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2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D9-EC42-BFA3-F4904AF5AB46}"/>
            </c:ext>
          </c:extLst>
        </c:ser>
        <c:ser>
          <c:idx val="3"/>
          <c:order val="3"/>
          <c:tx>
            <c:strRef>
              <c:f>List1!$FX$73</c:f>
              <c:strCache>
                <c:ptCount val="1"/>
                <c:pt idx="0">
                  <c:v>MCS</c:v>
                </c:pt>
              </c:strCache>
            </c:strRef>
          </c:tx>
          <c:spPr>
            <a:ln w="28800">
              <a:solidFill>
                <a:srgbClr val="FF0000"/>
              </a:solidFill>
              <a:round/>
            </a:ln>
          </c:spPr>
          <c:marker>
            <c:symbol val="triangle"/>
            <c:size val="8"/>
            <c:spPr>
              <a:solidFill>
                <a:srgbClr val="FF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List1!$FX$43:$FX$70</c:f>
              <c:numCache>
                <c:formatCode>General</c:formatCode>
                <c:ptCount val="28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1D9-EC42-BFA3-F4904AF5A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7901047"/>
        <c:axId val="28403569"/>
      </c:lineChart>
      <c:catAx>
        <c:axId val="97901047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28403569"/>
        <c:crosses val="autoZero"/>
        <c:auto val="1"/>
        <c:lblAlgn val="ctr"/>
        <c:lblOffset val="100"/>
        <c:noMultiLvlLbl val="0"/>
      </c:catAx>
      <c:valAx>
        <c:axId val="2840356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9790104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cs-CZ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July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56544794864639E-2"/>
          <c:y val="9.6774193548387094E-2"/>
          <c:w val="0.87677923527769996"/>
          <c:h val="0.83487281512008005"/>
        </c:manualLayout>
      </c:layout>
      <c:lineChart>
        <c:grouping val="standard"/>
        <c:varyColors val="0"/>
        <c:ser>
          <c:idx val="0"/>
          <c:order val="0"/>
          <c:tx>
            <c:strRef>
              <c:f>List1!$FY$73</c:f>
              <c:strCache>
                <c:ptCount val="1"/>
                <c:pt idx="0">
                  <c:v>WF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List1!$FY$43:$FY$70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9C-5B4D-B476-39987ADB23D4}"/>
            </c:ext>
          </c:extLst>
        </c:ser>
        <c:ser>
          <c:idx val="1"/>
          <c:order val="1"/>
          <c:tx>
            <c:strRef>
              <c:f>List1!$FZ$73</c:f>
              <c:strCache>
                <c:ptCount val="1"/>
                <c:pt idx="0">
                  <c:v>Far</c:v>
                </c:pt>
              </c:strCache>
            </c:strRef>
          </c:tx>
          <c:spPr>
            <a:ln w="28800">
              <a:solidFill>
                <a:srgbClr val="FFFF00"/>
              </a:solidFill>
              <a:round/>
            </a:ln>
          </c:spPr>
          <c:marker>
            <c:symbol val="diamond"/>
            <c:size val="8"/>
            <c:spPr>
              <a:solidFill>
                <a:srgbClr val="FFF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List1!$FZ$43:$FZ$70</c:f>
              <c:numCache>
                <c:formatCode>General</c:formatCode>
                <c:ptCount val="28"/>
                <c:pt idx="0">
                  <c:v>1</c:v>
                </c:pt>
                <c:pt idx="1">
                  <c:v>5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5</c:v>
                </c:pt>
                <c:pt idx="8">
                  <c:v>2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3</c:v>
                </c:pt>
                <c:pt idx="16">
                  <c:v>2</c:v>
                </c:pt>
                <c:pt idx="17">
                  <c:v>5</c:v>
                </c:pt>
                <c:pt idx="18">
                  <c:v>5</c:v>
                </c:pt>
                <c:pt idx="19">
                  <c:v>2</c:v>
                </c:pt>
                <c:pt idx="20">
                  <c:v>3</c:v>
                </c:pt>
                <c:pt idx="21">
                  <c:v>2</c:v>
                </c:pt>
                <c:pt idx="22">
                  <c:v>0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9C-5B4D-B476-39987ADB23D4}"/>
            </c:ext>
          </c:extLst>
        </c:ser>
        <c:ser>
          <c:idx val="2"/>
          <c:order val="2"/>
          <c:tx>
            <c:strRef>
              <c:f>List1!$GA$73</c:f>
              <c:strCache>
                <c:ptCount val="1"/>
                <c:pt idx="0">
                  <c:v>STS</c:v>
                </c:pt>
              </c:strCache>
            </c:strRef>
          </c:tx>
          <c:spPr>
            <a:ln w="28800">
              <a:solidFill>
                <a:srgbClr val="FF8000"/>
              </a:solidFill>
              <a:round/>
            </a:ln>
          </c:spPr>
          <c:marker>
            <c:symbol val="triangle"/>
            <c:size val="8"/>
            <c:spPr>
              <a:solidFill>
                <a:srgbClr val="FF8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List1!$GA$43:$GA$70</c:f>
              <c:numCache>
                <c:formatCode>General</c:formatCode>
                <c:ptCount val="28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5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9C-5B4D-B476-39987ADB23D4}"/>
            </c:ext>
          </c:extLst>
        </c:ser>
        <c:ser>
          <c:idx val="3"/>
          <c:order val="3"/>
          <c:tx>
            <c:strRef>
              <c:f>List1!$GB$73</c:f>
              <c:strCache>
                <c:ptCount val="1"/>
                <c:pt idx="0">
                  <c:v>MCS</c:v>
                </c:pt>
              </c:strCache>
            </c:strRef>
          </c:tx>
          <c:spPr>
            <a:ln w="28800">
              <a:solidFill>
                <a:srgbClr val="FF0000"/>
              </a:solidFill>
              <a:round/>
            </a:ln>
          </c:spPr>
          <c:marker>
            <c:symbol val="triangle"/>
            <c:size val="8"/>
            <c:spPr>
              <a:solidFill>
                <a:srgbClr val="FF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List1!$GB$43:$GB$70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2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9C-5B4D-B476-39987ADB2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3947948"/>
        <c:axId val="40647277"/>
      </c:lineChart>
      <c:catAx>
        <c:axId val="53947948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40647277"/>
        <c:crosses val="autoZero"/>
        <c:auto val="1"/>
        <c:lblAlgn val="ctr"/>
        <c:lblOffset val="100"/>
        <c:noMultiLvlLbl val="0"/>
      </c:catAx>
      <c:valAx>
        <c:axId val="4064727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5394794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cs-CZ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August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5701809543771397E-2"/>
          <c:y val="9.4331363536879001E-2"/>
          <c:w val="0.87546286592608102"/>
          <c:h val="0.83570438462099705"/>
        </c:manualLayout>
      </c:layout>
      <c:lineChart>
        <c:grouping val="standard"/>
        <c:varyColors val="0"/>
        <c:ser>
          <c:idx val="0"/>
          <c:order val="0"/>
          <c:tx>
            <c:strRef>
              <c:f>List1!$GC$73</c:f>
              <c:strCache>
                <c:ptCount val="1"/>
                <c:pt idx="0">
                  <c:v>WF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List1!$GC$43:$GC$70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B-734B-A4DA-085299F589A9}"/>
            </c:ext>
          </c:extLst>
        </c:ser>
        <c:ser>
          <c:idx val="1"/>
          <c:order val="1"/>
          <c:tx>
            <c:strRef>
              <c:f>List1!$GD$73</c:f>
              <c:strCache>
                <c:ptCount val="1"/>
                <c:pt idx="0">
                  <c:v>Far</c:v>
                </c:pt>
              </c:strCache>
            </c:strRef>
          </c:tx>
          <c:spPr>
            <a:ln w="28800">
              <a:solidFill>
                <a:srgbClr val="FFFF00"/>
              </a:solidFill>
              <a:round/>
            </a:ln>
          </c:spPr>
          <c:marker>
            <c:symbol val="diamond"/>
            <c:size val="8"/>
            <c:spPr>
              <a:solidFill>
                <a:srgbClr val="FFF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List1!$GD$43:$GD$70</c:f>
              <c:numCache>
                <c:formatCode>General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5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  <c:pt idx="12">
                  <c:v>1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5</c:v>
                </c:pt>
                <c:pt idx="20">
                  <c:v>2</c:v>
                </c:pt>
                <c:pt idx="21">
                  <c:v>2</c:v>
                </c:pt>
                <c:pt idx="22">
                  <c:v>4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DB-734B-A4DA-085299F589A9}"/>
            </c:ext>
          </c:extLst>
        </c:ser>
        <c:ser>
          <c:idx val="2"/>
          <c:order val="2"/>
          <c:tx>
            <c:strRef>
              <c:f>List1!$GE$73</c:f>
              <c:strCache>
                <c:ptCount val="1"/>
                <c:pt idx="0">
                  <c:v>STS</c:v>
                </c:pt>
              </c:strCache>
            </c:strRef>
          </c:tx>
          <c:spPr>
            <a:ln w="28800">
              <a:solidFill>
                <a:srgbClr val="FF8000"/>
              </a:solidFill>
              <a:round/>
            </a:ln>
          </c:spPr>
          <c:marker>
            <c:symbol val="triangle"/>
            <c:size val="8"/>
            <c:spPr>
              <a:solidFill>
                <a:srgbClr val="FF8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List1!$GE$43:$GE$70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2</c:v>
                </c:pt>
                <c:pt idx="2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DB-734B-A4DA-085299F589A9}"/>
            </c:ext>
          </c:extLst>
        </c:ser>
        <c:ser>
          <c:idx val="3"/>
          <c:order val="3"/>
          <c:tx>
            <c:strRef>
              <c:f>List1!$GF$73</c:f>
              <c:strCache>
                <c:ptCount val="1"/>
                <c:pt idx="0">
                  <c:v>MCS</c:v>
                </c:pt>
              </c:strCache>
            </c:strRef>
          </c:tx>
          <c:spPr>
            <a:ln w="28800">
              <a:solidFill>
                <a:srgbClr val="FF0000"/>
              </a:solidFill>
              <a:round/>
            </a:ln>
          </c:spPr>
          <c:marker>
            <c:symbol val="triangle"/>
            <c:size val="8"/>
            <c:spPr>
              <a:solidFill>
                <a:srgbClr val="FF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List1!$GF$43:$GF$70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2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DB-734B-A4DA-085299F58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1471975"/>
        <c:axId val="1253471"/>
      </c:lineChart>
      <c:catAx>
        <c:axId val="11471975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1253471"/>
        <c:crosses val="autoZero"/>
        <c:auto val="1"/>
        <c:lblAlgn val="ctr"/>
        <c:lblOffset val="100"/>
        <c:noMultiLvlLbl val="0"/>
      </c:catAx>
      <c:valAx>
        <c:axId val="12534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1147197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cs-CZ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September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257706747494201E-2"/>
          <c:y val="8.7260782633533304E-2"/>
          <c:w val="0.86391347776667904"/>
          <c:h val="0.84383033419023101"/>
        </c:manualLayout>
      </c:layout>
      <c:lineChart>
        <c:grouping val="standard"/>
        <c:varyColors val="0"/>
        <c:ser>
          <c:idx val="0"/>
          <c:order val="0"/>
          <c:tx>
            <c:strRef>
              <c:f>List1!$GG$73</c:f>
              <c:strCache>
                <c:ptCount val="1"/>
                <c:pt idx="0">
                  <c:v>WF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List1!$GG$43:$GG$70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61-A446-9E93-65C18CB29F69}"/>
            </c:ext>
          </c:extLst>
        </c:ser>
        <c:ser>
          <c:idx val="1"/>
          <c:order val="1"/>
          <c:tx>
            <c:strRef>
              <c:f>List1!$GH$73</c:f>
              <c:strCache>
                <c:ptCount val="1"/>
                <c:pt idx="0">
                  <c:v>Far</c:v>
                </c:pt>
              </c:strCache>
            </c:strRef>
          </c:tx>
          <c:spPr>
            <a:ln w="28800">
              <a:solidFill>
                <a:srgbClr val="FFFF00"/>
              </a:solidFill>
              <a:round/>
            </a:ln>
          </c:spPr>
          <c:marker>
            <c:symbol val="diamond"/>
            <c:size val="8"/>
            <c:spPr>
              <a:solidFill>
                <a:srgbClr val="FFF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List1!$GH$43:$GH$70</c:f>
              <c:numCache>
                <c:formatCode>General</c:formatCode>
                <c:ptCount val="28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1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61-A446-9E93-65C18CB29F69}"/>
            </c:ext>
          </c:extLst>
        </c:ser>
        <c:ser>
          <c:idx val="2"/>
          <c:order val="2"/>
          <c:tx>
            <c:strRef>
              <c:f>List1!$GI$73</c:f>
              <c:strCache>
                <c:ptCount val="1"/>
                <c:pt idx="0">
                  <c:v>STS</c:v>
                </c:pt>
              </c:strCache>
            </c:strRef>
          </c:tx>
          <c:spPr>
            <a:ln w="28800">
              <a:solidFill>
                <a:srgbClr val="FF8000"/>
              </a:solidFill>
              <a:round/>
            </a:ln>
          </c:spPr>
          <c:marker>
            <c:symbol val="triangle"/>
            <c:size val="8"/>
            <c:spPr>
              <a:solidFill>
                <a:srgbClr val="FF8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List1!$GI$43:$GI$70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A61-A446-9E93-65C18CB29F69}"/>
            </c:ext>
          </c:extLst>
        </c:ser>
        <c:ser>
          <c:idx val="3"/>
          <c:order val="3"/>
          <c:tx>
            <c:strRef>
              <c:f>List1!$GJ$73</c:f>
              <c:strCache>
                <c:ptCount val="1"/>
                <c:pt idx="0">
                  <c:v>MCS</c:v>
                </c:pt>
              </c:strCache>
            </c:strRef>
          </c:tx>
          <c:spPr>
            <a:ln w="28800">
              <a:solidFill>
                <a:srgbClr val="FF0000"/>
              </a:solidFill>
              <a:round/>
            </a:ln>
          </c:spPr>
          <c:marker>
            <c:symbol val="triangle"/>
            <c:size val="8"/>
            <c:spPr>
              <a:solidFill>
                <a:srgbClr val="FF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List1!$GJ$43:$GJ$70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A61-A446-9E93-65C18CB29F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785626"/>
        <c:axId val="73400493"/>
      </c:lineChart>
      <c:catAx>
        <c:axId val="478562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73400493"/>
        <c:crosses val="autoZero"/>
        <c:auto val="1"/>
        <c:lblAlgn val="ctr"/>
        <c:lblOffset val="100"/>
        <c:noMultiLvlLbl val="0"/>
      </c:catAx>
      <c:valAx>
        <c:axId val="73400493"/>
        <c:scaling>
          <c:orientation val="minMax"/>
          <c:max val="3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4785626"/>
        <c:crossesAt val="1"/>
        <c:crossBetween val="midCat"/>
        <c:majorUnit val="1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cs-CZ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October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6451648391946902E-2"/>
          <c:y val="7.79089861751152E-2"/>
          <c:w val="0.84935274487513301"/>
          <c:h val="0.85282258064516103"/>
        </c:manualLayout>
      </c:layout>
      <c:lineChart>
        <c:grouping val="standard"/>
        <c:varyColors val="0"/>
        <c:ser>
          <c:idx val="0"/>
          <c:order val="0"/>
          <c:tx>
            <c:strRef>
              <c:f>List1!$GK$73</c:f>
              <c:strCache>
                <c:ptCount val="1"/>
                <c:pt idx="0">
                  <c:v>WF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List1!$GK$43:$GK$70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42-DA49-B3CA-B9C1968A72BD}"/>
            </c:ext>
          </c:extLst>
        </c:ser>
        <c:ser>
          <c:idx val="1"/>
          <c:order val="1"/>
          <c:tx>
            <c:strRef>
              <c:f>List1!$GL$73</c:f>
              <c:strCache>
                <c:ptCount val="1"/>
                <c:pt idx="0">
                  <c:v>Far</c:v>
                </c:pt>
              </c:strCache>
            </c:strRef>
          </c:tx>
          <c:spPr>
            <a:ln w="28800">
              <a:solidFill>
                <a:srgbClr val="FFFF00"/>
              </a:solidFill>
              <a:round/>
            </a:ln>
          </c:spPr>
          <c:marker>
            <c:symbol val="diamond"/>
            <c:size val="8"/>
            <c:spPr>
              <a:solidFill>
                <a:srgbClr val="FFF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List1!$GL$43:$GL$70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42-DA49-B3CA-B9C1968A72BD}"/>
            </c:ext>
          </c:extLst>
        </c:ser>
        <c:ser>
          <c:idx val="2"/>
          <c:order val="2"/>
          <c:tx>
            <c:strRef>
              <c:f>List1!$GM$73</c:f>
              <c:strCache>
                <c:ptCount val="1"/>
                <c:pt idx="0">
                  <c:v>STS</c:v>
                </c:pt>
              </c:strCache>
            </c:strRef>
          </c:tx>
          <c:spPr>
            <a:ln w="28800">
              <a:solidFill>
                <a:srgbClr val="FF8000"/>
              </a:solidFill>
              <a:round/>
            </a:ln>
          </c:spPr>
          <c:marker>
            <c:symbol val="triangle"/>
            <c:size val="8"/>
            <c:spPr>
              <a:solidFill>
                <a:srgbClr val="FF8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List1!$GM$43:$GM$70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42-DA49-B3CA-B9C1968A72BD}"/>
            </c:ext>
          </c:extLst>
        </c:ser>
        <c:ser>
          <c:idx val="3"/>
          <c:order val="3"/>
          <c:tx>
            <c:strRef>
              <c:f>List1!$GN$73</c:f>
              <c:strCache>
                <c:ptCount val="1"/>
                <c:pt idx="0">
                  <c:v>MCS</c:v>
                </c:pt>
              </c:strCache>
            </c:strRef>
          </c:tx>
          <c:spPr>
            <a:ln w="28800">
              <a:solidFill>
                <a:srgbClr val="FF0000"/>
              </a:solidFill>
              <a:round/>
            </a:ln>
          </c:spPr>
          <c:marker>
            <c:symbol val="triangle"/>
            <c:size val="8"/>
            <c:spPr>
              <a:solidFill>
                <a:srgbClr val="FF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List1!$GN$43:$GN$70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42-DA49-B3CA-B9C1968A72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326346"/>
        <c:axId val="61556580"/>
      </c:lineChart>
      <c:catAx>
        <c:axId val="632634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61556580"/>
        <c:crosses val="autoZero"/>
        <c:auto val="1"/>
        <c:lblAlgn val="ctr"/>
        <c:lblOffset val="100"/>
        <c:noMultiLvlLbl val="0"/>
      </c:catAx>
      <c:valAx>
        <c:axId val="61556580"/>
        <c:scaling>
          <c:orientation val="minMax"/>
          <c:max val="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6326346"/>
        <c:crossesAt val="1"/>
        <c:crossBetween val="midCat"/>
        <c:majorUnit val="1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cs-CZ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November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47128378378399E-2"/>
          <c:y val="8.72794800371402E-2"/>
          <c:w val="0.86585022522522503"/>
          <c:h val="0.84386829512177697"/>
        </c:manualLayout>
      </c:layout>
      <c:lineChart>
        <c:grouping val="standard"/>
        <c:varyColors val="0"/>
        <c:ser>
          <c:idx val="0"/>
          <c:order val="0"/>
          <c:tx>
            <c:strRef>
              <c:f>List1!$GO$73</c:f>
              <c:strCache>
                <c:ptCount val="1"/>
                <c:pt idx="0">
                  <c:v>WF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List1!$GO$43:$GO$70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5E-454F-AE8B-F635BA272E13}"/>
            </c:ext>
          </c:extLst>
        </c:ser>
        <c:ser>
          <c:idx val="1"/>
          <c:order val="1"/>
          <c:tx>
            <c:strRef>
              <c:f>List1!$GP$73</c:f>
              <c:strCache>
                <c:ptCount val="1"/>
                <c:pt idx="0">
                  <c:v>Far</c:v>
                </c:pt>
              </c:strCache>
            </c:strRef>
          </c:tx>
          <c:spPr>
            <a:ln w="28800">
              <a:solidFill>
                <a:srgbClr val="FFFF00"/>
              </a:solidFill>
              <a:round/>
            </a:ln>
          </c:spPr>
          <c:marker>
            <c:symbol val="diamond"/>
            <c:size val="8"/>
            <c:spPr>
              <a:solidFill>
                <a:srgbClr val="FFF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List1!$GP$43:$GP$70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5E-454F-AE8B-F635BA272E13}"/>
            </c:ext>
          </c:extLst>
        </c:ser>
        <c:ser>
          <c:idx val="2"/>
          <c:order val="2"/>
          <c:tx>
            <c:strRef>
              <c:f>List1!$GQ$73</c:f>
              <c:strCache>
                <c:ptCount val="1"/>
                <c:pt idx="0">
                  <c:v>STS</c:v>
                </c:pt>
              </c:strCache>
            </c:strRef>
          </c:tx>
          <c:spPr>
            <a:ln w="28800">
              <a:solidFill>
                <a:srgbClr val="FF8000"/>
              </a:solidFill>
              <a:round/>
            </a:ln>
          </c:spPr>
          <c:marker>
            <c:symbol val="triangle"/>
            <c:size val="8"/>
            <c:spPr>
              <a:solidFill>
                <a:srgbClr val="FF8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List1!$GQ$43:$GQ$70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5E-454F-AE8B-F635BA272E13}"/>
            </c:ext>
          </c:extLst>
        </c:ser>
        <c:ser>
          <c:idx val="3"/>
          <c:order val="3"/>
          <c:tx>
            <c:strRef>
              <c:f>List1!$GR$73</c:f>
              <c:strCache>
                <c:ptCount val="1"/>
                <c:pt idx="0">
                  <c:v>MCS</c:v>
                </c:pt>
              </c:strCache>
            </c:strRef>
          </c:tx>
          <c:spPr>
            <a:ln w="28800">
              <a:solidFill>
                <a:srgbClr val="FF0000"/>
              </a:solidFill>
              <a:round/>
            </a:ln>
          </c:spPr>
          <c:marker>
            <c:symbol val="triangle"/>
            <c:size val="8"/>
            <c:spPr>
              <a:solidFill>
                <a:srgbClr val="FF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List1!$GR$43:$GR$70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5E-454F-AE8B-F635BA272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2867939"/>
        <c:axId val="46920444"/>
      </c:lineChart>
      <c:catAx>
        <c:axId val="72867939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46920444"/>
        <c:crosses val="autoZero"/>
        <c:auto val="1"/>
        <c:lblAlgn val="ctr"/>
        <c:lblOffset val="100"/>
        <c:noMultiLvlLbl val="0"/>
      </c:catAx>
      <c:valAx>
        <c:axId val="4692044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7286793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cs-CZ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December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531422896864801E-2"/>
          <c:y val="9.81625795381426E-2"/>
          <c:w val="0.84235352532274099"/>
          <c:h val="0.83298777436190796"/>
        </c:manualLayout>
      </c:layout>
      <c:lineChart>
        <c:grouping val="standard"/>
        <c:varyColors val="0"/>
        <c:ser>
          <c:idx val="0"/>
          <c:order val="0"/>
          <c:tx>
            <c:strRef>
              <c:f>List1!$GS$73</c:f>
              <c:strCache>
                <c:ptCount val="1"/>
                <c:pt idx="0">
                  <c:v>WF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List1!$GS$43:$GS$70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B7-0747-A0B9-D1168FED8640}"/>
            </c:ext>
          </c:extLst>
        </c:ser>
        <c:ser>
          <c:idx val="1"/>
          <c:order val="1"/>
          <c:tx>
            <c:strRef>
              <c:f>List1!$GT$73</c:f>
              <c:strCache>
                <c:ptCount val="1"/>
                <c:pt idx="0">
                  <c:v>Far</c:v>
                </c:pt>
              </c:strCache>
            </c:strRef>
          </c:tx>
          <c:spPr>
            <a:ln w="28800">
              <a:solidFill>
                <a:srgbClr val="FFFF00"/>
              </a:solidFill>
              <a:round/>
            </a:ln>
          </c:spPr>
          <c:marker>
            <c:symbol val="diamond"/>
            <c:size val="8"/>
            <c:spPr>
              <a:solidFill>
                <a:srgbClr val="FFFF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List1!$GT$43:$GT$70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B7-0747-A0B9-D1168FED8640}"/>
            </c:ext>
          </c:extLst>
        </c:ser>
        <c:ser>
          <c:idx val="2"/>
          <c:order val="2"/>
          <c:tx>
            <c:strRef>
              <c:f>List1!$GU$73</c:f>
              <c:strCache>
                <c:ptCount val="1"/>
                <c:pt idx="0">
                  <c:v>STS</c:v>
                </c:pt>
              </c:strCache>
            </c:strRef>
          </c:tx>
          <c:spPr>
            <a:ln w="28800">
              <a:solidFill>
                <a:srgbClr val="FF8000"/>
              </a:solidFill>
              <a:round/>
            </a:ln>
          </c:spPr>
          <c:marker>
            <c:symbol val="triangle"/>
            <c:size val="8"/>
            <c:spPr>
              <a:solidFill>
                <a:srgbClr val="FF8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List1!$GU$43:$GU$70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B7-0747-A0B9-D1168FED8640}"/>
            </c:ext>
          </c:extLst>
        </c:ser>
        <c:ser>
          <c:idx val="3"/>
          <c:order val="3"/>
          <c:tx>
            <c:strRef>
              <c:f>List1!$GV$73</c:f>
              <c:strCache>
                <c:ptCount val="1"/>
                <c:pt idx="0">
                  <c:v>MCS</c:v>
                </c:pt>
              </c:strCache>
            </c:strRef>
          </c:tx>
          <c:spPr>
            <a:ln w="28800">
              <a:solidFill>
                <a:srgbClr val="FF0000"/>
              </a:solidFill>
              <a:round/>
            </a:ln>
          </c:spPr>
          <c:marker>
            <c:symbol val="triangle"/>
            <c:size val="8"/>
            <c:spPr>
              <a:solidFill>
                <a:srgbClr val="FF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List1!$EZ$43:$EZ$70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List1!$GV$43:$GV$70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B7-0747-A0B9-D1168FED86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097543"/>
        <c:axId val="94471245"/>
      </c:lineChart>
      <c:catAx>
        <c:axId val="8097543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94471245"/>
        <c:crosses val="autoZero"/>
        <c:auto val="1"/>
        <c:lblAlgn val="ctr"/>
        <c:lblOffset val="100"/>
        <c:noMultiLvlLbl val="0"/>
      </c:catAx>
      <c:valAx>
        <c:axId val="94471245"/>
        <c:scaling>
          <c:orientation val="minMax"/>
          <c:max val="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8097543"/>
        <c:crossesAt val="1"/>
        <c:crossBetween val="midCat"/>
        <c:majorUnit val="1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cs-CZ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WF AVG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59355153883732E-2"/>
          <c:y val="8.6426299045599203E-2"/>
          <c:w val="0.84330727894479696"/>
          <c:h val="0.84502348129071403"/>
        </c:manualLayout>
      </c:layout>
      <c:lineChart>
        <c:grouping val="standard"/>
        <c:varyColors val="0"/>
        <c:ser>
          <c:idx val="0"/>
          <c:order val="0"/>
          <c:tx>
            <c:strRef>
              <c:f>List1!$EZ$72</c:f>
              <c:strCache>
                <c:ptCount val="1"/>
                <c:pt idx="0">
                  <c:v>AVG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List1!$FA$42,List1!$FE$42,List1!$FI$42,List1!$FM$42,List1!$FQ$42,List1!$FU$42,List1!$FY$42,List1!$GC$42,List1!$GG$42,List1!$GK$42,List1!$GO$42,List1!$GS$42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List1!$FA$72,List1!$FE$72,List1!$FI$72,List1!$FM$72,List1!$FQ$72,List1!$FU$72,List1!$FY$72,List1!$GC$72,List1!$GG$72,List1!$GK$72,List1!$GO$72,List1!$GS$72</c:f>
              <c:numCache>
                <c:formatCode>#,##0.00</c:formatCode>
                <c:ptCount val="12"/>
                <c:pt idx="0">
                  <c:v>0.25</c:v>
                </c:pt>
                <c:pt idx="1">
                  <c:v>0.14285714285714285</c:v>
                </c:pt>
                <c:pt idx="2">
                  <c:v>0.21428571428571427</c:v>
                </c:pt>
                <c:pt idx="3">
                  <c:v>7.1428571428571425E-2</c:v>
                </c:pt>
                <c:pt idx="4">
                  <c:v>3.5714285714285712E-2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7F-4647-9122-7AE3F59D2B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6426677"/>
        <c:axId val="24572919"/>
      </c:lineChart>
      <c:catAx>
        <c:axId val="1642667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24572919"/>
        <c:crosses val="autoZero"/>
        <c:auto val="1"/>
        <c:lblAlgn val="ctr"/>
        <c:lblOffset val="100"/>
        <c:noMultiLvlLbl val="0"/>
      </c:catAx>
      <c:valAx>
        <c:axId val="245729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1642667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cs-CZ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FAR AVG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5927051671732501E-2"/>
          <c:y val="8.6426299045599203E-2"/>
          <c:w val="0.843282674772036"/>
          <c:h val="0.84494773519163802"/>
        </c:manualLayout>
      </c:layout>
      <c:lineChart>
        <c:grouping val="standard"/>
        <c:varyColors val="0"/>
        <c:ser>
          <c:idx val="0"/>
          <c:order val="0"/>
          <c:tx>
            <c:strRef>
              <c:f>List1!$EZ$72</c:f>
              <c:strCache>
                <c:ptCount val="1"/>
                <c:pt idx="0">
                  <c:v>AVG</c:v>
                </c:pt>
              </c:strCache>
            </c:strRef>
          </c:tx>
          <c:spPr>
            <a:ln w="28800">
              <a:solidFill>
                <a:srgbClr val="E6E905"/>
              </a:solidFill>
              <a:round/>
            </a:ln>
          </c:spPr>
          <c:marker>
            <c:symbol val="square"/>
            <c:size val="8"/>
            <c:spPr>
              <a:solidFill>
                <a:srgbClr val="E6E90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List1!$FA$42,List1!$FE$42,List1!$FI$42,List1!$FM$42,List1!$FQ$42,List1!$FU$42,List1!$FY$42,List1!$GC$42,List1!$GG$42,List1!$GK$42,List1!$GO$42,List1!$GS$42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List1!$FB$72,List1!$FF$72,List1!$FJ$72,List1!$FN$72,List1!$FR$72,List1!$FV$72,List1!$FZ$72,List1!$GD$72,List1!$GH$72,List1!$GL$72,List1!$GP$72,List1!$GT$72</c:f>
              <c:numCache>
                <c:formatCode>#,##0.00</c:formatCode>
                <c:ptCount val="12"/>
                <c:pt idx="0">
                  <c:v>0.14285714285714285</c:v>
                </c:pt>
                <c:pt idx="1">
                  <c:v>0.17857142857142858</c:v>
                </c:pt>
                <c:pt idx="2">
                  <c:v>0.17857142857142858</c:v>
                </c:pt>
                <c:pt idx="3">
                  <c:v>0.8928571428571429</c:v>
                </c:pt>
                <c:pt idx="4">
                  <c:v>1.75</c:v>
                </c:pt>
                <c:pt idx="5">
                  <c:v>1.8214285714285714</c:v>
                </c:pt>
                <c:pt idx="6">
                  <c:v>2.3703703703703702</c:v>
                </c:pt>
                <c:pt idx="7">
                  <c:v>1.8888888888888888</c:v>
                </c:pt>
                <c:pt idx="8">
                  <c:v>0.70370370370370372</c:v>
                </c:pt>
                <c:pt idx="9">
                  <c:v>0.1111111111111111</c:v>
                </c:pt>
                <c:pt idx="10">
                  <c:v>0</c:v>
                </c:pt>
                <c:pt idx="11">
                  <c:v>0.1111111111111111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53-9447-9071-DBFB468F09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0257013"/>
        <c:axId val="57715503"/>
      </c:lineChart>
      <c:catAx>
        <c:axId val="1025701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57715503"/>
        <c:crosses val="autoZero"/>
        <c:auto val="1"/>
        <c:lblAlgn val="ctr"/>
        <c:lblOffset val="100"/>
        <c:noMultiLvlLbl val="0"/>
      </c:catAx>
      <c:valAx>
        <c:axId val="5771550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1025701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cs-CZ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STS AVG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5929946329849503E-2"/>
          <c:y val="8.6426299045599203E-2"/>
          <c:w val="0.84330737258383404"/>
          <c:h val="0.84494773519163802"/>
        </c:manualLayout>
      </c:layout>
      <c:lineChart>
        <c:grouping val="standard"/>
        <c:varyColors val="0"/>
        <c:ser>
          <c:idx val="0"/>
          <c:order val="0"/>
          <c:tx>
            <c:strRef>
              <c:f>List1!$EZ$72</c:f>
              <c:strCache>
                <c:ptCount val="1"/>
                <c:pt idx="0">
                  <c:v>AVG</c:v>
                </c:pt>
              </c:strCache>
            </c:strRef>
          </c:tx>
          <c:spPr>
            <a:ln w="28800">
              <a:solidFill>
                <a:srgbClr val="FF8000"/>
              </a:solidFill>
              <a:round/>
            </a:ln>
          </c:spPr>
          <c:marker>
            <c:symbol val="square"/>
            <c:size val="8"/>
            <c:spPr>
              <a:solidFill>
                <a:srgbClr val="FF8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List1!$FA$42,List1!$FE$42,List1!$FI$42,List1!$FM$42,List1!$FQ$42,List1!$FU$42,List1!$FY$42,List1!$GC$42,List1!$GG$42,List1!$GK$42,List1!$GO$42,List1!$GS$42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List1!$FC$72,List1!$FG$72,List1!$FK$72,List1!$FO$72,List1!$FS$72,List1!$FW$72,List1!$GA$72,List1!$GE$72,List1!$GI$72,List1!$GM$72,List1!$GQ$72,List1!$GU$72</c:f>
              <c:numCache>
                <c:formatCode>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7.1428571428571425E-2</c:v>
                </c:pt>
                <c:pt idx="4">
                  <c:v>0.17857142857142858</c:v>
                </c:pt>
                <c:pt idx="5">
                  <c:v>0.6071428571428571</c:v>
                </c:pt>
                <c:pt idx="6">
                  <c:v>0.55555555555555558</c:v>
                </c:pt>
                <c:pt idx="7">
                  <c:v>0.55555555555555558</c:v>
                </c:pt>
                <c:pt idx="8">
                  <c:v>7.407407407407407E-2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AE-F248-9ACA-A2285EBD43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9084658"/>
        <c:axId val="53802090"/>
      </c:lineChart>
      <c:catAx>
        <c:axId val="8908465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53802090"/>
        <c:crosses val="autoZero"/>
        <c:auto val="1"/>
        <c:lblAlgn val="ctr"/>
        <c:lblOffset val="100"/>
        <c:noMultiLvlLbl val="0"/>
      </c:catAx>
      <c:valAx>
        <c:axId val="5380209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8908465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cs-CZ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MCS AVG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5929946329849503E-2"/>
          <c:y val="8.6426299045599203E-2"/>
          <c:w val="0.84326701908720403"/>
          <c:h val="0.84494773519163802"/>
        </c:manualLayout>
      </c:layout>
      <c:lineChart>
        <c:grouping val="standard"/>
        <c:varyColors val="0"/>
        <c:ser>
          <c:idx val="0"/>
          <c:order val="0"/>
          <c:tx>
            <c:strRef>
              <c:f>List1!$EZ$72</c:f>
              <c:strCache>
                <c:ptCount val="1"/>
                <c:pt idx="0">
                  <c:v>AVG</c:v>
                </c:pt>
              </c:strCache>
            </c:strRef>
          </c:tx>
          <c:spPr>
            <a:ln w="28800">
              <a:solidFill>
                <a:srgbClr val="FF0000"/>
              </a:solidFill>
              <a:round/>
            </a:ln>
          </c:spPr>
          <c:marker>
            <c:symbol val="square"/>
            <c:size val="8"/>
            <c:spPr>
              <a:solidFill>
                <a:srgbClr val="FF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List1!$FA$42,List1!$FE$42,List1!$FI$42,List1!$FM$42,List1!$FQ$42,List1!$FU$42,List1!$FY$42,List1!$GC$42,List1!$GG$42,List1!$GK$42,List1!$GO$42,List1!$GS$42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List1!$FD$72,List1!$FH$72,List1!$FL$72,List1!$FP$72,List1!$FT$72,List1!$FX$72,List1!$GB$72,List1!$GF$72,List1!$GJ$72,List1!$GN$72,List1!$GR$72,List1!$GV$72</c:f>
              <c:numCache>
                <c:formatCode>#,##0.00</c:formatCode>
                <c:ptCount val="12"/>
                <c:pt idx="0">
                  <c:v>3.5714285714285712E-2</c:v>
                </c:pt>
                <c:pt idx="1">
                  <c:v>0</c:v>
                </c:pt>
                <c:pt idx="2">
                  <c:v>7.1428571428571425E-2</c:v>
                </c:pt>
                <c:pt idx="3">
                  <c:v>0</c:v>
                </c:pt>
                <c:pt idx="4">
                  <c:v>0.10714285714285714</c:v>
                </c:pt>
                <c:pt idx="5">
                  <c:v>0.40740740740740738</c:v>
                </c:pt>
                <c:pt idx="6">
                  <c:v>0.44444444444444442</c:v>
                </c:pt>
                <c:pt idx="7">
                  <c:v>0.22222222222222221</c:v>
                </c:pt>
                <c:pt idx="8">
                  <c:v>0.1111111111111111</c:v>
                </c:pt>
                <c:pt idx="9">
                  <c:v>0</c:v>
                </c:pt>
                <c:pt idx="10">
                  <c:v>0</c:v>
                </c:pt>
                <c:pt idx="11">
                  <c:v>3.7037037037037035E-2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7E-4B43-84EB-C7E6C93FDF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239451"/>
        <c:axId val="41613688"/>
      </c:lineChart>
      <c:catAx>
        <c:axId val="823945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41613688"/>
        <c:crosses val="autoZero"/>
        <c:auto val="1"/>
        <c:lblAlgn val="ctr"/>
        <c:lblOffset val="100"/>
        <c:noMultiLvlLbl val="0"/>
      </c:catAx>
      <c:valAx>
        <c:axId val="416136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823945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DIRECT STORMS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List1!$GY$42</c:f>
              <c:strCache>
                <c:ptCount val="1"/>
                <c:pt idx="0">
                  <c:v>JAN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numRef>
              <c:f>List1!$GX$43:$GX$70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List1!$GY$43:$GY$70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28-4841-8E91-0E5D86DB3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1956249"/>
        <c:axId val="60988989"/>
      </c:lineChart>
      <c:catAx>
        <c:axId val="9195624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60988989"/>
        <c:crosses val="autoZero"/>
        <c:auto val="1"/>
        <c:lblAlgn val="ctr"/>
        <c:lblOffset val="100"/>
        <c:noMultiLvlLbl val="0"/>
      </c:catAx>
      <c:valAx>
        <c:axId val="6098898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9195624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List1!$HE$42</c:f>
              <c:strCache>
                <c:ptCount val="1"/>
                <c:pt idx="0">
                  <c:v>JUL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List1!$GX$43:$GX$70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List1!$HE$43:$HE$70</c:f>
              <c:numCache>
                <c:formatCode>General</c:formatCode>
                <c:ptCount val="28"/>
                <c:pt idx="0">
                  <c:v>4</c:v>
                </c:pt>
                <c:pt idx="1">
                  <c:v>1</c:v>
                </c:pt>
                <c:pt idx="2">
                  <c:v>3</c:v>
                </c:pt>
                <c:pt idx="3">
                  <c:v>6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2</c:v>
                </c:pt>
                <c:pt idx="10">
                  <c:v>5</c:v>
                </c:pt>
                <c:pt idx="11">
                  <c:v>4</c:v>
                </c:pt>
                <c:pt idx="12">
                  <c:v>5</c:v>
                </c:pt>
                <c:pt idx="13">
                  <c:v>8</c:v>
                </c:pt>
                <c:pt idx="14">
                  <c:v>2</c:v>
                </c:pt>
                <c:pt idx="15">
                  <c:v>10</c:v>
                </c:pt>
                <c:pt idx="16">
                  <c:v>7</c:v>
                </c:pt>
                <c:pt idx="17">
                  <c:v>6</c:v>
                </c:pt>
                <c:pt idx="18">
                  <c:v>5</c:v>
                </c:pt>
                <c:pt idx="19">
                  <c:v>2</c:v>
                </c:pt>
                <c:pt idx="20">
                  <c:v>3</c:v>
                </c:pt>
                <c:pt idx="21">
                  <c:v>2</c:v>
                </c:pt>
                <c:pt idx="22">
                  <c:v>7</c:v>
                </c:pt>
                <c:pt idx="23">
                  <c:v>3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68-584C-8908-38217980A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1022720"/>
        <c:axId val="25504527"/>
      </c:lineChart>
      <c:catAx>
        <c:axId val="4102272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25504527"/>
        <c:crosses val="autoZero"/>
        <c:auto val="1"/>
        <c:lblAlgn val="ctr"/>
        <c:lblOffset val="100"/>
        <c:noMultiLvlLbl val="0"/>
      </c:catAx>
      <c:valAx>
        <c:axId val="255045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4102272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4.6010064701653502E-2"/>
          <c:y val="3.4648149473834898E-2"/>
          <c:w val="0.82711992057786499"/>
          <c:h val="0.89641348700694401"/>
        </c:manualLayout>
      </c:layout>
      <c:lineChart>
        <c:grouping val="standard"/>
        <c:varyColors val="0"/>
        <c:ser>
          <c:idx val="0"/>
          <c:order val="0"/>
          <c:tx>
            <c:strRef>
              <c:f>List1!$GZ$42</c:f>
              <c:strCache>
                <c:ptCount val="1"/>
                <c:pt idx="0">
                  <c:v>FEB 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List1!$GX$43:$GX$70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List1!$GZ$43:$GZ$70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61-7140-88B2-765664B780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3279209"/>
        <c:axId val="49988535"/>
      </c:lineChart>
      <c:catAx>
        <c:axId val="4327920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49988535"/>
        <c:crosses val="autoZero"/>
        <c:auto val="1"/>
        <c:lblAlgn val="ctr"/>
        <c:lblOffset val="100"/>
        <c:noMultiLvlLbl val="0"/>
      </c:catAx>
      <c:valAx>
        <c:axId val="4998853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4327920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List1!$HA$42</c:f>
              <c:strCache>
                <c:ptCount val="1"/>
                <c:pt idx="0">
                  <c:v>MAR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List1!$GX$43:$GX$70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List1!$HA$43:$HA$70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BD-C84F-9969-B3C2C3C7A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6830535"/>
        <c:axId val="11237589"/>
      </c:lineChart>
      <c:catAx>
        <c:axId val="7683053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11237589"/>
        <c:crosses val="autoZero"/>
        <c:auto val="1"/>
        <c:lblAlgn val="ctr"/>
        <c:lblOffset val="100"/>
        <c:noMultiLvlLbl val="0"/>
      </c:catAx>
      <c:valAx>
        <c:axId val="1123758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7683053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List1!$HB$42</c:f>
              <c:strCache>
                <c:ptCount val="1"/>
                <c:pt idx="0">
                  <c:v>APR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List1!$GX$43:$GX$70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List1!$HB$43:$HB$70</c:f>
              <c:numCache>
                <c:formatCode>General</c:formatCode>
                <c:ptCount val="28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3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2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49-B742-8045-CA5BAAE15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4168285"/>
        <c:axId val="69048952"/>
      </c:lineChart>
      <c:catAx>
        <c:axId val="8416828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69048952"/>
        <c:crosses val="autoZero"/>
        <c:auto val="1"/>
        <c:lblAlgn val="ctr"/>
        <c:lblOffset val="100"/>
        <c:noMultiLvlLbl val="0"/>
      </c:catAx>
      <c:valAx>
        <c:axId val="6904895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8416828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List1!$HC$42</c:f>
              <c:strCache>
                <c:ptCount val="1"/>
                <c:pt idx="0">
                  <c:v>MAY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List1!$GX$43:$GX$70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List1!$HC$43:$HC$70</c:f>
              <c:numCache>
                <c:formatCode>General</c:formatCode>
                <c:ptCount val="28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4</c:v>
                </c:pt>
                <c:pt idx="4">
                  <c:v>2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5</c:v>
                </c:pt>
                <c:pt idx="9">
                  <c:v>3</c:v>
                </c:pt>
                <c:pt idx="10">
                  <c:v>5</c:v>
                </c:pt>
                <c:pt idx="11">
                  <c:v>1</c:v>
                </c:pt>
                <c:pt idx="12">
                  <c:v>5</c:v>
                </c:pt>
                <c:pt idx="13">
                  <c:v>6</c:v>
                </c:pt>
                <c:pt idx="14">
                  <c:v>3</c:v>
                </c:pt>
                <c:pt idx="15">
                  <c:v>6</c:v>
                </c:pt>
                <c:pt idx="16">
                  <c:v>2</c:v>
                </c:pt>
                <c:pt idx="17">
                  <c:v>4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0</c:v>
                </c:pt>
                <c:pt idx="22">
                  <c:v>3</c:v>
                </c:pt>
                <c:pt idx="23">
                  <c:v>3</c:v>
                </c:pt>
                <c:pt idx="24">
                  <c:v>1</c:v>
                </c:pt>
                <c:pt idx="25">
                  <c:v>2</c:v>
                </c:pt>
                <c:pt idx="26">
                  <c:v>3</c:v>
                </c:pt>
                <c:pt idx="27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D8-C744-A6FC-D3271CA20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2139399"/>
        <c:axId val="11580982"/>
      </c:lineChart>
      <c:catAx>
        <c:axId val="8213939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11580982"/>
        <c:crosses val="autoZero"/>
        <c:auto val="1"/>
        <c:lblAlgn val="ctr"/>
        <c:lblOffset val="100"/>
        <c:noMultiLvlLbl val="0"/>
      </c:catAx>
      <c:valAx>
        <c:axId val="1158098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8213939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List1!$HD$42</c:f>
              <c:strCache>
                <c:ptCount val="1"/>
                <c:pt idx="0">
                  <c:v>JUN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List1!$GX$43:$GX$70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List1!$HD$43:$HD$70</c:f>
              <c:numCache>
                <c:formatCode>General</c:formatCode>
                <c:ptCount val="28"/>
                <c:pt idx="0">
                  <c:v>3</c:v>
                </c:pt>
                <c:pt idx="1">
                  <c:v>5</c:v>
                </c:pt>
                <c:pt idx="2">
                  <c:v>3</c:v>
                </c:pt>
                <c:pt idx="3">
                  <c:v>4</c:v>
                </c:pt>
                <c:pt idx="4">
                  <c:v>6</c:v>
                </c:pt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8">
                  <c:v>3</c:v>
                </c:pt>
                <c:pt idx="9">
                  <c:v>6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5</c:v>
                </c:pt>
                <c:pt idx="17">
                  <c:v>8</c:v>
                </c:pt>
                <c:pt idx="18">
                  <c:v>6</c:v>
                </c:pt>
                <c:pt idx="19">
                  <c:v>1</c:v>
                </c:pt>
                <c:pt idx="20">
                  <c:v>2</c:v>
                </c:pt>
                <c:pt idx="21">
                  <c:v>5</c:v>
                </c:pt>
                <c:pt idx="22">
                  <c:v>7</c:v>
                </c:pt>
                <c:pt idx="23">
                  <c:v>5</c:v>
                </c:pt>
                <c:pt idx="24">
                  <c:v>6</c:v>
                </c:pt>
                <c:pt idx="25">
                  <c:v>5</c:v>
                </c:pt>
                <c:pt idx="26">
                  <c:v>2</c:v>
                </c:pt>
                <c:pt idx="27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2C-DE49-94F2-B812409900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0793414"/>
        <c:axId val="99938357"/>
      </c:lineChart>
      <c:catAx>
        <c:axId val="9079341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99938357"/>
        <c:crosses val="autoZero"/>
        <c:auto val="1"/>
        <c:lblAlgn val="ctr"/>
        <c:lblOffset val="100"/>
        <c:noMultiLvlLbl val="0"/>
      </c:catAx>
      <c:valAx>
        <c:axId val="9993835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9079341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List1!$HF$42</c:f>
              <c:strCache>
                <c:ptCount val="1"/>
                <c:pt idx="0">
                  <c:v>AUG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List1!$GX$43:$GX$70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List1!$HF$43:$HF$70</c:f>
              <c:numCache>
                <c:formatCode>General</c:formatCode>
                <c:ptCount val="28"/>
                <c:pt idx="0">
                  <c:v>0</c:v>
                </c:pt>
                <c:pt idx="1">
                  <c:v>2</c:v>
                </c:pt>
                <c:pt idx="2">
                  <c:v>5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6</c:v>
                </c:pt>
                <c:pt idx="9">
                  <c:v>4</c:v>
                </c:pt>
                <c:pt idx="10">
                  <c:v>3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3</c:v>
                </c:pt>
                <c:pt idx="15">
                  <c:v>3</c:v>
                </c:pt>
                <c:pt idx="16">
                  <c:v>2</c:v>
                </c:pt>
                <c:pt idx="17">
                  <c:v>1</c:v>
                </c:pt>
                <c:pt idx="18">
                  <c:v>6</c:v>
                </c:pt>
                <c:pt idx="19">
                  <c:v>4</c:v>
                </c:pt>
                <c:pt idx="20">
                  <c:v>7</c:v>
                </c:pt>
                <c:pt idx="21">
                  <c:v>4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8</c:v>
                </c:pt>
                <c:pt idx="2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81-C84C-9FBD-4803C13B9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0723010"/>
        <c:axId val="26426194"/>
      </c:lineChart>
      <c:catAx>
        <c:axId val="4072301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26426194"/>
        <c:crosses val="autoZero"/>
        <c:auto val="1"/>
        <c:lblAlgn val="ctr"/>
        <c:lblOffset val="100"/>
        <c:noMultiLvlLbl val="0"/>
      </c:catAx>
      <c:valAx>
        <c:axId val="2642619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4072301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5.1217988757026899E-2"/>
          <c:y val="8.9293124913542701E-2"/>
          <c:w val="0.86133666458463498"/>
          <c:h val="0.81311384700511802"/>
        </c:manualLayout>
      </c:layout>
      <c:lineChart>
        <c:grouping val="standard"/>
        <c:varyColors val="0"/>
        <c:ser>
          <c:idx val="0"/>
          <c:order val="0"/>
          <c:tx>
            <c:strRef>
              <c:f>List1!$HG$42</c:f>
              <c:strCache>
                <c:ptCount val="1"/>
                <c:pt idx="0">
                  <c:v>SEP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List1!$GX$43:$GX$70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List1!$HG$43:$HG$70</c:f>
              <c:numCache>
                <c:formatCode>General</c:formatCode>
                <c:ptCount val="28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3</c:v>
                </c:pt>
                <c:pt idx="13">
                  <c:v>1</c:v>
                </c:pt>
                <c:pt idx="14">
                  <c:v>1</c:v>
                </c:pt>
                <c:pt idx="15">
                  <c:v>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2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3</c:v>
                </c:pt>
                <c:pt idx="24">
                  <c:v>2</c:v>
                </c:pt>
                <c:pt idx="25">
                  <c:v>0</c:v>
                </c:pt>
                <c:pt idx="2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49-6C47-9E1E-9B18EC1DE6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8321794"/>
        <c:axId val="19284279"/>
      </c:lineChart>
      <c:catAx>
        <c:axId val="6832179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19284279"/>
        <c:crosses val="autoZero"/>
        <c:auto val="1"/>
        <c:lblAlgn val="ctr"/>
        <c:lblOffset val="100"/>
        <c:noMultiLvlLbl val="0"/>
      </c:catAx>
      <c:valAx>
        <c:axId val="1928427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6832179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List1!$HH$42</c:f>
              <c:strCache>
                <c:ptCount val="1"/>
                <c:pt idx="0">
                  <c:v>OCT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List1!$GX$43:$GX$70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List1!$HH$43:$HH$70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78-5940-8E35-44C0FE0ED3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8988591"/>
        <c:axId val="47348273"/>
      </c:lineChart>
      <c:catAx>
        <c:axId val="9898859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47348273"/>
        <c:crosses val="autoZero"/>
        <c:auto val="1"/>
        <c:lblAlgn val="ctr"/>
        <c:lblOffset val="100"/>
        <c:noMultiLvlLbl val="0"/>
      </c:catAx>
      <c:valAx>
        <c:axId val="4734827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9898859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List1!$HI$42</c:f>
              <c:strCache>
                <c:ptCount val="1"/>
                <c:pt idx="0">
                  <c:v>NOV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List1!$GX$43:$GX$70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List1!$HI$43:$HI$70</c:f>
              <c:numCache>
                <c:formatCode>General</c:formatCode>
                <c:ptCount val="28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F1-B240-93AB-D3E7119920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0177039"/>
        <c:axId val="75126483"/>
      </c:lineChart>
      <c:catAx>
        <c:axId val="3017703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75126483"/>
        <c:crosses val="autoZero"/>
        <c:auto val="1"/>
        <c:lblAlgn val="ctr"/>
        <c:lblOffset val="100"/>
        <c:noMultiLvlLbl val="0"/>
      </c:catAx>
      <c:valAx>
        <c:axId val="7512648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3017703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List1!$HJ$42</c:f>
              <c:strCache>
                <c:ptCount val="1"/>
                <c:pt idx="0">
                  <c:v>DEC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List1!$GX$43:$GX$70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List1!$HJ$43:$HJ$70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B5-ED44-86F1-6A3C0A697E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5984532"/>
        <c:axId val="98977566"/>
      </c:lineChart>
      <c:catAx>
        <c:axId val="9598453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98977566"/>
        <c:crosses val="autoZero"/>
        <c:auto val="1"/>
        <c:lblAlgn val="ctr"/>
        <c:lblOffset val="100"/>
        <c:noMultiLvlLbl val="0"/>
      </c:catAx>
      <c:valAx>
        <c:axId val="9897756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9598453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List1!$GX$72</c:f>
              <c:strCache>
                <c:ptCount val="1"/>
                <c:pt idx="0">
                  <c:v>AVG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List1!$GY$42:$HJ$42</c:f>
              <c:strCache>
                <c:ptCount val="12"/>
                <c:pt idx="0">
                  <c:v>JAN</c:v>
                </c:pt>
                <c:pt idx="1">
                  <c:v>FEB 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List1!$GY$72:$HJ$72</c:f>
              <c:numCache>
                <c:formatCode>#,##0.00</c:formatCode>
                <c:ptCount val="12"/>
                <c:pt idx="0">
                  <c:v>0.10714285714285714</c:v>
                </c:pt>
                <c:pt idx="1">
                  <c:v>3.5714285714285712E-2</c:v>
                </c:pt>
                <c:pt idx="2">
                  <c:v>0.10714285714285714</c:v>
                </c:pt>
                <c:pt idx="3">
                  <c:v>0.5714285714285714</c:v>
                </c:pt>
                <c:pt idx="4">
                  <c:v>3.2142857142857144</c:v>
                </c:pt>
                <c:pt idx="5">
                  <c:v>4.2857142857142856</c:v>
                </c:pt>
                <c:pt idx="6">
                  <c:v>4.6785714285714288</c:v>
                </c:pt>
                <c:pt idx="7">
                  <c:v>3.4814814814814814</c:v>
                </c:pt>
                <c:pt idx="8">
                  <c:v>0.92592592592592593</c:v>
                </c:pt>
                <c:pt idx="9">
                  <c:v>0.14814814814814814</c:v>
                </c:pt>
                <c:pt idx="10">
                  <c:v>3.7037037037037035E-2</c:v>
                </c:pt>
                <c:pt idx="11">
                  <c:v>7.407407407407407E-2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FF-A04F-BBA8-5E51C0A66A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7821199"/>
        <c:axId val="78342942"/>
      </c:lineChart>
      <c:catAx>
        <c:axId val="2782119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78342942"/>
        <c:crosses val="autoZero"/>
        <c:auto val="1"/>
        <c:lblAlgn val="ctr"/>
        <c:lblOffset val="100"/>
        <c:noMultiLvlLbl val="0"/>
      </c:catAx>
      <c:valAx>
        <c:axId val="7834294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2782119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300" b="0" u="none" strike="noStrike">
                <a:solidFill>
                  <a:srgbClr val="000000"/>
                </a:solidFill>
                <a:uFillTx/>
                <a:latin typeface="Calibri"/>
                <a:ea typeface="DejaVu Sans"/>
              </a:rPr>
              <a:t>Number of thunderstorm days throughout the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668711656441703E-2"/>
          <c:y val="8.4947659728071195E-2"/>
          <c:w val="0.870398773006135"/>
          <c:h val="0.86973087875506405"/>
        </c:manualLayout>
      </c:layout>
      <c:lineChart>
        <c:grouping val="standard"/>
        <c:varyColors val="0"/>
        <c:ser>
          <c:idx val="0"/>
          <c:order val="0"/>
          <c:tx>
            <c:strRef>
              <c:f>List1!$B$4</c:f>
              <c:strCache>
                <c:ptCount val="1"/>
                <c:pt idx="0">
                  <c:v>average</c:v>
                </c:pt>
              </c:strCache>
            </c:strRef>
          </c:tx>
          <c:spPr>
            <a:ln w="2880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List1!$B$5:$B$370</c:f>
              <c:numCache>
                <c:formatCode>0.0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3.7037037037037035E-2</c:v>
                </c:pt>
                <c:pt idx="3">
                  <c:v>7.407407407407407E-2</c:v>
                </c:pt>
                <c:pt idx="4">
                  <c:v>0.1111111111111111</c:v>
                </c:pt>
                <c:pt idx="5">
                  <c:v>0.1111111111111111</c:v>
                </c:pt>
                <c:pt idx="6">
                  <c:v>0.1111111111111111</c:v>
                </c:pt>
                <c:pt idx="7">
                  <c:v>0.1111111111111111</c:v>
                </c:pt>
                <c:pt idx="8">
                  <c:v>0.1111111111111111</c:v>
                </c:pt>
                <c:pt idx="9">
                  <c:v>0.1111111111111111</c:v>
                </c:pt>
                <c:pt idx="10">
                  <c:v>0.1111111111111111</c:v>
                </c:pt>
                <c:pt idx="11">
                  <c:v>0.14814814814814814</c:v>
                </c:pt>
                <c:pt idx="12">
                  <c:v>0.14814814814814814</c:v>
                </c:pt>
                <c:pt idx="13">
                  <c:v>0.18518518518518517</c:v>
                </c:pt>
                <c:pt idx="14">
                  <c:v>0.18518518518518517</c:v>
                </c:pt>
                <c:pt idx="15">
                  <c:v>0.22222222222222221</c:v>
                </c:pt>
                <c:pt idx="16">
                  <c:v>0.22222222222222221</c:v>
                </c:pt>
                <c:pt idx="17">
                  <c:v>0.25925925925925924</c:v>
                </c:pt>
                <c:pt idx="18">
                  <c:v>0.25925925925925924</c:v>
                </c:pt>
                <c:pt idx="19">
                  <c:v>0.25925925925925924</c:v>
                </c:pt>
                <c:pt idx="20">
                  <c:v>0.25925925925925924</c:v>
                </c:pt>
                <c:pt idx="21">
                  <c:v>0.25925925925925924</c:v>
                </c:pt>
                <c:pt idx="22">
                  <c:v>0.25925925925925924</c:v>
                </c:pt>
                <c:pt idx="23">
                  <c:v>0.25925925925925924</c:v>
                </c:pt>
                <c:pt idx="24">
                  <c:v>0.25925925925925924</c:v>
                </c:pt>
                <c:pt idx="25">
                  <c:v>0.25925925925925924</c:v>
                </c:pt>
                <c:pt idx="26">
                  <c:v>0.25925925925925924</c:v>
                </c:pt>
                <c:pt idx="27">
                  <c:v>0.25925925925925924</c:v>
                </c:pt>
                <c:pt idx="28">
                  <c:v>0.25925925925925924</c:v>
                </c:pt>
                <c:pt idx="29">
                  <c:v>0.25925925925925924</c:v>
                </c:pt>
                <c:pt idx="30">
                  <c:v>0.25925925925925924</c:v>
                </c:pt>
                <c:pt idx="31">
                  <c:v>0.29629629629629628</c:v>
                </c:pt>
                <c:pt idx="32">
                  <c:v>0.29629629629629628</c:v>
                </c:pt>
                <c:pt idx="33">
                  <c:v>0.29629629629629628</c:v>
                </c:pt>
                <c:pt idx="34">
                  <c:v>0.33333333333333331</c:v>
                </c:pt>
                <c:pt idx="35">
                  <c:v>0.33333333333333331</c:v>
                </c:pt>
                <c:pt idx="36">
                  <c:v>0.33333333333333331</c:v>
                </c:pt>
                <c:pt idx="37">
                  <c:v>0.33333333333333331</c:v>
                </c:pt>
                <c:pt idx="38">
                  <c:v>0.33333333333333331</c:v>
                </c:pt>
                <c:pt idx="39">
                  <c:v>0.33333333333333331</c:v>
                </c:pt>
                <c:pt idx="40">
                  <c:v>0.37037037037037035</c:v>
                </c:pt>
                <c:pt idx="41">
                  <c:v>0.40740740740740738</c:v>
                </c:pt>
                <c:pt idx="42">
                  <c:v>0.40740740740740738</c:v>
                </c:pt>
                <c:pt idx="43">
                  <c:v>0.40740740740740738</c:v>
                </c:pt>
                <c:pt idx="44">
                  <c:v>0.40740740740740738</c:v>
                </c:pt>
                <c:pt idx="45">
                  <c:v>0.40740740740740738</c:v>
                </c:pt>
                <c:pt idx="46">
                  <c:v>0.40740740740740738</c:v>
                </c:pt>
                <c:pt idx="47">
                  <c:v>0.40740740740740738</c:v>
                </c:pt>
                <c:pt idx="48">
                  <c:v>0.40740740740740738</c:v>
                </c:pt>
                <c:pt idx="49">
                  <c:v>0.40740740740740738</c:v>
                </c:pt>
                <c:pt idx="50">
                  <c:v>0.40740740740740738</c:v>
                </c:pt>
                <c:pt idx="51">
                  <c:v>0.40740740740740738</c:v>
                </c:pt>
                <c:pt idx="52">
                  <c:v>0.40740740740740738</c:v>
                </c:pt>
                <c:pt idx="53">
                  <c:v>0.44444444444444442</c:v>
                </c:pt>
                <c:pt idx="54">
                  <c:v>0.44444444444444442</c:v>
                </c:pt>
                <c:pt idx="55">
                  <c:v>0.44444444444444442</c:v>
                </c:pt>
                <c:pt idx="56">
                  <c:v>0.44444444444444442</c:v>
                </c:pt>
                <c:pt idx="57">
                  <c:v>0.48148148148148145</c:v>
                </c:pt>
                <c:pt idx="58">
                  <c:v>0.51851851851851849</c:v>
                </c:pt>
                <c:pt idx="59">
                  <c:v>0.51851851851851849</c:v>
                </c:pt>
                <c:pt idx="60">
                  <c:v>0.55555555555555558</c:v>
                </c:pt>
                <c:pt idx="61">
                  <c:v>0.55555555555555558</c:v>
                </c:pt>
                <c:pt idx="62">
                  <c:v>0.55555555555555558</c:v>
                </c:pt>
                <c:pt idx="63">
                  <c:v>0.55555555555555558</c:v>
                </c:pt>
                <c:pt idx="64">
                  <c:v>0.59259259259259256</c:v>
                </c:pt>
                <c:pt idx="65">
                  <c:v>0.59259259259259256</c:v>
                </c:pt>
                <c:pt idx="66">
                  <c:v>0.59259259259259256</c:v>
                </c:pt>
                <c:pt idx="67">
                  <c:v>0.59259259259259256</c:v>
                </c:pt>
                <c:pt idx="68">
                  <c:v>0.59259259259259256</c:v>
                </c:pt>
                <c:pt idx="69">
                  <c:v>0.66666666666666663</c:v>
                </c:pt>
                <c:pt idx="70">
                  <c:v>0.66666666666666663</c:v>
                </c:pt>
                <c:pt idx="71">
                  <c:v>0.66666666666666663</c:v>
                </c:pt>
                <c:pt idx="72">
                  <c:v>0.66666666666666663</c:v>
                </c:pt>
                <c:pt idx="73">
                  <c:v>0.70370370370370372</c:v>
                </c:pt>
                <c:pt idx="74">
                  <c:v>0.7407407407407407</c:v>
                </c:pt>
                <c:pt idx="75">
                  <c:v>0.7407407407407407</c:v>
                </c:pt>
                <c:pt idx="76">
                  <c:v>0.7407407407407407</c:v>
                </c:pt>
                <c:pt idx="77">
                  <c:v>0.7407407407407407</c:v>
                </c:pt>
                <c:pt idx="78">
                  <c:v>0.7407407407407407</c:v>
                </c:pt>
                <c:pt idx="79">
                  <c:v>0.7407407407407407</c:v>
                </c:pt>
                <c:pt idx="80">
                  <c:v>0.7407407407407407</c:v>
                </c:pt>
                <c:pt idx="81">
                  <c:v>0.7407407407407407</c:v>
                </c:pt>
                <c:pt idx="82">
                  <c:v>0.77777777777777779</c:v>
                </c:pt>
                <c:pt idx="83">
                  <c:v>0.77777777777777779</c:v>
                </c:pt>
                <c:pt idx="84">
                  <c:v>0.77777777777777779</c:v>
                </c:pt>
                <c:pt idx="85">
                  <c:v>0.81481481481481477</c:v>
                </c:pt>
                <c:pt idx="86">
                  <c:v>0.81481481481481477</c:v>
                </c:pt>
                <c:pt idx="87">
                  <c:v>0.81481481481481477</c:v>
                </c:pt>
                <c:pt idx="88">
                  <c:v>0.81481481481481477</c:v>
                </c:pt>
                <c:pt idx="89">
                  <c:v>0.85185185185185186</c:v>
                </c:pt>
                <c:pt idx="90">
                  <c:v>0.88888888888888884</c:v>
                </c:pt>
                <c:pt idx="91">
                  <c:v>0.88888888888888884</c:v>
                </c:pt>
                <c:pt idx="92">
                  <c:v>0.88888888888888884</c:v>
                </c:pt>
                <c:pt idx="93">
                  <c:v>0.96296296296296291</c:v>
                </c:pt>
                <c:pt idx="94">
                  <c:v>1.037037037037037</c:v>
                </c:pt>
                <c:pt idx="95">
                  <c:v>1.1111111111111112</c:v>
                </c:pt>
                <c:pt idx="96">
                  <c:v>1.1481481481481481</c:v>
                </c:pt>
                <c:pt idx="97">
                  <c:v>1.1481481481481481</c:v>
                </c:pt>
                <c:pt idx="98">
                  <c:v>1.1851851851851851</c:v>
                </c:pt>
                <c:pt idx="99">
                  <c:v>1.2222222222222223</c:v>
                </c:pt>
                <c:pt idx="100">
                  <c:v>1.2222222222222223</c:v>
                </c:pt>
                <c:pt idx="101">
                  <c:v>1.2592592592592593</c:v>
                </c:pt>
                <c:pt idx="102">
                  <c:v>1.2962962962962963</c:v>
                </c:pt>
                <c:pt idx="103">
                  <c:v>1.2962962962962963</c:v>
                </c:pt>
                <c:pt idx="104">
                  <c:v>1.3703703703703705</c:v>
                </c:pt>
                <c:pt idx="105">
                  <c:v>1.4074074074074074</c:v>
                </c:pt>
                <c:pt idx="106">
                  <c:v>1.4074074074074074</c:v>
                </c:pt>
                <c:pt idx="107">
                  <c:v>1.4444444444444444</c:v>
                </c:pt>
                <c:pt idx="108">
                  <c:v>1.5185185185185186</c:v>
                </c:pt>
                <c:pt idx="109">
                  <c:v>1.5925925925925926</c:v>
                </c:pt>
                <c:pt idx="110">
                  <c:v>1.5925925925925926</c:v>
                </c:pt>
                <c:pt idx="111">
                  <c:v>1.5925925925925926</c:v>
                </c:pt>
                <c:pt idx="112">
                  <c:v>1.6666666666666667</c:v>
                </c:pt>
                <c:pt idx="113">
                  <c:v>1.7407407407407407</c:v>
                </c:pt>
                <c:pt idx="114">
                  <c:v>1.8148148148148149</c:v>
                </c:pt>
                <c:pt idx="115">
                  <c:v>1.8518518518518519</c:v>
                </c:pt>
                <c:pt idx="116">
                  <c:v>2</c:v>
                </c:pt>
                <c:pt idx="117">
                  <c:v>2.1481481481481484</c:v>
                </c:pt>
                <c:pt idx="118">
                  <c:v>2.2222222222222223</c:v>
                </c:pt>
                <c:pt idx="119">
                  <c:v>2.2592592592592591</c:v>
                </c:pt>
                <c:pt idx="120">
                  <c:v>2.3703703703703702</c:v>
                </c:pt>
                <c:pt idx="121">
                  <c:v>2.4814814814814814</c:v>
                </c:pt>
                <c:pt idx="122">
                  <c:v>2.7037037037037037</c:v>
                </c:pt>
                <c:pt idx="123">
                  <c:v>2.8148148148148149</c:v>
                </c:pt>
                <c:pt idx="124">
                  <c:v>2.8518518518518516</c:v>
                </c:pt>
                <c:pt idx="125">
                  <c:v>3</c:v>
                </c:pt>
                <c:pt idx="126">
                  <c:v>3.1481481481481484</c:v>
                </c:pt>
                <c:pt idx="127">
                  <c:v>3.1851851851851851</c:v>
                </c:pt>
                <c:pt idx="128">
                  <c:v>3.3333333333333335</c:v>
                </c:pt>
                <c:pt idx="129">
                  <c:v>3.5925925925925926</c:v>
                </c:pt>
                <c:pt idx="130">
                  <c:v>3.7037037037037037</c:v>
                </c:pt>
                <c:pt idx="131">
                  <c:v>3.8888888888888888</c:v>
                </c:pt>
                <c:pt idx="132">
                  <c:v>4.0740740740740744</c:v>
                </c:pt>
                <c:pt idx="133">
                  <c:v>4.1851851851851851</c:v>
                </c:pt>
                <c:pt idx="134">
                  <c:v>4.333333333333333</c:v>
                </c:pt>
                <c:pt idx="135">
                  <c:v>4.4814814814814818</c:v>
                </c:pt>
                <c:pt idx="136">
                  <c:v>4.666666666666667</c:v>
                </c:pt>
                <c:pt idx="137">
                  <c:v>4.8148148148148149</c:v>
                </c:pt>
                <c:pt idx="138">
                  <c:v>4.9259259259259256</c:v>
                </c:pt>
                <c:pt idx="139">
                  <c:v>5.1111111111111107</c:v>
                </c:pt>
                <c:pt idx="140">
                  <c:v>5.333333333333333</c:v>
                </c:pt>
                <c:pt idx="141">
                  <c:v>5.5185185185185182</c:v>
                </c:pt>
                <c:pt idx="142">
                  <c:v>5.6296296296296298</c:v>
                </c:pt>
                <c:pt idx="143">
                  <c:v>5.9259259259259256</c:v>
                </c:pt>
                <c:pt idx="144">
                  <c:v>6.0740740740740744</c:v>
                </c:pt>
                <c:pt idx="145">
                  <c:v>6.2962962962962967</c:v>
                </c:pt>
                <c:pt idx="146">
                  <c:v>6.4814814814814818</c:v>
                </c:pt>
                <c:pt idx="147">
                  <c:v>6.5925925925925926</c:v>
                </c:pt>
                <c:pt idx="148">
                  <c:v>6.7777777777777777</c:v>
                </c:pt>
                <c:pt idx="149">
                  <c:v>6.9259259259259256</c:v>
                </c:pt>
                <c:pt idx="150">
                  <c:v>7.1111111111111107</c:v>
                </c:pt>
                <c:pt idx="151">
                  <c:v>7.3703703703703702</c:v>
                </c:pt>
                <c:pt idx="152">
                  <c:v>7.6296296296296298</c:v>
                </c:pt>
                <c:pt idx="153">
                  <c:v>7.7407407407407405</c:v>
                </c:pt>
                <c:pt idx="154">
                  <c:v>7.8148148148148149</c:v>
                </c:pt>
                <c:pt idx="155">
                  <c:v>7.9629629629629628</c:v>
                </c:pt>
                <c:pt idx="156">
                  <c:v>8.1481481481481488</c:v>
                </c:pt>
                <c:pt idx="157">
                  <c:v>8.4074074074074066</c:v>
                </c:pt>
                <c:pt idx="158">
                  <c:v>8.6666666666666661</c:v>
                </c:pt>
                <c:pt idx="159">
                  <c:v>8.8888888888888893</c:v>
                </c:pt>
                <c:pt idx="160">
                  <c:v>9.2222222222222214</c:v>
                </c:pt>
                <c:pt idx="161">
                  <c:v>9.4444444444444446</c:v>
                </c:pt>
                <c:pt idx="162">
                  <c:v>9.6296296296296298</c:v>
                </c:pt>
                <c:pt idx="163">
                  <c:v>9.8518518518518512</c:v>
                </c:pt>
                <c:pt idx="164">
                  <c:v>10.074074074074074</c:v>
                </c:pt>
                <c:pt idx="165">
                  <c:v>10.333333333333334</c:v>
                </c:pt>
                <c:pt idx="166">
                  <c:v>10.592592592592593</c:v>
                </c:pt>
                <c:pt idx="167">
                  <c:v>10.851851851851851</c:v>
                </c:pt>
                <c:pt idx="168">
                  <c:v>11</c:v>
                </c:pt>
                <c:pt idx="169">
                  <c:v>11.148148148148149</c:v>
                </c:pt>
                <c:pt idx="170">
                  <c:v>11.185185185185185</c:v>
                </c:pt>
                <c:pt idx="171">
                  <c:v>11.37037037037037</c:v>
                </c:pt>
                <c:pt idx="172">
                  <c:v>11.703703703703704</c:v>
                </c:pt>
                <c:pt idx="173">
                  <c:v>11.962962962962964</c:v>
                </c:pt>
                <c:pt idx="174">
                  <c:v>12.222222222222221</c:v>
                </c:pt>
                <c:pt idx="175">
                  <c:v>12.37037037037037</c:v>
                </c:pt>
                <c:pt idx="176">
                  <c:v>12.555555555555555</c:v>
                </c:pt>
                <c:pt idx="177">
                  <c:v>12.62962962962963</c:v>
                </c:pt>
                <c:pt idx="178">
                  <c:v>12.851851851851851</c:v>
                </c:pt>
                <c:pt idx="179">
                  <c:v>13.037037037037036</c:v>
                </c:pt>
                <c:pt idx="180">
                  <c:v>13.074074074074074</c:v>
                </c:pt>
                <c:pt idx="181">
                  <c:v>13.481481481481481</c:v>
                </c:pt>
                <c:pt idx="182">
                  <c:v>13.851851851851851</c:v>
                </c:pt>
                <c:pt idx="183">
                  <c:v>14.111111111111111</c:v>
                </c:pt>
                <c:pt idx="184">
                  <c:v>14.296296296296296</c:v>
                </c:pt>
                <c:pt idx="185">
                  <c:v>14.444444444444445</c:v>
                </c:pt>
                <c:pt idx="186">
                  <c:v>14.777777777777779</c:v>
                </c:pt>
                <c:pt idx="187">
                  <c:v>15.111111111111111</c:v>
                </c:pt>
                <c:pt idx="188">
                  <c:v>15.37037037037037</c:v>
                </c:pt>
                <c:pt idx="189">
                  <c:v>15.62962962962963</c:v>
                </c:pt>
                <c:pt idx="190">
                  <c:v>15.74074074074074</c:v>
                </c:pt>
                <c:pt idx="191">
                  <c:v>15.962962962962964</c:v>
                </c:pt>
                <c:pt idx="192">
                  <c:v>16.333333333333332</c:v>
                </c:pt>
                <c:pt idx="193">
                  <c:v>16.518518518518519</c:v>
                </c:pt>
                <c:pt idx="194">
                  <c:v>16.74074074074074</c:v>
                </c:pt>
                <c:pt idx="195">
                  <c:v>16.962962962962962</c:v>
                </c:pt>
                <c:pt idx="196">
                  <c:v>17.222222222222221</c:v>
                </c:pt>
                <c:pt idx="197">
                  <c:v>17.37037037037037</c:v>
                </c:pt>
                <c:pt idx="198">
                  <c:v>17.592592592592592</c:v>
                </c:pt>
                <c:pt idx="199">
                  <c:v>17.666666666666668</c:v>
                </c:pt>
                <c:pt idx="200">
                  <c:v>17.814814814814813</c:v>
                </c:pt>
                <c:pt idx="201">
                  <c:v>18</c:v>
                </c:pt>
                <c:pt idx="202">
                  <c:v>18.296296296296298</c:v>
                </c:pt>
                <c:pt idx="203">
                  <c:v>18.555555555555557</c:v>
                </c:pt>
                <c:pt idx="204">
                  <c:v>18.814814814814813</c:v>
                </c:pt>
                <c:pt idx="205">
                  <c:v>18.962962962962962</c:v>
                </c:pt>
                <c:pt idx="206">
                  <c:v>19.185185185185187</c:v>
                </c:pt>
                <c:pt idx="207">
                  <c:v>19.407407407407408</c:v>
                </c:pt>
                <c:pt idx="208">
                  <c:v>19.62962962962963</c:v>
                </c:pt>
                <c:pt idx="209">
                  <c:v>19.925925925925927</c:v>
                </c:pt>
                <c:pt idx="210">
                  <c:v>20.296296296296298</c:v>
                </c:pt>
                <c:pt idx="211">
                  <c:v>20.481481481481481</c:v>
                </c:pt>
                <c:pt idx="212">
                  <c:v>20.62962962962963</c:v>
                </c:pt>
                <c:pt idx="213">
                  <c:v>20.888888888888889</c:v>
                </c:pt>
                <c:pt idx="214">
                  <c:v>21.185185185185187</c:v>
                </c:pt>
                <c:pt idx="215">
                  <c:v>21.407407407407408</c:v>
                </c:pt>
                <c:pt idx="216">
                  <c:v>21.62962962962963</c:v>
                </c:pt>
                <c:pt idx="217">
                  <c:v>21.814814814814813</c:v>
                </c:pt>
                <c:pt idx="218">
                  <c:v>21.925925925925927</c:v>
                </c:pt>
                <c:pt idx="219">
                  <c:v>22.074074074074073</c:v>
                </c:pt>
                <c:pt idx="220">
                  <c:v>22.333333333333332</c:v>
                </c:pt>
                <c:pt idx="221">
                  <c:v>22.444444444444443</c:v>
                </c:pt>
                <c:pt idx="222">
                  <c:v>22.74074074074074</c:v>
                </c:pt>
                <c:pt idx="223">
                  <c:v>22.888888888888889</c:v>
                </c:pt>
                <c:pt idx="224">
                  <c:v>22.962962962962962</c:v>
                </c:pt>
                <c:pt idx="225">
                  <c:v>23.111111111111111</c:v>
                </c:pt>
                <c:pt idx="226">
                  <c:v>23.333333333333332</c:v>
                </c:pt>
                <c:pt idx="227">
                  <c:v>23.481481481481481</c:v>
                </c:pt>
                <c:pt idx="228">
                  <c:v>23.62962962962963</c:v>
                </c:pt>
                <c:pt idx="229">
                  <c:v>23.925925925925927</c:v>
                </c:pt>
                <c:pt idx="230">
                  <c:v>24.185185185185187</c:v>
                </c:pt>
                <c:pt idx="231">
                  <c:v>24.37037037037037</c:v>
                </c:pt>
                <c:pt idx="232">
                  <c:v>24.555555555555557</c:v>
                </c:pt>
                <c:pt idx="233">
                  <c:v>24.777777777777779</c:v>
                </c:pt>
                <c:pt idx="234">
                  <c:v>24.962962962962962</c:v>
                </c:pt>
                <c:pt idx="235">
                  <c:v>25.074074074074073</c:v>
                </c:pt>
                <c:pt idx="236">
                  <c:v>25.148148148148149</c:v>
                </c:pt>
                <c:pt idx="237">
                  <c:v>25.296296296296298</c:v>
                </c:pt>
                <c:pt idx="238">
                  <c:v>25.518518518518519</c:v>
                </c:pt>
                <c:pt idx="239">
                  <c:v>25.62962962962963</c:v>
                </c:pt>
                <c:pt idx="240">
                  <c:v>25.666666666666668</c:v>
                </c:pt>
                <c:pt idx="241">
                  <c:v>25.777777777777779</c:v>
                </c:pt>
                <c:pt idx="242">
                  <c:v>25.925925925925927</c:v>
                </c:pt>
                <c:pt idx="243">
                  <c:v>26</c:v>
                </c:pt>
                <c:pt idx="244">
                  <c:v>26.111111111111111</c:v>
                </c:pt>
                <c:pt idx="245">
                  <c:v>26.148148148148149</c:v>
                </c:pt>
                <c:pt idx="246">
                  <c:v>26.185185185185187</c:v>
                </c:pt>
                <c:pt idx="247">
                  <c:v>26.222222222222221</c:v>
                </c:pt>
                <c:pt idx="248">
                  <c:v>26.333333333333332</c:v>
                </c:pt>
                <c:pt idx="249">
                  <c:v>26.444444444444443</c:v>
                </c:pt>
                <c:pt idx="250">
                  <c:v>26.518518518518519</c:v>
                </c:pt>
                <c:pt idx="251">
                  <c:v>26.592592592592592</c:v>
                </c:pt>
                <c:pt idx="252">
                  <c:v>26.666666666666668</c:v>
                </c:pt>
                <c:pt idx="253">
                  <c:v>26.814814814814813</c:v>
                </c:pt>
                <c:pt idx="254">
                  <c:v>26.925925925925927</c:v>
                </c:pt>
                <c:pt idx="255">
                  <c:v>26.925925925925927</c:v>
                </c:pt>
                <c:pt idx="256">
                  <c:v>26.925925925925927</c:v>
                </c:pt>
                <c:pt idx="257">
                  <c:v>26.962962962962962</c:v>
                </c:pt>
                <c:pt idx="258">
                  <c:v>26.962962962962962</c:v>
                </c:pt>
                <c:pt idx="259">
                  <c:v>26.962962962962962</c:v>
                </c:pt>
                <c:pt idx="260">
                  <c:v>27.074074074074073</c:v>
                </c:pt>
                <c:pt idx="261">
                  <c:v>27.148148148148149</c:v>
                </c:pt>
                <c:pt idx="262">
                  <c:v>27.222222222222221</c:v>
                </c:pt>
                <c:pt idx="263">
                  <c:v>27.25925925925926</c:v>
                </c:pt>
                <c:pt idx="264">
                  <c:v>27.333333333333332</c:v>
                </c:pt>
                <c:pt idx="265">
                  <c:v>27.37037037037037</c:v>
                </c:pt>
                <c:pt idx="266">
                  <c:v>27.481481481481481</c:v>
                </c:pt>
                <c:pt idx="267">
                  <c:v>27.481481481481481</c:v>
                </c:pt>
                <c:pt idx="268">
                  <c:v>27.518518518518519</c:v>
                </c:pt>
                <c:pt idx="269">
                  <c:v>27.518518518518519</c:v>
                </c:pt>
                <c:pt idx="270">
                  <c:v>27.592592592592592</c:v>
                </c:pt>
                <c:pt idx="271">
                  <c:v>27.592592592592592</c:v>
                </c:pt>
                <c:pt idx="272">
                  <c:v>27.592592592592592</c:v>
                </c:pt>
                <c:pt idx="273">
                  <c:v>27.592592592592592</c:v>
                </c:pt>
                <c:pt idx="274">
                  <c:v>27.666666666666668</c:v>
                </c:pt>
                <c:pt idx="275">
                  <c:v>27.666666666666668</c:v>
                </c:pt>
                <c:pt idx="276">
                  <c:v>27.703703703703702</c:v>
                </c:pt>
                <c:pt idx="277">
                  <c:v>27.703703703703702</c:v>
                </c:pt>
                <c:pt idx="278">
                  <c:v>27.703703703703702</c:v>
                </c:pt>
                <c:pt idx="279">
                  <c:v>27.703703703703702</c:v>
                </c:pt>
                <c:pt idx="280">
                  <c:v>27.703703703703702</c:v>
                </c:pt>
                <c:pt idx="281">
                  <c:v>27.703703703703702</c:v>
                </c:pt>
                <c:pt idx="282">
                  <c:v>27.703703703703702</c:v>
                </c:pt>
                <c:pt idx="283">
                  <c:v>27.703703703703702</c:v>
                </c:pt>
                <c:pt idx="284">
                  <c:v>27.703703703703702</c:v>
                </c:pt>
                <c:pt idx="285">
                  <c:v>27.703703703703702</c:v>
                </c:pt>
                <c:pt idx="286">
                  <c:v>27.703703703703702</c:v>
                </c:pt>
                <c:pt idx="287">
                  <c:v>27.703703703703702</c:v>
                </c:pt>
                <c:pt idx="288">
                  <c:v>27.703703703703702</c:v>
                </c:pt>
                <c:pt idx="289">
                  <c:v>27.703703703703702</c:v>
                </c:pt>
                <c:pt idx="290">
                  <c:v>27.703703703703702</c:v>
                </c:pt>
                <c:pt idx="291">
                  <c:v>27.703703703703702</c:v>
                </c:pt>
                <c:pt idx="292">
                  <c:v>27.703703703703702</c:v>
                </c:pt>
                <c:pt idx="293">
                  <c:v>27.703703703703702</c:v>
                </c:pt>
                <c:pt idx="294">
                  <c:v>27.703703703703702</c:v>
                </c:pt>
                <c:pt idx="295">
                  <c:v>27.703703703703702</c:v>
                </c:pt>
                <c:pt idx="296">
                  <c:v>27.703703703703702</c:v>
                </c:pt>
                <c:pt idx="297">
                  <c:v>27.74074074074074</c:v>
                </c:pt>
                <c:pt idx="298">
                  <c:v>27.74074074074074</c:v>
                </c:pt>
                <c:pt idx="299">
                  <c:v>27.74074074074074</c:v>
                </c:pt>
                <c:pt idx="300">
                  <c:v>27.74074074074074</c:v>
                </c:pt>
                <c:pt idx="301">
                  <c:v>27.74074074074074</c:v>
                </c:pt>
                <c:pt idx="302">
                  <c:v>27.814814814814813</c:v>
                </c:pt>
                <c:pt idx="303">
                  <c:v>27.851851851851851</c:v>
                </c:pt>
                <c:pt idx="304">
                  <c:v>27.851851851851851</c:v>
                </c:pt>
                <c:pt idx="305">
                  <c:v>27.851851851851851</c:v>
                </c:pt>
                <c:pt idx="306">
                  <c:v>27.851851851851851</c:v>
                </c:pt>
                <c:pt idx="307">
                  <c:v>27.851851851851851</c:v>
                </c:pt>
                <c:pt idx="308">
                  <c:v>27.851851851851851</c:v>
                </c:pt>
                <c:pt idx="309">
                  <c:v>27.851851851851851</c:v>
                </c:pt>
                <c:pt idx="310">
                  <c:v>27.851851851851851</c:v>
                </c:pt>
                <c:pt idx="311">
                  <c:v>27.851851851851851</c:v>
                </c:pt>
                <c:pt idx="312">
                  <c:v>27.888888888888889</c:v>
                </c:pt>
                <c:pt idx="313">
                  <c:v>27.888888888888889</c:v>
                </c:pt>
                <c:pt idx="314">
                  <c:v>27.888888888888889</c:v>
                </c:pt>
                <c:pt idx="315">
                  <c:v>27.888888888888889</c:v>
                </c:pt>
                <c:pt idx="316">
                  <c:v>27.888888888888889</c:v>
                </c:pt>
                <c:pt idx="317">
                  <c:v>27.888888888888889</c:v>
                </c:pt>
                <c:pt idx="318">
                  <c:v>27.888888888888889</c:v>
                </c:pt>
                <c:pt idx="319">
                  <c:v>27.888888888888889</c:v>
                </c:pt>
                <c:pt idx="320">
                  <c:v>27.888888888888889</c:v>
                </c:pt>
                <c:pt idx="321">
                  <c:v>27.888888888888889</c:v>
                </c:pt>
                <c:pt idx="322">
                  <c:v>27.888888888888889</c:v>
                </c:pt>
                <c:pt idx="323">
                  <c:v>27.888888888888889</c:v>
                </c:pt>
                <c:pt idx="324">
                  <c:v>27.888888888888889</c:v>
                </c:pt>
                <c:pt idx="325">
                  <c:v>27.888888888888889</c:v>
                </c:pt>
                <c:pt idx="326">
                  <c:v>27.888888888888889</c:v>
                </c:pt>
                <c:pt idx="327">
                  <c:v>27.888888888888889</c:v>
                </c:pt>
                <c:pt idx="328">
                  <c:v>27.888888888888889</c:v>
                </c:pt>
                <c:pt idx="329">
                  <c:v>27.888888888888889</c:v>
                </c:pt>
                <c:pt idx="330">
                  <c:v>27.888888888888889</c:v>
                </c:pt>
                <c:pt idx="331">
                  <c:v>27.888888888888889</c:v>
                </c:pt>
                <c:pt idx="332">
                  <c:v>27.888888888888889</c:v>
                </c:pt>
                <c:pt idx="333">
                  <c:v>27.888888888888889</c:v>
                </c:pt>
                <c:pt idx="334">
                  <c:v>27.888888888888889</c:v>
                </c:pt>
                <c:pt idx="335">
                  <c:v>27.888888888888889</c:v>
                </c:pt>
                <c:pt idx="336">
                  <c:v>27.888888888888889</c:v>
                </c:pt>
                <c:pt idx="337">
                  <c:v>27.925925925925927</c:v>
                </c:pt>
                <c:pt idx="338">
                  <c:v>27.925925925925927</c:v>
                </c:pt>
                <c:pt idx="339">
                  <c:v>27.925925925925927</c:v>
                </c:pt>
                <c:pt idx="340">
                  <c:v>27.925925925925927</c:v>
                </c:pt>
                <c:pt idx="341">
                  <c:v>27.925925925925927</c:v>
                </c:pt>
                <c:pt idx="342">
                  <c:v>27.925925925925927</c:v>
                </c:pt>
                <c:pt idx="343">
                  <c:v>27.925925925925927</c:v>
                </c:pt>
                <c:pt idx="344">
                  <c:v>27.925925925925927</c:v>
                </c:pt>
                <c:pt idx="345">
                  <c:v>27.925925925925927</c:v>
                </c:pt>
                <c:pt idx="346">
                  <c:v>27.925925925925927</c:v>
                </c:pt>
                <c:pt idx="347">
                  <c:v>27.925925925925927</c:v>
                </c:pt>
                <c:pt idx="348">
                  <c:v>27.925925925925927</c:v>
                </c:pt>
                <c:pt idx="349">
                  <c:v>27.962962962962962</c:v>
                </c:pt>
                <c:pt idx="350">
                  <c:v>28</c:v>
                </c:pt>
                <c:pt idx="351">
                  <c:v>28</c:v>
                </c:pt>
                <c:pt idx="352">
                  <c:v>28</c:v>
                </c:pt>
                <c:pt idx="353">
                  <c:v>28</c:v>
                </c:pt>
                <c:pt idx="354">
                  <c:v>28</c:v>
                </c:pt>
                <c:pt idx="355">
                  <c:v>28.037037037037038</c:v>
                </c:pt>
                <c:pt idx="356">
                  <c:v>28.074074074074073</c:v>
                </c:pt>
                <c:pt idx="357">
                  <c:v>28.074074074074073</c:v>
                </c:pt>
                <c:pt idx="358">
                  <c:v>28.074074074074073</c:v>
                </c:pt>
                <c:pt idx="359">
                  <c:v>28.074074074074073</c:v>
                </c:pt>
                <c:pt idx="360">
                  <c:v>28.074074074074073</c:v>
                </c:pt>
                <c:pt idx="361">
                  <c:v>28.074074074074073</c:v>
                </c:pt>
                <c:pt idx="362">
                  <c:v>28.074074074074073</c:v>
                </c:pt>
                <c:pt idx="363">
                  <c:v>28.074074074074073</c:v>
                </c:pt>
                <c:pt idx="364">
                  <c:v>28.074074074074073</c:v>
                </c:pt>
                <c:pt idx="365">
                  <c:v>28.074074074074073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BE-9041-9B32-DA116BC247BB}"/>
            </c:ext>
          </c:extLst>
        </c:ser>
        <c:ser>
          <c:idx val="1"/>
          <c:order val="1"/>
          <c:tx>
            <c:strRef>
              <c:f>List1!$E$4</c:f>
              <c:strCache>
                <c:ptCount val="1"/>
                <c:pt idx="0">
                  <c:v>1999</c:v>
                </c:pt>
              </c:strCache>
            </c:strRef>
          </c:tx>
          <c:spPr>
            <a:ln w="28800" cap="rnd">
              <a:solidFill>
                <a:srgbClr val="FC22FF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List1!$E$5:$E$370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2</c:v>
                </c:pt>
                <c:pt idx="137">
                  <c:v>2</c:v>
                </c:pt>
                <c:pt idx="138">
                  <c:v>2</c:v>
                </c:pt>
                <c:pt idx="139">
                  <c:v>2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5</c:v>
                </c:pt>
                <c:pt idx="150">
                  <c:v>6</c:v>
                </c:pt>
                <c:pt idx="151">
                  <c:v>7</c:v>
                </c:pt>
                <c:pt idx="152">
                  <c:v>7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9</c:v>
                </c:pt>
                <c:pt idx="158">
                  <c:v>9</c:v>
                </c:pt>
                <c:pt idx="159">
                  <c:v>9</c:v>
                </c:pt>
                <c:pt idx="160">
                  <c:v>9</c:v>
                </c:pt>
                <c:pt idx="161">
                  <c:v>9</c:v>
                </c:pt>
                <c:pt idx="162">
                  <c:v>9</c:v>
                </c:pt>
                <c:pt idx="163">
                  <c:v>9</c:v>
                </c:pt>
                <c:pt idx="164">
                  <c:v>9</c:v>
                </c:pt>
                <c:pt idx="165">
                  <c:v>9</c:v>
                </c:pt>
                <c:pt idx="166">
                  <c:v>9</c:v>
                </c:pt>
                <c:pt idx="167">
                  <c:v>9</c:v>
                </c:pt>
                <c:pt idx="168">
                  <c:v>9</c:v>
                </c:pt>
                <c:pt idx="169">
                  <c:v>9</c:v>
                </c:pt>
                <c:pt idx="170">
                  <c:v>9</c:v>
                </c:pt>
                <c:pt idx="171">
                  <c:v>9</c:v>
                </c:pt>
                <c:pt idx="172">
                  <c:v>9</c:v>
                </c:pt>
                <c:pt idx="173">
                  <c:v>9</c:v>
                </c:pt>
                <c:pt idx="174">
                  <c:v>9</c:v>
                </c:pt>
                <c:pt idx="175">
                  <c:v>9</c:v>
                </c:pt>
                <c:pt idx="176">
                  <c:v>9</c:v>
                </c:pt>
                <c:pt idx="177">
                  <c:v>9</c:v>
                </c:pt>
                <c:pt idx="178">
                  <c:v>10</c:v>
                </c:pt>
                <c:pt idx="179">
                  <c:v>10</c:v>
                </c:pt>
                <c:pt idx="180">
                  <c:v>10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12</c:v>
                </c:pt>
                <c:pt idx="187">
                  <c:v>13</c:v>
                </c:pt>
                <c:pt idx="188">
                  <c:v>13</c:v>
                </c:pt>
                <c:pt idx="189">
                  <c:v>13</c:v>
                </c:pt>
                <c:pt idx="190">
                  <c:v>13</c:v>
                </c:pt>
                <c:pt idx="191">
                  <c:v>13</c:v>
                </c:pt>
                <c:pt idx="192">
                  <c:v>13</c:v>
                </c:pt>
                <c:pt idx="193">
                  <c:v>13</c:v>
                </c:pt>
                <c:pt idx="194">
                  <c:v>14</c:v>
                </c:pt>
                <c:pt idx="195">
                  <c:v>15</c:v>
                </c:pt>
                <c:pt idx="196">
                  <c:v>15</c:v>
                </c:pt>
                <c:pt idx="197">
                  <c:v>15</c:v>
                </c:pt>
                <c:pt idx="198">
                  <c:v>15</c:v>
                </c:pt>
                <c:pt idx="199">
                  <c:v>15</c:v>
                </c:pt>
                <c:pt idx="200">
                  <c:v>15</c:v>
                </c:pt>
                <c:pt idx="201">
                  <c:v>16</c:v>
                </c:pt>
                <c:pt idx="202">
                  <c:v>16</c:v>
                </c:pt>
                <c:pt idx="203">
                  <c:v>16</c:v>
                </c:pt>
                <c:pt idx="204">
                  <c:v>16</c:v>
                </c:pt>
                <c:pt idx="205">
                  <c:v>16</c:v>
                </c:pt>
                <c:pt idx="206">
                  <c:v>16</c:v>
                </c:pt>
                <c:pt idx="207">
                  <c:v>16</c:v>
                </c:pt>
                <c:pt idx="208">
                  <c:v>16</c:v>
                </c:pt>
                <c:pt idx="209">
                  <c:v>16</c:v>
                </c:pt>
                <c:pt idx="210">
                  <c:v>16</c:v>
                </c:pt>
                <c:pt idx="211">
                  <c:v>16</c:v>
                </c:pt>
                <c:pt idx="212">
                  <c:v>16</c:v>
                </c:pt>
                <c:pt idx="213">
                  <c:v>16</c:v>
                </c:pt>
                <c:pt idx="214">
                  <c:v>16</c:v>
                </c:pt>
                <c:pt idx="215">
                  <c:v>16</c:v>
                </c:pt>
                <c:pt idx="216">
                  <c:v>16</c:v>
                </c:pt>
                <c:pt idx="217">
                  <c:v>16</c:v>
                </c:pt>
                <c:pt idx="218">
                  <c:v>16</c:v>
                </c:pt>
                <c:pt idx="219">
                  <c:v>16</c:v>
                </c:pt>
                <c:pt idx="220">
                  <c:v>16</c:v>
                </c:pt>
                <c:pt idx="221">
                  <c:v>16</c:v>
                </c:pt>
                <c:pt idx="222">
                  <c:v>17</c:v>
                </c:pt>
                <c:pt idx="223">
                  <c:v>17</c:v>
                </c:pt>
                <c:pt idx="224">
                  <c:v>17</c:v>
                </c:pt>
                <c:pt idx="225">
                  <c:v>17</c:v>
                </c:pt>
                <c:pt idx="226">
                  <c:v>17</c:v>
                </c:pt>
                <c:pt idx="227">
                  <c:v>17</c:v>
                </c:pt>
                <c:pt idx="228">
                  <c:v>17</c:v>
                </c:pt>
                <c:pt idx="229">
                  <c:v>17</c:v>
                </c:pt>
                <c:pt idx="230">
                  <c:v>17</c:v>
                </c:pt>
                <c:pt idx="231">
                  <c:v>17</c:v>
                </c:pt>
                <c:pt idx="232">
                  <c:v>17</c:v>
                </c:pt>
                <c:pt idx="233">
                  <c:v>17</c:v>
                </c:pt>
                <c:pt idx="234">
                  <c:v>17</c:v>
                </c:pt>
                <c:pt idx="235">
                  <c:v>17</c:v>
                </c:pt>
                <c:pt idx="236">
                  <c:v>17</c:v>
                </c:pt>
                <c:pt idx="237">
                  <c:v>17</c:v>
                </c:pt>
                <c:pt idx="238">
                  <c:v>17</c:v>
                </c:pt>
                <c:pt idx="239">
                  <c:v>17</c:v>
                </c:pt>
                <c:pt idx="240">
                  <c:v>17</c:v>
                </c:pt>
                <c:pt idx="241">
                  <c:v>17</c:v>
                </c:pt>
                <c:pt idx="242">
                  <c:v>17</c:v>
                </c:pt>
                <c:pt idx="243">
                  <c:v>17</c:v>
                </c:pt>
                <c:pt idx="244">
                  <c:v>17</c:v>
                </c:pt>
                <c:pt idx="245">
                  <c:v>17</c:v>
                </c:pt>
                <c:pt idx="246">
                  <c:v>17</c:v>
                </c:pt>
                <c:pt idx="247">
                  <c:v>17</c:v>
                </c:pt>
                <c:pt idx="248">
                  <c:v>17</c:v>
                </c:pt>
                <c:pt idx="249">
                  <c:v>17</c:v>
                </c:pt>
                <c:pt idx="250">
                  <c:v>17</c:v>
                </c:pt>
                <c:pt idx="251">
                  <c:v>17</c:v>
                </c:pt>
                <c:pt idx="252">
                  <c:v>17</c:v>
                </c:pt>
                <c:pt idx="253">
                  <c:v>17</c:v>
                </c:pt>
                <c:pt idx="254">
                  <c:v>17</c:v>
                </c:pt>
                <c:pt idx="255">
                  <c:v>17</c:v>
                </c:pt>
                <c:pt idx="256">
                  <c:v>17</c:v>
                </c:pt>
                <c:pt idx="257">
                  <c:v>17</c:v>
                </c:pt>
                <c:pt idx="258">
                  <c:v>17</c:v>
                </c:pt>
                <c:pt idx="259">
                  <c:v>17</c:v>
                </c:pt>
                <c:pt idx="260">
                  <c:v>18</c:v>
                </c:pt>
                <c:pt idx="261">
                  <c:v>19</c:v>
                </c:pt>
                <c:pt idx="262">
                  <c:v>19</c:v>
                </c:pt>
                <c:pt idx="263">
                  <c:v>19</c:v>
                </c:pt>
                <c:pt idx="264">
                  <c:v>19</c:v>
                </c:pt>
                <c:pt idx="265">
                  <c:v>19</c:v>
                </c:pt>
                <c:pt idx="266">
                  <c:v>20</c:v>
                </c:pt>
                <c:pt idx="267">
                  <c:v>20</c:v>
                </c:pt>
                <c:pt idx="268">
                  <c:v>20</c:v>
                </c:pt>
                <c:pt idx="269">
                  <c:v>20</c:v>
                </c:pt>
                <c:pt idx="270">
                  <c:v>20</c:v>
                </c:pt>
                <c:pt idx="271">
                  <c:v>20</c:v>
                </c:pt>
                <c:pt idx="272">
                  <c:v>20</c:v>
                </c:pt>
                <c:pt idx="273">
                  <c:v>20</c:v>
                </c:pt>
                <c:pt idx="274">
                  <c:v>20</c:v>
                </c:pt>
                <c:pt idx="275">
                  <c:v>20</c:v>
                </c:pt>
                <c:pt idx="276">
                  <c:v>20</c:v>
                </c:pt>
                <c:pt idx="277">
                  <c:v>20</c:v>
                </c:pt>
                <c:pt idx="278">
                  <c:v>20</c:v>
                </c:pt>
                <c:pt idx="279">
                  <c:v>20</c:v>
                </c:pt>
                <c:pt idx="280">
                  <c:v>20</c:v>
                </c:pt>
                <c:pt idx="281">
                  <c:v>20</c:v>
                </c:pt>
                <c:pt idx="282">
                  <c:v>20</c:v>
                </c:pt>
                <c:pt idx="283">
                  <c:v>20</c:v>
                </c:pt>
                <c:pt idx="284">
                  <c:v>20</c:v>
                </c:pt>
                <c:pt idx="285">
                  <c:v>20</c:v>
                </c:pt>
                <c:pt idx="286">
                  <c:v>20</c:v>
                </c:pt>
                <c:pt idx="287">
                  <c:v>20</c:v>
                </c:pt>
                <c:pt idx="288">
                  <c:v>20</c:v>
                </c:pt>
                <c:pt idx="289">
                  <c:v>20</c:v>
                </c:pt>
                <c:pt idx="290">
                  <c:v>20</c:v>
                </c:pt>
                <c:pt idx="291">
                  <c:v>20</c:v>
                </c:pt>
                <c:pt idx="292">
                  <c:v>20</c:v>
                </c:pt>
                <c:pt idx="293">
                  <c:v>20</c:v>
                </c:pt>
                <c:pt idx="294">
                  <c:v>20</c:v>
                </c:pt>
                <c:pt idx="295">
                  <c:v>20</c:v>
                </c:pt>
                <c:pt idx="296">
                  <c:v>20</c:v>
                </c:pt>
                <c:pt idx="297">
                  <c:v>20</c:v>
                </c:pt>
                <c:pt idx="298">
                  <c:v>20</c:v>
                </c:pt>
                <c:pt idx="299">
                  <c:v>20</c:v>
                </c:pt>
                <c:pt idx="300">
                  <c:v>20</c:v>
                </c:pt>
                <c:pt idx="301">
                  <c:v>20</c:v>
                </c:pt>
                <c:pt idx="302">
                  <c:v>20</c:v>
                </c:pt>
                <c:pt idx="303">
                  <c:v>20</c:v>
                </c:pt>
                <c:pt idx="304">
                  <c:v>20</c:v>
                </c:pt>
                <c:pt idx="305">
                  <c:v>20</c:v>
                </c:pt>
                <c:pt idx="306">
                  <c:v>20</c:v>
                </c:pt>
                <c:pt idx="307">
                  <c:v>20</c:v>
                </c:pt>
                <c:pt idx="308">
                  <c:v>20</c:v>
                </c:pt>
                <c:pt idx="309">
                  <c:v>20</c:v>
                </c:pt>
                <c:pt idx="310">
                  <c:v>20</c:v>
                </c:pt>
                <c:pt idx="311">
                  <c:v>20</c:v>
                </c:pt>
                <c:pt idx="312">
                  <c:v>20</c:v>
                </c:pt>
                <c:pt idx="313">
                  <c:v>20</c:v>
                </c:pt>
                <c:pt idx="314">
                  <c:v>20</c:v>
                </c:pt>
                <c:pt idx="315">
                  <c:v>20</c:v>
                </c:pt>
                <c:pt idx="316">
                  <c:v>20</c:v>
                </c:pt>
                <c:pt idx="317">
                  <c:v>20</c:v>
                </c:pt>
                <c:pt idx="318">
                  <c:v>20</c:v>
                </c:pt>
                <c:pt idx="319">
                  <c:v>20</c:v>
                </c:pt>
                <c:pt idx="320">
                  <c:v>20</c:v>
                </c:pt>
                <c:pt idx="321">
                  <c:v>20</c:v>
                </c:pt>
                <c:pt idx="322">
                  <c:v>20</c:v>
                </c:pt>
                <c:pt idx="323">
                  <c:v>20</c:v>
                </c:pt>
                <c:pt idx="324">
                  <c:v>20</c:v>
                </c:pt>
                <c:pt idx="325">
                  <c:v>20</c:v>
                </c:pt>
                <c:pt idx="326">
                  <c:v>20</c:v>
                </c:pt>
                <c:pt idx="327">
                  <c:v>20</c:v>
                </c:pt>
                <c:pt idx="328">
                  <c:v>20</c:v>
                </c:pt>
                <c:pt idx="329">
                  <c:v>20</c:v>
                </c:pt>
                <c:pt idx="330">
                  <c:v>20</c:v>
                </c:pt>
                <c:pt idx="331">
                  <c:v>20</c:v>
                </c:pt>
                <c:pt idx="332">
                  <c:v>20</c:v>
                </c:pt>
                <c:pt idx="333">
                  <c:v>20</c:v>
                </c:pt>
                <c:pt idx="334">
                  <c:v>20</c:v>
                </c:pt>
                <c:pt idx="335">
                  <c:v>20</c:v>
                </c:pt>
                <c:pt idx="336">
                  <c:v>20</c:v>
                </c:pt>
                <c:pt idx="337">
                  <c:v>20</c:v>
                </c:pt>
                <c:pt idx="338">
                  <c:v>20</c:v>
                </c:pt>
                <c:pt idx="339">
                  <c:v>20</c:v>
                </c:pt>
                <c:pt idx="340">
                  <c:v>20</c:v>
                </c:pt>
                <c:pt idx="341">
                  <c:v>20</c:v>
                </c:pt>
                <c:pt idx="342">
                  <c:v>20</c:v>
                </c:pt>
                <c:pt idx="343">
                  <c:v>20</c:v>
                </c:pt>
                <c:pt idx="344">
                  <c:v>20</c:v>
                </c:pt>
                <c:pt idx="345">
                  <c:v>20</c:v>
                </c:pt>
                <c:pt idx="346">
                  <c:v>20</c:v>
                </c:pt>
                <c:pt idx="347">
                  <c:v>20</c:v>
                </c:pt>
                <c:pt idx="348">
                  <c:v>20</c:v>
                </c:pt>
                <c:pt idx="349">
                  <c:v>20</c:v>
                </c:pt>
                <c:pt idx="350">
                  <c:v>20</c:v>
                </c:pt>
                <c:pt idx="351">
                  <c:v>20</c:v>
                </c:pt>
                <c:pt idx="352">
                  <c:v>20</c:v>
                </c:pt>
                <c:pt idx="353">
                  <c:v>20</c:v>
                </c:pt>
                <c:pt idx="354">
                  <c:v>20</c:v>
                </c:pt>
                <c:pt idx="355">
                  <c:v>20</c:v>
                </c:pt>
                <c:pt idx="356">
                  <c:v>20</c:v>
                </c:pt>
                <c:pt idx="357">
                  <c:v>20</c:v>
                </c:pt>
                <c:pt idx="358">
                  <c:v>20</c:v>
                </c:pt>
                <c:pt idx="359">
                  <c:v>20</c:v>
                </c:pt>
                <c:pt idx="360">
                  <c:v>20</c:v>
                </c:pt>
                <c:pt idx="361">
                  <c:v>20</c:v>
                </c:pt>
                <c:pt idx="362">
                  <c:v>20</c:v>
                </c:pt>
                <c:pt idx="363">
                  <c:v>20</c:v>
                </c:pt>
                <c:pt idx="364">
                  <c:v>20</c:v>
                </c:pt>
                <c:pt idx="365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BE-9041-9B32-DA116BC247BB}"/>
            </c:ext>
          </c:extLst>
        </c:ser>
        <c:ser>
          <c:idx val="2"/>
          <c:order val="2"/>
          <c:tx>
            <c:strRef>
              <c:f>List1!$F$4</c:f>
              <c:strCache>
                <c:ptCount val="1"/>
                <c:pt idx="0">
                  <c:v>2000</c:v>
                </c:pt>
              </c:strCache>
            </c:strRef>
          </c:tx>
          <c:spPr>
            <a:ln w="28800">
              <a:solidFill>
                <a:srgbClr val="000000">
                  <a:alpha val="5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List1!$F$5:$F$370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4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6</c:v>
                </c:pt>
                <c:pt idx="129">
                  <c:v>7</c:v>
                </c:pt>
                <c:pt idx="130">
                  <c:v>7</c:v>
                </c:pt>
                <c:pt idx="131">
                  <c:v>7</c:v>
                </c:pt>
                <c:pt idx="132">
                  <c:v>7</c:v>
                </c:pt>
                <c:pt idx="133">
                  <c:v>7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8</c:v>
                </c:pt>
                <c:pt idx="138">
                  <c:v>8</c:v>
                </c:pt>
                <c:pt idx="139">
                  <c:v>8</c:v>
                </c:pt>
                <c:pt idx="140">
                  <c:v>9</c:v>
                </c:pt>
                <c:pt idx="141">
                  <c:v>9</c:v>
                </c:pt>
                <c:pt idx="142">
                  <c:v>9</c:v>
                </c:pt>
                <c:pt idx="143">
                  <c:v>9</c:v>
                </c:pt>
                <c:pt idx="144">
                  <c:v>9</c:v>
                </c:pt>
                <c:pt idx="145">
                  <c:v>10</c:v>
                </c:pt>
                <c:pt idx="146">
                  <c:v>10</c:v>
                </c:pt>
                <c:pt idx="147">
                  <c:v>10</c:v>
                </c:pt>
                <c:pt idx="148">
                  <c:v>10</c:v>
                </c:pt>
                <c:pt idx="149">
                  <c:v>10</c:v>
                </c:pt>
                <c:pt idx="150">
                  <c:v>10</c:v>
                </c:pt>
                <c:pt idx="151">
                  <c:v>10</c:v>
                </c:pt>
                <c:pt idx="152">
                  <c:v>10</c:v>
                </c:pt>
                <c:pt idx="153">
                  <c:v>10</c:v>
                </c:pt>
                <c:pt idx="154">
                  <c:v>10</c:v>
                </c:pt>
                <c:pt idx="155">
                  <c:v>11</c:v>
                </c:pt>
                <c:pt idx="156">
                  <c:v>12</c:v>
                </c:pt>
                <c:pt idx="157">
                  <c:v>12</c:v>
                </c:pt>
                <c:pt idx="158">
                  <c:v>13</c:v>
                </c:pt>
                <c:pt idx="159">
                  <c:v>13</c:v>
                </c:pt>
                <c:pt idx="160">
                  <c:v>13</c:v>
                </c:pt>
                <c:pt idx="161">
                  <c:v>13</c:v>
                </c:pt>
                <c:pt idx="162" formatCode="0">
                  <c:v>14</c:v>
                </c:pt>
                <c:pt idx="163">
                  <c:v>14</c:v>
                </c:pt>
                <c:pt idx="164">
                  <c:v>15</c:v>
                </c:pt>
                <c:pt idx="165">
                  <c:v>16</c:v>
                </c:pt>
                <c:pt idx="166">
                  <c:v>16</c:v>
                </c:pt>
                <c:pt idx="167">
                  <c:v>16</c:v>
                </c:pt>
                <c:pt idx="168">
                  <c:v>16</c:v>
                </c:pt>
                <c:pt idx="169">
                  <c:v>16</c:v>
                </c:pt>
                <c:pt idx="170">
                  <c:v>16</c:v>
                </c:pt>
                <c:pt idx="171">
                  <c:v>16</c:v>
                </c:pt>
                <c:pt idx="172">
                  <c:v>16</c:v>
                </c:pt>
                <c:pt idx="173">
                  <c:v>16</c:v>
                </c:pt>
                <c:pt idx="174">
                  <c:v>16</c:v>
                </c:pt>
                <c:pt idx="175">
                  <c:v>17</c:v>
                </c:pt>
                <c:pt idx="176">
                  <c:v>17</c:v>
                </c:pt>
                <c:pt idx="177">
                  <c:v>17</c:v>
                </c:pt>
                <c:pt idx="178">
                  <c:v>17</c:v>
                </c:pt>
                <c:pt idx="179">
                  <c:v>17</c:v>
                </c:pt>
                <c:pt idx="180">
                  <c:v>17</c:v>
                </c:pt>
                <c:pt idx="181">
                  <c:v>17</c:v>
                </c:pt>
                <c:pt idx="182">
                  <c:v>18</c:v>
                </c:pt>
                <c:pt idx="183">
                  <c:v>19</c:v>
                </c:pt>
                <c:pt idx="184">
                  <c:v>19</c:v>
                </c:pt>
                <c:pt idx="185">
                  <c:v>20</c:v>
                </c:pt>
                <c:pt idx="186">
                  <c:v>20</c:v>
                </c:pt>
                <c:pt idx="187">
                  <c:v>20</c:v>
                </c:pt>
                <c:pt idx="188">
                  <c:v>20</c:v>
                </c:pt>
                <c:pt idx="189">
                  <c:v>20</c:v>
                </c:pt>
                <c:pt idx="190">
                  <c:v>20</c:v>
                </c:pt>
                <c:pt idx="191">
                  <c:v>20</c:v>
                </c:pt>
                <c:pt idx="192">
                  <c:v>20</c:v>
                </c:pt>
                <c:pt idx="193">
                  <c:v>20</c:v>
                </c:pt>
                <c:pt idx="194">
                  <c:v>20</c:v>
                </c:pt>
                <c:pt idx="195">
                  <c:v>21</c:v>
                </c:pt>
                <c:pt idx="196">
                  <c:v>21</c:v>
                </c:pt>
                <c:pt idx="197">
                  <c:v>21</c:v>
                </c:pt>
                <c:pt idx="198">
                  <c:v>21</c:v>
                </c:pt>
                <c:pt idx="199">
                  <c:v>21</c:v>
                </c:pt>
                <c:pt idx="200">
                  <c:v>21</c:v>
                </c:pt>
                <c:pt idx="201">
                  <c:v>21</c:v>
                </c:pt>
                <c:pt idx="202">
                  <c:v>21</c:v>
                </c:pt>
                <c:pt idx="203">
                  <c:v>21</c:v>
                </c:pt>
                <c:pt idx="204">
                  <c:v>21</c:v>
                </c:pt>
                <c:pt idx="205">
                  <c:v>21</c:v>
                </c:pt>
                <c:pt idx="206">
                  <c:v>21</c:v>
                </c:pt>
                <c:pt idx="207">
                  <c:v>22</c:v>
                </c:pt>
                <c:pt idx="208">
                  <c:v>22</c:v>
                </c:pt>
                <c:pt idx="209">
                  <c:v>23</c:v>
                </c:pt>
                <c:pt idx="210">
                  <c:v>23</c:v>
                </c:pt>
                <c:pt idx="211">
                  <c:v>23</c:v>
                </c:pt>
                <c:pt idx="212">
                  <c:v>23</c:v>
                </c:pt>
                <c:pt idx="213">
                  <c:v>23</c:v>
                </c:pt>
                <c:pt idx="214">
                  <c:v>23</c:v>
                </c:pt>
                <c:pt idx="215">
                  <c:v>23</c:v>
                </c:pt>
                <c:pt idx="216">
                  <c:v>23</c:v>
                </c:pt>
                <c:pt idx="217">
                  <c:v>23</c:v>
                </c:pt>
                <c:pt idx="218">
                  <c:v>23</c:v>
                </c:pt>
                <c:pt idx="219">
                  <c:v>23</c:v>
                </c:pt>
                <c:pt idx="220">
                  <c:v>23</c:v>
                </c:pt>
                <c:pt idx="221">
                  <c:v>23</c:v>
                </c:pt>
                <c:pt idx="222">
                  <c:v>23</c:v>
                </c:pt>
                <c:pt idx="223">
                  <c:v>23</c:v>
                </c:pt>
                <c:pt idx="224">
                  <c:v>23</c:v>
                </c:pt>
                <c:pt idx="225">
                  <c:v>23</c:v>
                </c:pt>
                <c:pt idx="226">
                  <c:v>23</c:v>
                </c:pt>
                <c:pt idx="227">
                  <c:v>23</c:v>
                </c:pt>
                <c:pt idx="228">
                  <c:v>23</c:v>
                </c:pt>
                <c:pt idx="229">
                  <c:v>23</c:v>
                </c:pt>
                <c:pt idx="230">
                  <c:v>24</c:v>
                </c:pt>
                <c:pt idx="231">
                  <c:v>25</c:v>
                </c:pt>
                <c:pt idx="232">
                  <c:v>25</c:v>
                </c:pt>
                <c:pt idx="233">
                  <c:v>26</c:v>
                </c:pt>
                <c:pt idx="234">
                  <c:v>26</c:v>
                </c:pt>
                <c:pt idx="235">
                  <c:v>26</c:v>
                </c:pt>
                <c:pt idx="236">
                  <c:v>26</c:v>
                </c:pt>
                <c:pt idx="237">
                  <c:v>26</c:v>
                </c:pt>
                <c:pt idx="238">
                  <c:v>26</c:v>
                </c:pt>
                <c:pt idx="239">
                  <c:v>26</c:v>
                </c:pt>
                <c:pt idx="240">
                  <c:v>26</c:v>
                </c:pt>
                <c:pt idx="241">
                  <c:v>26</c:v>
                </c:pt>
                <c:pt idx="242">
                  <c:v>26</c:v>
                </c:pt>
                <c:pt idx="243">
                  <c:v>27</c:v>
                </c:pt>
                <c:pt idx="244">
                  <c:v>27</c:v>
                </c:pt>
                <c:pt idx="245">
                  <c:v>27</c:v>
                </c:pt>
                <c:pt idx="246">
                  <c:v>27</c:v>
                </c:pt>
                <c:pt idx="247">
                  <c:v>27</c:v>
                </c:pt>
                <c:pt idx="248">
                  <c:v>27</c:v>
                </c:pt>
                <c:pt idx="249">
                  <c:v>27</c:v>
                </c:pt>
                <c:pt idx="250">
                  <c:v>27</c:v>
                </c:pt>
                <c:pt idx="251">
                  <c:v>27</c:v>
                </c:pt>
                <c:pt idx="252">
                  <c:v>27</c:v>
                </c:pt>
                <c:pt idx="253">
                  <c:v>27</c:v>
                </c:pt>
                <c:pt idx="254">
                  <c:v>27</c:v>
                </c:pt>
                <c:pt idx="255">
                  <c:v>27</c:v>
                </c:pt>
                <c:pt idx="256">
                  <c:v>27</c:v>
                </c:pt>
                <c:pt idx="257">
                  <c:v>27</c:v>
                </c:pt>
                <c:pt idx="258">
                  <c:v>27</c:v>
                </c:pt>
                <c:pt idx="259">
                  <c:v>27</c:v>
                </c:pt>
                <c:pt idx="260">
                  <c:v>27</c:v>
                </c:pt>
                <c:pt idx="261">
                  <c:v>27</c:v>
                </c:pt>
                <c:pt idx="262">
                  <c:v>27</c:v>
                </c:pt>
                <c:pt idx="263">
                  <c:v>27</c:v>
                </c:pt>
                <c:pt idx="264">
                  <c:v>27</c:v>
                </c:pt>
                <c:pt idx="265">
                  <c:v>27</c:v>
                </c:pt>
                <c:pt idx="266">
                  <c:v>27</c:v>
                </c:pt>
                <c:pt idx="267">
                  <c:v>27</c:v>
                </c:pt>
                <c:pt idx="268">
                  <c:v>27</c:v>
                </c:pt>
                <c:pt idx="269">
                  <c:v>27</c:v>
                </c:pt>
                <c:pt idx="270">
                  <c:v>27</c:v>
                </c:pt>
                <c:pt idx="271">
                  <c:v>27</c:v>
                </c:pt>
                <c:pt idx="272">
                  <c:v>27</c:v>
                </c:pt>
                <c:pt idx="273">
                  <c:v>27</c:v>
                </c:pt>
                <c:pt idx="274">
                  <c:v>27</c:v>
                </c:pt>
                <c:pt idx="275">
                  <c:v>27</c:v>
                </c:pt>
                <c:pt idx="276">
                  <c:v>27</c:v>
                </c:pt>
                <c:pt idx="277">
                  <c:v>27</c:v>
                </c:pt>
                <c:pt idx="278">
                  <c:v>27</c:v>
                </c:pt>
                <c:pt idx="279">
                  <c:v>27</c:v>
                </c:pt>
                <c:pt idx="280">
                  <c:v>27</c:v>
                </c:pt>
                <c:pt idx="281">
                  <c:v>27</c:v>
                </c:pt>
                <c:pt idx="282">
                  <c:v>27</c:v>
                </c:pt>
                <c:pt idx="283">
                  <c:v>27</c:v>
                </c:pt>
                <c:pt idx="284">
                  <c:v>27</c:v>
                </c:pt>
                <c:pt idx="285">
                  <c:v>27</c:v>
                </c:pt>
                <c:pt idx="286">
                  <c:v>27</c:v>
                </c:pt>
                <c:pt idx="287">
                  <c:v>27</c:v>
                </c:pt>
                <c:pt idx="288">
                  <c:v>27</c:v>
                </c:pt>
                <c:pt idx="289">
                  <c:v>27</c:v>
                </c:pt>
                <c:pt idx="290">
                  <c:v>27</c:v>
                </c:pt>
                <c:pt idx="291">
                  <c:v>27</c:v>
                </c:pt>
                <c:pt idx="292">
                  <c:v>27</c:v>
                </c:pt>
                <c:pt idx="293">
                  <c:v>27</c:v>
                </c:pt>
                <c:pt idx="294">
                  <c:v>27</c:v>
                </c:pt>
                <c:pt idx="295">
                  <c:v>27</c:v>
                </c:pt>
                <c:pt idx="296">
                  <c:v>27</c:v>
                </c:pt>
                <c:pt idx="297">
                  <c:v>27</c:v>
                </c:pt>
                <c:pt idx="298">
                  <c:v>27</c:v>
                </c:pt>
                <c:pt idx="299">
                  <c:v>27</c:v>
                </c:pt>
                <c:pt idx="300">
                  <c:v>27</c:v>
                </c:pt>
                <c:pt idx="301">
                  <c:v>27</c:v>
                </c:pt>
                <c:pt idx="302">
                  <c:v>27</c:v>
                </c:pt>
                <c:pt idx="303">
                  <c:v>27</c:v>
                </c:pt>
                <c:pt idx="304">
                  <c:v>27</c:v>
                </c:pt>
                <c:pt idx="305">
                  <c:v>27</c:v>
                </c:pt>
                <c:pt idx="306">
                  <c:v>27</c:v>
                </c:pt>
                <c:pt idx="307">
                  <c:v>27</c:v>
                </c:pt>
                <c:pt idx="308">
                  <c:v>27</c:v>
                </c:pt>
                <c:pt idx="309">
                  <c:v>27</c:v>
                </c:pt>
                <c:pt idx="310">
                  <c:v>27</c:v>
                </c:pt>
                <c:pt idx="311">
                  <c:v>27</c:v>
                </c:pt>
                <c:pt idx="312">
                  <c:v>28</c:v>
                </c:pt>
                <c:pt idx="313">
                  <c:v>28</c:v>
                </c:pt>
                <c:pt idx="314">
                  <c:v>28</c:v>
                </c:pt>
                <c:pt idx="315">
                  <c:v>28</c:v>
                </c:pt>
                <c:pt idx="316">
                  <c:v>28</c:v>
                </c:pt>
                <c:pt idx="317">
                  <c:v>28</c:v>
                </c:pt>
                <c:pt idx="318">
                  <c:v>28</c:v>
                </c:pt>
                <c:pt idx="319">
                  <c:v>28</c:v>
                </c:pt>
                <c:pt idx="320">
                  <c:v>28</c:v>
                </c:pt>
                <c:pt idx="321">
                  <c:v>28</c:v>
                </c:pt>
                <c:pt idx="322">
                  <c:v>28</c:v>
                </c:pt>
                <c:pt idx="323">
                  <c:v>28</c:v>
                </c:pt>
                <c:pt idx="324">
                  <c:v>28</c:v>
                </c:pt>
                <c:pt idx="325">
                  <c:v>28</c:v>
                </c:pt>
                <c:pt idx="326">
                  <c:v>28</c:v>
                </c:pt>
                <c:pt idx="327">
                  <c:v>28</c:v>
                </c:pt>
                <c:pt idx="328">
                  <c:v>28</c:v>
                </c:pt>
                <c:pt idx="329">
                  <c:v>28</c:v>
                </c:pt>
                <c:pt idx="330">
                  <c:v>28</c:v>
                </c:pt>
                <c:pt idx="331">
                  <c:v>28</c:v>
                </c:pt>
                <c:pt idx="332">
                  <c:v>28</c:v>
                </c:pt>
                <c:pt idx="333">
                  <c:v>28</c:v>
                </c:pt>
                <c:pt idx="334">
                  <c:v>28</c:v>
                </c:pt>
                <c:pt idx="335">
                  <c:v>28</c:v>
                </c:pt>
                <c:pt idx="336">
                  <c:v>28</c:v>
                </c:pt>
                <c:pt idx="337">
                  <c:v>28</c:v>
                </c:pt>
                <c:pt idx="338">
                  <c:v>28</c:v>
                </c:pt>
                <c:pt idx="339">
                  <c:v>28</c:v>
                </c:pt>
                <c:pt idx="340">
                  <c:v>28</c:v>
                </c:pt>
                <c:pt idx="341">
                  <c:v>28</c:v>
                </c:pt>
                <c:pt idx="342">
                  <c:v>28</c:v>
                </c:pt>
                <c:pt idx="343">
                  <c:v>28</c:v>
                </c:pt>
                <c:pt idx="344">
                  <c:v>28</c:v>
                </c:pt>
                <c:pt idx="345">
                  <c:v>28</c:v>
                </c:pt>
                <c:pt idx="346">
                  <c:v>28</c:v>
                </c:pt>
                <c:pt idx="347">
                  <c:v>28</c:v>
                </c:pt>
                <c:pt idx="348">
                  <c:v>28</c:v>
                </c:pt>
                <c:pt idx="349">
                  <c:v>28</c:v>
                </c:pt>
                <c:pt idx="350">
                  <c:v>28</c:v>
                </c:pt>
                <c:pt idx="351">
                  <c:v>28</c:v>
                </c:pt>
                <c:pt idx="352">
                  <c:v>28</c:v>
                </c:pt>
                <c:pt idx="353">
                  <c:v>28</c:v>
                </c:pt>
                <c:pt idx="354">
                  <c:v>28</c:v>
                </c:pt>
                <c:pt idx="355">
                  <c:v>28</c:v>
                </c:pt>
                <c:pt idx="356">
                  <c:v>28</c:v>
                </c:pt>
                <c:pt idx="357">
                  <c:v>28</c:v>
                </c:pt>
                <c:pt idx="358">
                  <c:v>28</c:v>
                </c:pt>
                <c:pt idx="359">
                  <c:v>28</c:v>
                </c:pt>
                <c:pt idx="360">
                  <c:v>28</c:v>
                </c:pt>
                <c:pt idx="361">
                  <c:v>28</c:v>
                </c:pt>
                <c:pt idx="362">
                  <c:v>28</c:v>
                </c:pt>
                <c:pt idx="363">
                  <c:v>28</c:v>
                </c:pt>
                <c:pt idx="364">
                  <c:v>28</c:v>
                </c:pt>
                <c:pt idx="365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BE-9041-9B32-DA116BC247BB}"/>
            </c:ext>
          </c:extLst>
        </c:ser>
        <c:ser>
          <c:idx val="3"/>
          <c:order val="3"/>
          <c:tx>
            <c:strRef>
              <c:f>List1!$G$4</c:f>
              <c:strCache>
                <c:ptCount val="1"/>
                <c:pt idx="0">
                  <c:v>2001</c:v>
                </c:pt>
              </c:strCache>
            </c:strRef>
          </c:tx>
          <c:spPr>
            <a:ln w="28800" cap="rnd">
              <a:solidFill>
                <a:srgbClr val="000000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List1!$G$5:$G$370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2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5</c:v>
                </c:pt>
                <c:pt idx="152">
                  <c:v>5</c:v>
                </c:pt>
                <c:pt idx="153">
                  <c:v>5</c:v>
                </c:pt>
                <c:pt idx="154">
                  <c:v>5</c:v>
                </c:pt>
                <c:pt idx="155">
                  <c:v>5</c:v>
                </c:pt>
                <c:pt idx="156">
                  <c:v>5</c:v>
                </c:pt>
                <c:pt idx="157">
                  <c:v>5</c:v>
                </c:pt>
                <c:pt idx="158">
                  <c:v>5</c:v>
                </c:pt>
                <c:pt idx="159">
                  <c:v>5</c:v>
                </c:pt>
                <c:pt idx="160">
                  <c:v>5</c:v>
                </c:pt>
                <c:pt idx="161">
                  <c:v>5</c:v>
                </c:pt>
                <c:pt idx="162">
                  <c:v>5</c:v>
                </c:pt>
                <c:pt idx="163">
                  <c:v>5</c:v>
                </c:pt>
                <c:pt idx="164">
                  <c:v>5</c:v>
                </c:pt>
                <c:pt idx="165">
                  <c:v>6</c:v>
                </c:pt>
                <c:pt idx="166">
                  <c:v>6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9</c:v>
                </c:pt>
                <c:pt idx="173">
                  <c:v>9</c:v>
                </c:pt>
                <c:pt idx="174">
                  <c:v>9</c:v>
                </c:pt>
                <c:pt idx="175">
                  <c:v>9</c:v>
                </c:pt>
                <c:pt idx="176">
                  <c:v>9</c:v>
                </c:pt>
                <c:pt idx="177">
                  <c:v>9</c:v>
                </c:pt>
                <c:pt idx="178">
                  <c:v>9</c:v>
                </c:pt>
                <c:pt idx="179">
                  <c:v>9</c:v>
                </c:pt>
                <c:pt idx="180">
                  <c:v>9</c:v>
                </c:pt>
                <c:pt idx="181">
                  <c:v>10</c:v>
                </c:pt>
                <c:pt idx="182">
                  <c:v>10</c:v>
                </c:pt>
                <c:pt idx="183">
                  <c:v>10</c:v>
                </c:pt>
                <c:pt idx="184">
                  <c:v>10</c:v>
                </c:pt>
                <c:pt idx="185">
                  <c:v>10</c:v>
                </c:pt>
                <c:pt idx="186">
                  <c:v>10</c:v>
                </c:pt>
                <c:pt idx="187">
                  <c:v>10</c:v>
                </c:pt>
                <c:pt idx="188">
                  <c:v>11</c:v>
                </c:pt>
                <c:pt idx="189">
                  <c:v>12</c:v>
                </c:pt>
                <c:pt idx="190">
                  <c:v>12</c:v>
                </c:pt>
                <c:pt idx="191">
                  <c:v>12</c:v>
                </c:pt>
                <c:pt idx="192">
                  <c:v>12</c:v>
                </c:pt>
                <c:pt idx="193">
                  <c:v>12</c:v>
                </c:pt>
                <c:pt idx="194">
                  <c:v>12</c:v>
                </c:pt>
                <c:pt idx="195">
                  <c:v>12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14</c:v>
                </c:pt>
                <c:pt idx="211">
                  <c:v>14</c:v>
                </c:pt>
                <c:pt idx="212">
                  <c:v>14</c:v>
                </c:pt>
                <c:pt idx="213">
                  <c:v>14</c:v>
                </c:pt>
                <c:pt idx="214">
                  <c:v>14</c:v>
                </c:pt>
                <c:pt idx="215">
                  <c:v>14</c:v>
                </c:pt>
                <c:pt idx="216">
                  <c:v>14</c:v>
                </c:pt>
                <c:pt idx="217">
                  <c:v>14</c:v>
                </c:pt>
                <c:pt idx="218">
                  <c:v>14</c:v>
                </c:pt>
                <c:pt idx="219">
                  <c:v>14</c:v>
                </c:pt>
                <c:pt idx="220">
                  <c:v>14</c:v>
                </c:pt>
                <c:pt idx="221">
                  <c:v>14</c:v>
                </c:pt>
                <c:pt idx="222">
                  <c:v>14</c:v>
                </c:pt>
                <c:pt idx="223">
                  <c:v>14</c:v>
                </c:pt>
                <c:pt idx="224">
                  <c:v>14</c:v>
                </c:pt>
                <c:pt idx="225">
                  <c:v>14</c:v>
                </c:pt>
                <c:pt idx="226">
                  <c:v>14</c:v>
                </c:pt>
                <c:pt idx="227">
                  <c:v>14</c:v>
                </c:pt>
                <c:pt idx="228">
                  <c:v>15</c:v>
                </c:pt>
                <c:pt idx="229">
                  <c:v>16</c:v>
                </c:pt>
                <c:pt idx="230">
                  <c:v>16</c:v>
                </c:pt>
                <c:pt idx="231">
                  <c:v>17</c:v>
                </c:pt>
                <c:pt idx="232">
                  <c:v>18</c:v>
                </c:pt>
                <c:pt idx="233">
                  <c:v>18</c:v>
                </c:pt>
                <c:pt idx="234">
                  <c:v>18</c:v>
                </c:pt>
                <c:pt idx="235">
                  <c:v>19</c:v>
                </c:pt>
                <c:pt idx="236">
                  <c:v>19</c:v>
                </c:pt>
                <c:pt idx="237">
                  <c:v>20</c:v>
                </c:pt>
                <c:pt idx="238">
                  <c:v>21</c:v>
                </c:pt>
                <c:pt idx="239">
                  <c:v>22</c:v>
                </c:pt>
                <c:pt idx="240">
                  <c:v>22</c:v>
                </c:pt>
                <c:pt idx="241">
                  <c:v>22</c:v>
                </c:pt>
                <c:pt idx="242">
                  <c:v>22</c:v>
                </c:pt>
                <c:pt idx="243">
                  <c:v>22</c:v>
                </c:pt>
                <c:pt idx="244">
                  <c:v>22</c:v>
                </c:pt>
                <c:pt idx="245">
                  <c:v>22</c:v>
                </c:pt>
                <c:pt idx="246">
                  <c:v>22</c:v>
                </c:pt>
                <c:pt idx="247">
                  <c:v>22</c:v>
                </c:pt>
                <c:pt idx="248">
                  <c:v>22</c:v>
                </c:pt>
                <c:pt idx="249">
                  <c:v>22</c:v>
                </c:pt>
                <c:pt idx="250">
                  <c:v>22</c:v>
                </c:pt>
                <c:pt idx="251">
                  <c:v>22</c:v>
                </c:pt>
                <c:pt idx="252">
                  <c:v>22</c:v>
                </c:pt>
                <c:pt idx="253">
                  <c:v>22</c:v>
                </c:pt>
                <c:pt idx="254">
                  <c:v>22</c:v>
                </c:pt>
                <c:pt idx="255">
                  <c:v>22</c:v>
                </c:pt>
                <c:pt idx="256">
                  <c:v>22</c:v>
                </c:pt>
                <c:pt idx="257">
                  <c:v>22</c:v>
                </c:pt>
                <c:pt idx="258">
                  <c:v>22</c:v>
                </c:pt>
                <c:pt idx="259">
                  <c:v>22</c:v>
                </c:pt>
                <c:pt idx="260">
                  <c:v>22</c:v>
                </c:pt>
                <c:pt idx="261">
                  <c:v>22</c:v>
                </c:pt>
                <c:pt idx="262">
                  <c:v>22</c:v>
                </c:pt>
                <c:pt idx="263">
                  <c:v>22</c:v>
                </c:pt>
                <c:pt idx="264">
                  <c:v>22</c:v>
                </c:pt>
                <c:pt idx="265">
                  <c:v>22</c:v>
                </c:pt>
                <c:pt idx="266">
                  <c:v>22</c:v>
                </c:pt>
                <c:pt idx="267">
                  <c:v>22</c:v>
                </c:pt>
                <c:pt idx="268">
                  <c:v>22</c:v>
                </c:pt>
                <c:pt idx="269">
                  <c:v>22</c:v>
                </c:pt>
                <c:pt idx="270">
                  <c:v>22</c:v>
                </c:pt>
                <c:pt idx="271">
                  <c:v>22</c:v>
                </c:pt>
                <c:pt idx="272">
                  <c:v>22</c:v>
                </c:pt>
                <c:pt idx="273">
                  <c:v>22</c:v>
                </c:pt>
                <c:pt idx="274">
                  <c:v>22</c:v>
                </c:pt>
                <c:pt idx="275">
                  <c:v>22</c:v>
                </c:pt>
                <c:pt idx="276">
                  <c:v>22</c:v>
                </c:pt>
                <c:pt idx="277">
                  <c:v>22</c:v>
                </c:pt>
                <c:pt idx="278">
                  <c:v>22</c:v>
                </c:pt>
                <c:pt idx="279">
                  <c:v>22</c:v>
                </c:pt>
                <c:pt idx="280">
                  <c:v>22</c:v>
                </c:pt>
                <c:pt idx="281">
                  <c:v>22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22</c:v>
                </c:pt>
                <c:pt idx="288">
                  <c:v>22</c:v>
                </c:pt>
                <c:pt idx="289">
                  <c:v>22</c:v>
                </c:pt>
                <c:pt idx="290">
                  <c:v>22</c:v>
                </c:pt>
                <c:pt idx="291">
                  <c:v>22</c:v>
                </c:pt>
                <c:pt idx="292">
                  <c:v>22</c:v>
                </c:pt>
                <c:pt idx="293">
                  <c:v>22</c:v>
                </c:pt>
                <c:pt idx="294">
                  <c:v>22</c:v>
                </c:pt>
                <c:pt idx="295">
                  <c:v>22</c:v>
                </c:pt>
                <c:pt idx="296">
                  <c:v>22</c:v>
                </c:pt>
                <c:pt idx="297">
                  <c:v>22</c:v>
                </c:pt>
                <c:pt idx="298">
                  <c:v>22</c:v>
                </c:pt>
                <c:pt idx="299">
                  <c:v>22</c:v>
                </c:pt>
                <c:pt idx="300">
                  <c:v>22</c:v>
                </c:pt>
                <c:pt idx="301">
                  <c:v>22</c:v>
                </c:pt>
                <c:pt idx="302">
                  <c:v>22</c:v>
                </c:pt>
                <c:pt idx="303">
                  <c:v>22</c:v>
                </c:pt>
                <c:pt idx="304">
                  <c:v>22</c:v>
                </c:pt>
                <c:pt idx="305">
                  <c:v>22</c:v>
                </c:pt>
                <c:pt idx="306">
                  <c:v>22</c:v>
                </c:pt>
                <c:pt idx="307">
                  <c:v>22</c:v>
                </c:pt>
                <c:pt idx="308">
                  <c:v>22</c:v>
                </c:pt>
                <c:pt idx="309">
                  <c:v>22</c:v>
                </c:pt>
                <c:pt idx="310">
                  <c:v>22</c:v>
                </c:pt>
                <c:pt idx="311">
                  <c:v>22</c:v>
                </c:pt>
                <c:pt idx="312">
                  <c:v>22</c:v>
                </c:pt>
                <c:pt idx="313">
                  <c:v>22</c:v>
                </c:pt>
                <c:pt idx="314">
                  <c:v>22</c:v>
                </c:pt>
                <c:pt idx="315">
                  <c:v>22</c:v>
                </c:pt>
                <c:pt idx="316">
                  <c:v>22</c:v>
                </c:pt>
                <c:pt idx="317">
                  <c:v>22</c:v>
                </c:pt>
                <c:pt idx="318">
                  <c:v>22</c:v>
                </c:pt>
                <c:pt idx="319">
                  <c:v>22</c:v>
                </c:pt>
                <c:pt idx="320">
                  <c:v>22</c:v>
                </c:pt>
                <c:pt idx="321">
                  <c:v>22</c:v>
                </c:pt>
                <c:pt idx="322">
                  <c:v>22</c:v>
                </c:pt>
                <c:pt idx="323">
                  <c:v>22</c:v>
                </c:pt>
                <c:pt idx="324">
                  <c:v>22</c:v>
                </c:pt>
                <c:pt idx="325">
                  <c:v>22</c:v>
                </c:pt>
                <c:pt idx="326">
                  <c:v>22</c:v>
                </c:pt>
                <c:pt idx="327">
                  <c:v>22</c:v>
                </c:pt>
                <c:pt idx="328">
                  <c:v>22</c:v>
                </c:pt>
                <c:pt idx="329">
                  <c:v>22</c:v>
                </c:pt>
                <c:pt idx="330">
                  <c:v>22</c:v>
                </c:pt>
                <c:pt idx="331">
                  <c:v>22</c:v>
                </c:pt>
                <c:pt idx="332">
                  <c:v>22</c:v>
                </c:pt>
                <c:pt idx="333">
                  <c:v>22</c:v>
                </c:pt>
                <c:pt idx="334">
                  <c:v>22</c:v>
                </c:pt>
                <c:pt idx="335">
                  <c:v>22</c:v>
                </c:pt>
                <c:pt idx="336">
                  <c:v>22</c:v>
                </c:pt>
                <c:pt idx="337">
                  <c:v>22</c:v>
                </c:pt>
                <c:pt idx="338">
                  <c:v>22</c:v>
                </c:pt>
                <c:pt idx="339">
                  <c:v>22</c:v>
                </c:pt>
                <c:pt idx="340">
                  <c:v>22</c:v>
                </c:pt>
                <c:pt idx="341">
                  <c:v>22</c:v>
                </c:pt>
                <c:pt idx="342">
                  <c:v>22</c:v>
                </c:pt>
                <c:pt idx="343">
                  <c:v>22</c:v>
                </c:pt>
                <c:pt idx="344">
                  <c:v>22</c:v>
                </c:pt>
                <c:pt idx="345">
                  <c:v>22</c:v>
                </c:pt>
                <c:pt idx="346">
                  <c:v>22</c:v>
                </c:pt>
                <c:pt idx="347">
                  <c:v>22</c:v>
                </c:pt>
                <c:pt idx="348">
                  <c:v>22</c:v>
                </c:pt>
                <c:pt idx="349">
                  <c:v>22</c:v>
                </c:pt>
                <c:pt idx="350">
                  <c:v>22</c:v>
                </c:pt>
                <c:pt idx="351">
                  <c:v>22</c:v>
                </c:pt>
                <c:pt idx="352">
                  <c:v>22</c:v>
                </c:pt>
                <c:pt idx="353">
                  <c:v>22</c:v>
                </c:pt>
                <c:pt idx="354">
                  <c:v>22</c:v>
                </c:pt>
                <c:pt idx="355">
                  <c:v>22</c:v>
                </c:pt>
                <c:pt idx="356">
                  <c:v>22</c:v>
                </c:pt>
                <c:pt idx="357">
                  <c:v>22</c:v>
                </c:pt>
                <c:pt idx="358">
                  <c:v>22</c:v>
                </c:pt>
                <c:pt idx="359">
                  <c:v>22</c:v>
                </c:pt>
                <c:pt idx="360">
                  <c:v>22</c:v>
                </c:pt>
                <c:pt idx="361">
                  <c:v>22</c:v>
                </c:pt>
                <c:pt idx="362">
                  <c:v>22</c:v>
                </c:pt>
                <c:pt idx="363">
                  <c:v>22</c:v>
                </c:pt>
                <c:pt idx="364">
                  <c:v>22</c:v>
                </c:pt>
                <c:pt idx="365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BE-9041-9B32-DA116BC247BB}"/>
            </c:ext>
          </c:extLst>
        </c:ser>
        <c:ser>
          <c:idx val="4"/>
          <c:order val="4"/>
          <c:tx>
            <c:strRef>
              <c:f>List1!$H$4</c:f>
              <c:strCache>
                <c:ptCount val="1"/>
                <c:pt idx="0">
                  <c:v>2002</c:v>
                </c:pt>
              </c:strCache>
            </c:strRef>
          </c:tx>
          <c:spPr>
            <a:ln w="28800">
              <a:solidFill>
                <a:srgbClr val="FFFF00">
                  <a:alpha val="5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List1!$H$5:$H$370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5</c:v>
                </c:pt>
                <c:pt idx="132">
                  <c:v>6</c:v>
                </c:pt>
                <c:pt idx="133">
                  <c:v>6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7</c:v>
                </c:pt>
                <c:pt idx="141">
                  <c:v>7</c:v>
                </c:pt>
                <c:pt idx="142">
                  <c:v>7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8</c:v>
                </c:pt>
                <c:pt idx="160">
                  <c:v>8</c:v>
                </c:pt>
                <c:pt idx="161">
                  <c:v>9</c:v>
                </c:pt>
                <c:pt idx="162">
                  <c:v>9</c:v>
                </c:pt>
                <c:pt idx="163">
                  <c:v>9</c:v>
                </c:pt>
                <c:pt idx="164">
                  <c:v>9</c:v>
                </c:pt>
                <c:pt idx="165">
                  <c:v>9</c:v>
                </c:pt>
                <c:pt idx="166">
                  <c:v>10</c:v>
                </c:pt>
                <c:pt idx="167">
                  <c:v>10</c:v>
                </c:pt>
                <c:pt idx="168">
                  <c:v>10</c:v>
                </c:pt>
                <c:pt idx="169">
                  <c:v>10</c:v>
                </c:pt>
                <c:pt idx="170">
                  <c:v>10</c:v>
                </c:pt>
                <c:pt idx="171">
                  <c:v>11</c:v>
                </c:pt>
                <c:pt idx="172">
                  <c:v>12</c:v>
                </c:pt>
                <c:pt idx="173">
                  <c:v>12</c:v>
                </c:pt>
                <c:pt idx="174">
                  <c:v>12</c:v>
                </c:pt>
                <c:pt idx="175">
                  <c:v>12</c:v>
                </c:pt>
                <c:pt idx="176">
                  <c:v>12</c:v>
                </c:pt>
                <c:pt idx="177">
                  <c:v>12</c:v>
                </c:pt>
                <c:pt idx="178">
                  <c:v>12</c:v>
                </c:pt>
                <c:pt idx="179">
                  <c:v>12</c:v>
                </c:pt>
                <c:pt idx="180">
                  <c:v>12</c:v>
                </c:pt>
                <c:pt idx="181">
                  <c:v>12</c:v>
                </c:pt>
                <c:pt idx="182">
                  <c:v>12</c:v>
                </c:pt>
                <c:pt idx="183">
                  <c:v>12</c:v>
                </c:pt>
                <c:pt idx="184">
                  <c:v>12</c:v>
                </c:pt>
                <c:pt idx="185">
                  <c:v>12</c:v>
                </c:pt>
                <c:pt idx="186">
                  <c:v>12</c:v>
                </c:pt>
                <c:pt idx="187">
                  <c:v>13</c:v>
                </c:pt>
                <c:pt idx="188">
                  <c:v>13</c:v>
                </c:pt>
                <c:pt idx="189">
                  <c:v>13</c:v>
                </c:pt>
                <c:pt idx="190">
                  <c:v>13</c:v>
                </c:pt>
                <c:pt idx="191">
                  <c:v>14</c:v>
                </c:pt>
                <c:pt idx="192">
                  <c:v>14</c:v>
                </c:pt>
                <c:pt idx="193">
                  <c:v>14</c:v>
                </c:pt>
                <c:pt idx="194">
                  <c:v>15</c:v>
                </c:pt>
                <c:pt idx="195">
                  <c:v>16</c:v>
                </c:pt>
                <c:pt idx="196">
                  <c:v>16</c:v>
                </c:pt>
                <c:pt idx="197">
                  <c:v>17</c:v>
                </c:pt>
                <c:pt idx="198">
                  <c:v>17</c:v>
                </c:pt>
                <c:pt idx="199">
                  <c:v>17</c:v>
                </c:pt>
                <c:pt idx="200">
                  <c:v>17</c:v>
                </c:pt>
                <c:pt idx="201">
                  <c:v>17</c:v>
                </c:pt>
                <c:pt idx="202">
                  <c:v>18</c:v>
                </c:pt>
                <c:pt idx="203">
                  <c:v>18</c:v>
                </c:pt>
                <c:pt idx="204">
                  <c:v>18</c:v>
                </c:pt>
                <c:pt idx="205">
                  <c:v>18</c:v>
                </c:pt>
                <c:pt idx="206">
                  <c:v>18</c:v>
                </c:pt>
                <c:pt idx="207">
                  <c:v>18</c:v>
                </c:pt>
                <c:pt idx="208">
                  <c:v>18</c:v>
                </c:pt>
                <c:pt idx="209">
                  <c:v>18</c:v>
                </c:pt>
                <c:pt idx="210">
                  <c:v>18</c:v>
                </c:pt>
                <c:pt idx="211">
                  <c:v>18</c:v>
                </c:pt>
                <c:pt idx="212">
                  <c:v>19</c:v>
                </c:pt>
                <c:pt idx="213">
                  <c:v>20</c:v>
                </c:pt>
                <c:pt idx="214">
                  <c:v>20</c:v>
                </c:pt>
                <c:pt idx="215">
                  <c:v>20</c:v>
                </c:pt>
                <c:pt idx="216">
                  <c:v>20</c:v>
                </c:pt>
                <c:pt idx="217">
                  <c:v>20</c:v>
                </c:pt>
                <c:pt idx="218">
                  <c:v>20</c:v>
                </c:pt>
                <c:pt idx="219">
                  <c:v>20</c:v>
                </c:pt>
                <c:pt idx="220">
                  <c:v>21</c:v>
                </c:pt>
                <c:pt idx="221">
                  <c:v>21</c:v>
                </c:pt>
                <c:pt idx="222">
                  <c:v>21</c:v>
                </c:pt>
                <c:pt idx="223">
                  <c:v>22</c:v>
                </c:pt>
                <c:pt idx="224">
                  <c:v>22</c:v>
                </c:pt>
                <c:pt idx="225">
                  <c:v>22</c:v>
                </c:pt>
                <c:pt idx="226">
                  <c:v>22</c:v>
                </c:pt>
                <c:pt idx="227">
                  <c:v>22</c:v>
                </c:pt>
                <c:pt idx="228">
                  <c:v>22</c:v>
                </c:pt>
                <c:pt idx="229">
                  <c:v>23</c:v>
                </c:pt>
                <c:pt idx="230">
                  <c:v>23</c:v>
                </c:pt>
                <c:pt idx="231">
                  <c:v>23</c:v>
                </c:pt>
                <c:pt idx="232">
                  <c:v>23</c:v>
                </c:pt>
                <c:pt idx="233">
                  <c:v>24</c:v>
                </c:pt>
                <c:pt idx="234">
                  <c:v>24</c:v>
                </c:pt>
                <c:pt idx="235">
                  <c:v>24</c:v>
                </c:pt>
                <c:pt idx="236">
                  <c:v>24</c:v>
                </c:pt>
                <c:pt idx="237">
                  <c:v>24</c:v>
                </c:pt>
                <c:pt idx="238">
                  <c:v>24</c:v>
                </c:pt>
                <c:pt idx="239">
                  <c:v>24</c:v>
                </c:pt>
                <c:pt idx="240">
                  <c:v>24</c:v>
                </c:pt>
                <c:pt idx="241">
                  <c:v>25</c:v>
                </c:pt>
                <c:pt idx="242">
                  <c:v>25</c:v>
                </c:pt>
                <c:pt idx="243">
                  <c:v>25</c:v>
                </c:pt>
                <c:pt idx="244">
                  <c:v>26</c:v>
                </c:pt>
                <c:pt idx="245">
                  <c:v>26</c:v>
                </c:pt>
                <c:pt idx="246">
                  <c:v>26</c:v>
                </c:pt>
                <c:pt idx="247">
                  <c:v>26</c:v>
                </c:pt>
                <c:pt idx="248">
                  <c:v>27</c:v>
                </c:pt>
                <c:pt idx="249">
                  <c:v>28</c:v>
                </c:pt>
                <c:pt idx="250">
                  <c:v>28</c:v>
                </c:pt>
                <c:pt idx="251">
                  <c:v>28</c:v>
                </c:pt>
                <c:pt idx="252">
                  <c:v>28</c:v>
                </c:pt>
                <c:pt idx="253">
                  <c:v>29</c:v>
                </c:pt>
                <c:pt idx="254">
                  <c:v>29</c:v>
                </c:pt>
                <c:pt idx="255">
                  <c:v>29</c:v>
                </c:pt>
                <c:pt idx="256">
                  <c:v>29</c:v>
                </c:pt>
                <c:pt idx="257">
                  <c:v>29</c:v>
                </c:pt>
                <c:pt idx="258">
                  <c:v>29</c:v>
                </c:pt>
                <c:pt idx="259">
                  <c:v>29</c:v>
                </c:pt>
                <c:pt idx="260">
                  <c:v>29</c:v>
                </c:pt>
                <c:pt idx="261">
                  <c:v>29</c:v>
                </c:pt>
                <c:pt idx="262">
                  <c:v>29</c:v>
                </c:pt>
                <c:pt idx="263">
                  <c:v>29</c:v>
                </c:pt>
                <c:pt idx="264">
                  <c:v>29</c:v>
                </c:pt>
                <c:pt idx="265">
                  <c:v>30</c:v>
                </c:pt>
                <c:pt idx="266">
                  <c:v>30</c:v>
                </c:pt>
                <c:pt idx="267">
                  <c:v>30</c:v>
                </c:pt>
                <c:pt idx="268">
                  <c:v>30</c:v>
                </c:pt>
                <c:pt idx="269">
                  <c:v>30</c:v>
                </c:pt>
                <c:pt idx="270">
                  <c:v>30</c:v>
                </c:pt>
                <c:pt idx="271">
                  <c:v>30</c:v>
                </c:pt>
                <c:pt idx="272">
                  <c:v>30</c:v>
                </c:pt>
                <c:pt idx="273">
                  <c:v>30</c:v>
                </c:pt>
                <c:pt idx="274">
                  <c:v>30</c:v>
                </c:pt>
                <c:pt idx="275">
                  <c:v>30</c:v>
                </c:pt>
                <c:pt idx="276">
                  <c:v>30</c:v>
                </c:pt>
                <c:pt idx="277">
                  <c:v>30</c:v>
                </c:pt>
                <c:pt idx="278">
                  <c:v>30</c:v>
                </c:pt>
                <c:pt idx="279">
                  <c:v>30</c:v>
                </c:pt>
                <c:pt idx="280">
                  <c:v>30</c:v>
                </c:pt>
                <c:pt idx="281">
                  <c:v>30</c:v>
                </c:pt>
                <c:pt idx="282">
                  <c:v>30</c:v>
                </c:pt>
                <c:pt idx="283">
                  <c:v>30</c:v>
                </c:pt>
                <c:pt idx="284">
                  <c:v>30</c:v>
                </c:pt>
                <c:pt idx="285">
                  <c:v>30</c:v>
                </c:pt>
                <c:pt idx="286">
                  <c:v>30</c:v>
                </c:pt>
                <c:pt idx="287">
                  <c:v>30</c:v>
                </c:pt>
                <c:pt idx="288">
                  <c:v>30</c:v>
                </c:pt>
                <c:pt idx="289">
                  <c:v>30</c:v>
                </c:pt>
                <c:pt idx="290">
                  <c:v>30</c:v>
                </c:pt>
                <c:pt idx="291">
                  <c:v>30</c:v>
                </c:pt>
                <c:pt idx="292">
                  <c:v>30</c:v>
                </c:pt>
                <c:pt idx="293">
                  <c:v>30</c:v>
                </c:pt>
                <c:pt idx="294">
                  <c:v>30</c:v>
                </c:pt>
                <c:pt idx="295">
                  <c:v>30</c:v>
                </c:pt>
                <c:pt idx="296">
                  <c:v>30</c:v>
                </c:pt>
                <c:pt idx="297">
                  <c:v>30</c:v>
                </c:pt>
                <c:pt idx="298">
                  <c:v>30</c:v>
                </c:pt>
                <c:pt idx="299">
                  <c:v>30</c:v>
                </c:pt>
                <c:pt idx="300">
                  <c:v>30</c:v>
                </c:pt>
                <c:pt idx="301">
                  <c:v>30</c:v>
                </c:pt>
                <c:pt idx="302">
                  <c:v>30</c:v>
                </c:pt>
                <c:pt idx="303">
                  <c:v>30</c:v>
                </c:pt>
                <c:pt idx="304">
                  <c:v>30</c:v>
                </c:pt>
                <c:pt idx="305">
                  <c:v>30</c:v>
                </c:pt>
                <c:pt idx="306">
                  <c:v>30</c:v>
                </c:pt>
                <c:pt idx="307">
                  <c:v>30</c:v>
                </c:pt>
                <c:pt idx="308">
                  <c:v>30</c:v>
                </c:pt>
                <c:pt idx="309">
                  <c:v>30</c:v>
                </c:pt>
                <c:pt idx="310">
                  <c:v>30</c:v>
                </c:pt>
                <c:pt idx="311">
                  <c:v>30</c:v>
                </c:pt>
                <c:pt idx="312">
                  <c:v>30</c:v>
                </c:pt>
                <c:pt idx="313">
                  <c:v>30</c:v>
                </c:pt>
                <c:pt idx="314">
                  <c:v>30</c:v>
                </c:pt>
                <c:pt idx="315">
                  <c:v>30</c:v>
                </c:pt>
                <c:pt idx="316">
                  <c:v>30</c:v>
                </c:pt>
                <c:pt idx="317">
                  <c:v>30</c:v>
                </c:pt>
                <c:pt idx="318">
                  <c:v>30</c:v>
                </c:pt>
                <c:pt idx="319">
                  <c:v>30</c:v>
                </c:pt>
                <c:pt idx="320">
                  <c:v>30</c:v>
                </c:pt>
                <c:pt idx="321">
                  <c:v>30</c:v>
                </c:pt>
                <c:pt idx="322">
                  <c:v>30</c:v>
                </c:pt>
                <c:pt idx="323">
                  <c:v>30</c:v>
                </c:pt>
                <c:pt idx="324">
                  <c:v>30</c:v>
                </c:pt>
                <c:pt idx="325">
                  <c:v>30</c:v>
                </c:pt>
                <c:pt idx="326">
                  <c:v>30</c:v>
                </c:pt>
                <c:pt idx="327">
                  <c:v>30</c:v>
                </c:pt>
                <c:pt idx="328">
                  <c:v>30</c:v>
                </c:pt>
                <c:pt idx="329">
                  <c:v>30</c:v>
                </c:pt>
                <c:pt idx="330">
                  <c:v>30</c:v>
                </c:pt>
                <c:pt idx="331">
                  <c:v>30</c:v>
                </c:pt>
                <c:pt idx="332">
                  <c:v>30</c:v>
                </c:pt>
                <c:pt idx="333">
                  <c:v>30</c:v>
                </c:pt>
                <c:pt idx="334">
                  <c:v>30</c:v>
                </c:pt>
                <c:pt idx="335">
                  <c:v>30</c:v>
                </c:pt>
                <c:pt idx="336">
                  <c:v>30</c:v>
                </c:pt>
                <c:pt idx="337">
                  <c:v>30</c:v>
                </c:pt>
                <c:pt idx="338">
                  <c:v>30</c:v>
                </c:pt>
                <c:pt idx="339">
                  <c:v>30</c:v>
                </c:pt>
                <c:pt idx="340">
                  <c:v>30</c:v>
                </c:pt>
                <c:pt idx="341">
                  <c:v>30</c:v>
                </c:pt>
                <c:pt idx="342">
                  <c:v>30</c:v>
                </c:pt>
                <c:pt idx="343">
                  <c:v>30</c:v>
                </c:pt>
                <c:pt idx="344">
                  <c:v>30</c:v>
                </c:pt>
                <c:pt idx="345">
                  <c:v>30</c:v>
                </c:pt>
                <c:pt idx="346">
                  <c:v>30</c:v>
                </c:pt>
                <c:pt idx="347">
                  <c:v>30</c:v>
                </c:pt>
                <c:pt idx="348">
                  <c:v>30</c:v>
                </c:pt>
                <c:pt idx="349">
                  <c:v>30</c:v>
                </c:pt>
                <c:pt idx="350">
                  <c:v>30</c:v>
                </c:pt>
                <c:pt idx="351">
                  <c:v>30</c:v>
                </c:pt>
                <c:pt idx="352">
                  <c:v>30</c:v>
                </c:pt>
                <c:pt idx="353">
                  <c:v>30</c:v>
                </c:pt>
                <c:pt idx="354">
                  <c:v>30</c:v>
                </c:pt>
                <c:pt idx="355">
                  <c:v>30</c:v>
                </c:pt>
                <c:pt idx="356">
                  <c:v>30</c:v>
                </c:pt>
                <c:pt idx="357">
                  <c:v>30</c:v>
                </c:pt>
                <c:pt idx="358">
                  <c:v>30</c:v>
                </c:pt>
                <c:pt idx="359">
                  <c:v>30</c:v>
                </c:pt>
                <c:pt idx="360">
                  <c:v>30</c:v>
                </c:pt>
                <c:pt idx="361">
                  <c:v>30</c:v>
                </c:pt>
                <c:pt idx="362">
                  <c:v>30</c:v>
                </c:pt>
                <c:pt idx="363">
                  <c:v>30</c:v>
                </c:pt>
                <c:pt idx="364">
                  <c:v>30</c:v>
                </c:pt>
                <c:pt idx="365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3BE-9041-9B32-DA116BC247BB}"/>
            </c:ext>
          </c:extLst>
        </c:ser>
        <c:ser>
          <c:idx val="5"/>
          <c:order val="5"/>
          <c:tx>
            <c:strRef>
              <c:f>List1!$I$4</c:f>
              <c:strCache>
                <c:ptCount val="1"/>
                <c:pt idx="0">
                  <c:v>2003</c:v>
                </c:pt>
              </c:strCache>
            </c:strRef>
          </c:tx>
          <c:spPr>
            <a:ln w="28800">
              <a:solidFill>
                <a:srgbClr val="FFBF00">
                  <a:alpha val="5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List1!$I$5:$I$370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2</c:v>
                </c:pt>
                <c:pt idx="129">
                  <c:v>3</c:v>
                </c:pt>
                <c:pt idx="130">
                  <c:v>3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5</c:v>
                </c:pt>
                <c:pt idx="136">
                  <c:v>5</c:v>
                </c:pt>
                <c:pt idx="137">
                  <c:v>5</c:v>
                </c:pt>
                <c:pt idx="138">
                  <c:v>5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6</c:v>
                </c:pt>
                <c:pt idx="145">
                  <c:v>6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9</c:v>
                </c:pt>
                <c:pt idx="157">
                  <c:v>9</c:v>
                </c:pt>
                <c:pt idx="158">
                  <c:v>9</c:v>
                </c:pt>
                <c:pt idx="159">
                  <c:v>10</c:v>
                </c:pt>
                <c:pt idx="160">
                  <c:v>10</c:v>
                </c:pt>
                <c:pt idx="161">
                  <c:v>10</c:v>
                </c:pt>
                <c:pt idx="162">
                  <c:v>10</c:v>
                </c:pt>
                <c:pt idx="163">
                  <c:v>11</c:v>
                </c:pt>
                <c:pt idx="164">
                  <c:v>12</c:v>
                </c:pt>
                <c:pt idx="165">
                  <c:v>12</c:v>
                </c:pt>
                <c:pt idx="166">
                  <c:v>12</c:v>
                </c:pt>
                <c:pt idx="167">
                  <c:v>12</c:v>
                </c:pt>
                <c:pt idx="168">
                  <c:v>12</c:v>
                </c:pt>
                <c:pt idx="169">
                  <c:v>13</c:v>
                </c:pt>
                <c:pt idx="170">
                  <c:v>13</c:v>
                </c:pt>
                <c:pt idx="171">
                  <c:v>13</c:v>
                </c:pt>
                <c:pt idx="172">
                  <c:v>13</c:v>
                </c:pt>
                <c:pt idx="173">
                  <c:v>13</c:v>
                </c:pt>
                <c:pt idx="174">
                  <c:v>14</c:v>
                </c:pt>
                <c:pt idx="175">
                  <c:v>14</c:v>
                </c:pt>
                <c:pt idx="176">
                  <c:v>14</c:v>
                </c:pt>
                <c:pt idx="177">
                  <c:v>14</c:v>
                </c:pt>
                <c:pt idx="178">
                  <c:v>14</c:v>
                </c:pt>
                <c:pt idx="179">
                  <c:v>14</c:v>
                </c:pt>
                <c:pt idx="180">
                  <c:v>14</c:v>
                </c:pt>
                <c:pt idx="181">
                  <c:v>15</c:v>
                </c:pt>
                <c:pt idx="182">
                  <c:v>16</c:v>
                </c:pt>
                <c:pt idx="183">
                  <c:v>16</c:v>
                </c:pt>
                <c:pt idx="184">
                  <c:v>16</c:v>
                </c:pt>
                <c:pt idx="185">
                  <c:v>17</c:v>
                </c:pt>
                <c:pt idx="186">
                  <c:v>17</c:v>
                </c:pt>
                <c:pt idx="187">
                  <c:v>17</c:v>
                </c:pt>
                <c:pt idx="188">
                  <c:v>17</c:v>
                </c:pt>
                <c:pt idx="189">
                  <c:v>17</c:v>
                </c:pt>
                <c:pt idx="190">
                  <c:v>17</c:v>
                </c:pt>
                <c:pt idx="191">
                  <c:v>17</c:v>
                </c:pt>
                <c:pt idx="192">
                  <c:v>17</c:v>
                </c:pt>
                <c:pt idx="193">
                  <c:v>17</c:v>
                </c:pt>
                <c:pt idx="194">
                  <c:v>17</c:v>
                </c:pt>
                <c:pt idx="195">
                  <c:v>17</c:v>
                </c:pt>
                <c:pt idx="196">
                  <c:v>17</c:v>
                </c:pt>
                <c:pt idx="197">
                  <c:v>17</c:v>
                </c:pt>
                <c:pt idx="198">
                  <c:v>18</c:v>
                </c:pt>
                <c:pt idx="199">
                  <c:v>18</c:v>
                </c:pt>
                <c:pt idx="200">
                  <c:v>18</c:v>
                </c:pt>
                <c:pt idx="201">
                  <c:v>18</c:v>
                </c:pt>
                <c:pt idx="202">
                  <c:v>19</c:v>
                </c:pt>
                <c:pt idx="203">
                  <c:v>20</c:v>
                </c:pt>
                <c:pt idx="204">
                  <c:v>21</c:v>
                </c:pt>
                <c:pt idx="205">
                  <c:v>22</c:v>
                </c:pt>
                <c:pt idx="206">
                  <c:v>22</c:v>
                </c:pt>
                <c:pt idx="207">
                  <c:v>22</c:v>
                </c:pt>
                <c:pt idx="208">
                  <c:v>23</c:v>
                </c:pt>
                <c:pt idx="209">
                  <c:v>24</c:v>
                </c:pt>
                <c:pt idx="210">
                  <c:v>25</c:v>
                </c:pt>
                <c:pt idx="211">
                  <c:v>25</c:v>
                </c:pt>
                <c:pt idx="212">
                  <c:v>25</c:v>
                </c:pt>
                <c:pt idx="213">
                  <c:v>25</c:v>
                </c:pt>
                <c:pt idx="214">
                  <c:v>26</c:v>
                </c:pt>
                <c:pt idx="215">
                  <c:v>26</c:v>
                </c:pt>
                <c:pt idx="216">
                  <c:v>26</c:v>
                </c:pt>
                <c:pt idx="217">
                  <c:v>26</c:v>
                </c:pt>
                <c:pt idx="218">
                  <c:v>26</c:v>
                </c:pt>
                <c:pt idx="219">
                  <c:v>26</c:v>
                </c:pt>
                <c:pt idx="220">
                  <c:v>26</c:v>
                </c:pt>
                <c:pt idx="221">
                  <c:v>26</c:v>
                </c:pt>
                <c:pt idx="222">
                  <c:v>26</c:v>
                </c:pt>
                <c:pt idx="223">
                  <c:v>26</c:v>
                </c:pt>
                <c:pt idx="224">
                  <c:v>26</c:v>
                </c:pt>
                <c:pt idx="225">
                  <c:v>27</c:v>
                </c:pt>
                <c:pt idx="226">
                  <c:v>28</c:v>
                </c:pt>
                <c:pt idx="227">
                  <c:v>28</c:v>
                </c:pt>
                <c:pt idx="228">
                  <c:v>28</c:v>
                </c:pt>
                <c:pt idx="229">
                  <c:v>28</c:v>
                </c:pt>
                <c:pt idx="230">
                  <c:v>28</c:v>
                </c:pt>
                <c:pt idx="231">
                  <c:v>28</c:v>
                </c:pt>
                <c:pt idx="232">
                  <c:v>28</c:v>
                </c:pt>
                <c:pt idx="233">
                  <c:v>28</c:v>
                </c:pt>
                <c:pt idx="234">
                  <c:v>28</c:v>
                </c:pt>
                <c:pt idx="235">
                  <c:v>28</c:v>
                </c:pt>
                <c:pt idx="236">
                  <c:v>28</c:v>
                </c:pt>
                <c:pt idx="237">
                  <c:v>28</c:v>
                </c:pt>
                <c:pt idx="238">
                  <c:v>28</c:v>
                </c:pt>
                <c:pt idx="239">
                  <c:v>28</c:v>
                </c:pt>
                <c:pt idx="240">
                  <c:v>28</c:v>
                </c:pt>
                <c:pt idx="241">
                  <c:v>28</c:v>
                </c:pt>
                <c:pt idx="242">
                  <c:v>28</c:v>
                </c:pt>
                <c:pt idx="243">
                  <c:v>29</c:v>
                </c:pt>
                <c:pt idx="244">
                  <c:v>29</c:v>
                </c:pt>
                <c:pt idx="245">
                  <c:v>29</c:v>
                </c:pt>
                <c:pt idx="246">
                  <c:v>29</c:v>
                </c:pt>
                <c:pt idx="247">
                  <c:v>29</c:v>
                </c:pt>
                <c:pt idx="248">
                  <c:v>29</c:v>
                </c:pt>
                <c:pt idx="249">
                  <c:v>29</c:v>
                </c:pt>
                <c:pt idx="250">
                  <c:v>29</c:v>
                </c:pt>
                <c:pt idx="251">
                  <c:v>29</c:v>
                </c:pt>
                <c:pt idx="252">
                  <c:v>29</c:v>
                </c:pt>
                <c:pt idx="253">
                  <c:v>29</c:v>
                </c:pt>
                <c:pt idx="254">
                  <c:v>29</c:v>
                </c:pt>
                <c:pt idx="255">
                  <c:v>29</c:v>
                </c:pt>
                <c:pt idx="256">
                  <c:v>29</c:v>
                </c:pt>
                <c:pt idx="257">
                  <c:v>29</c:v>
                </c:pt>
                <c:pt idx="258">
                  <c:v>29</c:v>
                </c:pt>
                <c:pt idx="259">
                  <c:v>29</c:v>
                </c:pt>
                <c:pt idx="260">
                  <c:v>29</c:v>
                </c:pt>
                <c:pt idx="261">
                  <c:v>29</c:v>
                </c:pt>
                <c:pt idx="262">
                  <c:v>29</c:v>
                </c:pt>
                <c:pt idx="263">
                  <c:v>29</c:v>
                </c:pt>
                <c:pt idx="264">
                  <c:v>29</c:v>
                </c:pt>
                <c:pt idx="265">
                  <c:v>29</c:v>
                </c:pt>
                <c:pt idx="266">
                  <c:v>29</c:v>
                </c:pt>
                <c:pt idx="267">
                  <c:v>29</c:v>
                </c:pt>
                <c:pt idx="268">
                  <c:v>29</c:v>
                </c:pt>
                <c:pt idx="269">
                  <c:v>29</c:v>
                </c:pt>
                <c:pt idx="270">
                  <c:v>29</c:v>
                </c:pt>
                <c:pt idx="271">
                  <c:v>29</c:v>
                </c:pt>
                <c:pt idx="272">
                  <c:v>29</c:v>
                </c:pt>
                <c:pt idx="273">
                  <c:v>29</c:v>
                </c:pt>
                <c:pt idx="274">
                  <c:v>29</c:v>
                </c:pt>
                <c:pt idx="275">
                  <c:v>29</c:v>
                </c:pt>
                <c:pt idx="276">
                  <c:v>29</c:v>
                </c:pt>
                <c:pt idx="277">
                  <c:v>29</c:v>
                </c:pt>
                <c:pt idx="278">
                  <c:v>29</c:v>
                </c:pt>
                <c:pt idx="279">
                  <c:v>29</c:v>
                </c:pt>
                <c:pt idx="280">
                  <c:v>29</c:v>
                </c:pt>
                <c:pt idx="281">
                  <c:v>29</c:v>
                </c:pt>
                <c:pt idx="282">
                  <c:v>29</c:v>
                </c:pt>
                <c:pt idx="283">
                  <c:v>29</c:v>
                </c:pt>
                <c:pt idx="284">
                  <c:v>29</c:v>
                </c:pt>
                <c:pt idx="285">
                  <c:v>29</c:v>
                </c:pt>
                <c:pt idx="286">
                  <c:v>29</c:v>
                </c:pt>
                <c:pt idx="287">
                  <c:v>29</c:v>
                </c:pt>
                <c:pt idx="288">
                  <c:v>29</c:v>
                </c:pt>
                <c:pt idx="289">
                  <c:v>29</c:v>
                </c:pt>
                <c:pt idx="290">
                  <c:v>29</c:v>
                </c:pt>
                <c:pt idx="291">
                  <c:v>29</c:v>
                </c:pt>
                <c:pt idx="292">
                  <c:v>29</c:v>
                </c:pt>
                <c:pt idx="293">
                  <c:v>29</c:v>
                </c:pt>
                <c:pt idx="294">
                  <c:v>29</c:v>
                </c:pt>
                <c:pt idx="295">
                  <c:v>29</c:v>
                </c:pt>
                <c:pt idx="296">
                  <c:v>29</c:v>
                </c:pt>
                <c:pt idx="297">
                  <c:v>29</c:v>
                </c:pt>
                <c:pt idx="298">
                  <c:v>29</c:v>
                </c:pt>
                <c:pt idx="299">
                  <c:v>29</c:v>
                </c:pt>
                <c:pt idx="300">
                  <c:v>29</c:v>
                </c:pt>
                <c:pt idx="301">
                  <c:v>29</c:v>
                </c:pt>
                <c:pt idx="302">
                  <c:v>29</c:v>
                </c:pt>
                <c:pt idx="303">
                  <c:v>29</c:v>
                </c:pt>
                <c:pt idx="304">
                  <c:v>29</c:v>
                </c:pt>
                <c:pt idx="305">
                  <c:v>29</c:v>
                </c:pt>
                <c:pt idx="306">
                  <c:v>29</c:v>
                </c:pt>
                <c:pt idx="307">
                  <c:v>29</c:v>
                </c:pt>
                <c:pt idx="308">
                  <c:v>29</c:v>
                </c:pt>
                <c:pt idx="309">
                  <c:v>29</c:v>
                </c:pt>
                <c:pt idx="310">
                  <c:v>29</c:v>
                </c:pt>
                <c:pt idx="311">
                  <c:v>29</c:v>
                </c:pt>
                <c:pt idx="312">
                  <c:v>29</c:v>
                </c:pt>
                <c:pt idx="313">
                  <c:v>29</c:v>
                </c:pt>
                <c:pt idx="314">
                  <c:v>29</c:v>
                </c:pt>
                <c:pt idx="315">
                  <c:v>29</c:v>
                </c:pt>
                <c:pt idx="316">
                  <c:v>29</c:v>
                </c:pt>
                <c:pt idx="317">
                  <c:v>29</c:v>
                </c:pt>
                <c:pt idx="318">
                  <c:v>29</c:v>
                </c:pt>
                <c:pt idx="319">
                  <c:v>29</c:v>
                </c:pt>
                <c:pt idx="320">
                  <c:v>29</c:v>
                </c:pt>
                <c:pt idx="321">
                  <c:v>29</c:v>
                </c:pt>
                <c:pt idx="322">
                  <c:v>29</c:v>
                </c:pt>
                <c:pt idx="323">
                  <c:v>29</c:v>
                </c:pt>
                <c:pt idx="324">
                  <c:v>29</c:v>
                </c:pt>
                <c:pt idx="325">
                  <c:v>29</c:v>
                </c:pt>
                <c:pt idx="326">
                  <c:v>29</c:v>
                </c:pt>
                <c:pt idx="327">
                  <c:v>29</c:v>
                </c:pt>
                <c:pt idx="328">
                  <c:v>29</c:v>
                </c:pt>
                <c:pt idx="329">
                  <c:v>29</c:v>
                </c:pt>
                <c:pt idx="330">
                  <c:v>29</c:v>
                </c:pt>
                <c:pt idx="331">
                  <c:v>29</c:v>
                </c:pt>
                <c:pt idx="332">
                  <c:v>29</c:v>
                </c:pt>
                <c:pt idx="333">
                  <c:v>29</c:v>
                </c:pt>
                <c:pt idx="334">
                  <c:v>29</c:v>
                </c:pt>
                <c:pt idx="335">
                  <c:v>29</c:v>
                </c:pt>
                <c:pt idx="336">
                  <c:v>29</c:v>
                </c:pt>
                <c:pt idx="337">
                  <c:v>29</c:v>
                </c:pt>
                <c:pt idx="338">
                  <c:v>29</c:v>
                </c:pt>
                <c:pt idx="339">
                  <c:v>29</c:v>
                </c:pt>
                <c:pt idx="340">
                  <c:v>29</c:v>
                </c:pt>
                <c:pt idx="341">
                  <c:v>29</c:v>
                </c:pt>
                <c:pt idx="342">
                  <c:v>29</c:v>
                </c:pt>
                <c:pt idx="343">
                  <c:v>29</c:v>
                </c:pt>
                <c:pt idx="344">
                  <c:v>29</c:v>
                </c:pt>
                <c:pt idx="345">
                  <c:v>29</c:v>
                </c:pt>
                <c:pt idx="346">
                  <c:v>29</c:v>
                </c:pt>
                <c:pt idx="347">
                  <c:v>29</c:v>
                </c:pt>
                <c:pt idx="348">
                  <c:v>29</c:v>
                </c:pt>
                <c:pt idx="349">
                  <c:v>30</c:v>
                </c:pt>
                <c:pt idx="350">
                  <c:v>30</c:v>
                </c:pt>
                <c:pt idx="351">
                  <c:v>30</c:v>
                </c:pt>
                <c:pt idx="352">
                  <c:v>30</c:v>
                </c:pt>
                <c:pt idx="353">
                  <c:v>30</c:v>
                </c:pt>
                <c:pt idx="354">
                  <c:v>30</c:v>
                </c:pt>
                <c:pt idx="355">
                  <c:v>30</c:v>
                </c:pt>
                <c:pt idx="356">
                  <c:v>30</c:v>
                </c:pt>
                <c:pt idx="357">
                  <c:v>30</c:v>
                </c:pt>
                <c:pt idx="358">
                  <c:v>30</c:v>
                </c:pt>
                <c:pt idx="359">
                  <c:v>30</c:v>
                </c:pt>
                <c:pt idx="360">
                  <c:v>30</c:v>
                </c:pt>
                <c:pt idx="361">
                  <c:v>30</c:v>
                </c:pt>
                <c:pt idx="362">
                  <c:v>30</c:v>
                </c:pt>
                <c:pt idx="363">
                  <c:v>30</c:v>
                </c:pt>
                <c:pt idx="364">
                  <c:v>30</c:v>
                </c:pt>
                <c:pt idx="365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3BE-9041-9B32-DA116BC247BB}"/>
            </c:ext>
          </c:extLst>
        </c:ser>
        <c:ser>
          <c:idx val="6"/>
          <c:order val="6"/>
          <c:tx>
            <c:strRef>
              <c:f>List1!$J$4</c:f>
              <c:strCache>
                <c:ptCount val="1"/>
                <c:pt idx="0">
                  <c:v>2004</c:v>
                </c:pt>
              </c:strCache>
            </c:strRef>
          </c:tx>
          <c:spPr>
            <a:ln w="28800">
              <a:solidFill>
                <a:srgbClr val="FF8000">
                  <a:alpha val="5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List1!$J$5:$J$370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4</c:v>
                </c:pt>
                <c:pt idx="122">
                  <c:v>4</c:v>
                </c:pt>
                <c:pt idx="123">
                  <c:v>5</c:v>
                </c:pt>
                <c:pt idx="124">
                  <c:v>5</c:v>
                </c:pt>
                <c:pt idx="125">
                  <c:v>6</c:v>
                </c:pt>
                <c:pt idx="126">
                  <c:v>7</c:v>
                </c:pt>
                <c:pt idx="127">
                  <c:v>7</c:v>
                </c:pt>
                <c:pt idx="128">
                  <c:v>7</c:v>
                </c:pt>
                <c:pt idx="129">
                  <c:v>7</c:v>
                </c:pt>
                <c:pt idx="130">
                  <c:v>8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9</c:v>
                </c:pt>
                <c:pt idx="141">
                  <c:v>10</c:v>
                </c:pt>
                <c:pt idx="142">
                  <c:v>10</c:v>
                </c:pt>
                <c:pt idx="143">
                  <c:v>11</c:v>
                </c:pt>
                <c:pt idx="144">
                  <c:v>11</c:v>
                </c:pt>
                <c:pt idx="145">
                  <c:v>11</c:v>
                </c:pt>
                <c:pt idx="146">
                  <c:v>11</c:v>
                </c:pt>
                <c:pt idx="147">
                  <c:v>11</c:v>
                </c:pt>
                <c:pt idx="148">
                  <c:v>11</c:v>
                </c:pt>
                <c:pt idx="149">
                  <c:v>11</c:v>
                </c:pt>
                <c:pt idx="150">
                  <c:v>11</c:v>
                </c:pt>
                <c:pt idx="151">
                  <c:v>11</c:v>
                </c:pt>
                <c:pt idx="152">
                  <c:v>11</c:v>
                </c:pt>
                <c:pt idx="153">
                  <c:v>11</c:v>
                </c:pt>
                <c:pt idx="154">
                  <c:v>11</c:v>
                </c:pt>
                <c:pt idx="155">
                  <c:v>11</c:v>
                </c:pt>
                <c:pt idx="156">
                  <c:v>11</c:v>
                </c:pt>
                <c:pt idx="157">
                  <c:v>11</c:v>
                </c:pt>
                <c:pt idx="158">
                  <c:v>11</c:v>
                </c:pt>
                <c:pt idx="159">
                  <c:v>11</c:v>
                </c:pt>
                <c:pt idx="160">
                  <c:v>12</c:v>
                </c:pt>
                <c:pt idx="161">
                  <c:v>13</c:v>
                </c:pt>
                <c:pt idx="162">
                  <c:v>14</c:v>
                </c:pt>
                <c:pt idx="163">
                  <c:v>15</c:v>
                </c:pt>
                <c:pt idx="164">
                  <c:v>15</c:v>
                </c:pt>
                <c:pt idx="165">
                  <c:v>15</c:v>
                </c:pt>
                <c:pt idx="166">
                  <c:v>15</c:v>
                </c:pt>
                <c:pt idx="167">
                  <c:v>15</c:v>
                </c:pt>
                <c:pt idx="168">
                  <c:v>15</c:v>
                </c:pt>
                <c:pt idx="169">
                  <c:v>15</c:v>
                </c:pt>
                <c:pt idx="170">
                  <c:v>15</c:v>
                </c:pt>
                <c:pt idx="171">
                  <c:v>15</c:v>
                </c:pt>
                <c:pt idx="172">
                  <c:v>16</c:v>
                </c:pt>
                <c:pt idx="173">
                  <c:v>16</c:v>
                </c:pt>
                <c:pt idx="174">
                  <c:v>16</c:v>
                </c:pt>
                <c:pt idx="175">
                  <c:v>16</c:v>
                </c:pt>
                <c:pt idx="176">
                  <c:v>16</c:v>
                </c:pt>
                <c:pt idx="177">
                  <c:v>16</c:v>
                </c:pt>
                <c:pt idx="178">
                  <c:v>16</c:v>
                </c:pt>
                <c:pt idx="179">
                  <c:v>16</c:v>
                </c:pt>
                <c:pt idx="180">
                  <c:v>16</c:v>
                </c:pt>
                <c:pt idx="181">
                  <c:v>16</c:v>
                </c:pt>
                <c:pt idx="182">
                  <c:v>17</c:v>
                </c:pt>
                <c:pt idx="183">
                  <c:v>18</c:v>
                </c:pt>
                <c:pt idx="184">
                  <c:v>19</c:v>
                </c:pt>
                <c:pt idx="185">
                  <c:v>19</c:v>
                </c:pt>
                <c:pt idx="186">
                  <c:v>20</c:v>
                </c:pt>
                <c:pt idx="187">
                  <c:v>20</c:v>
                </c:pt>
                <c:pt idx="188">
                  <c:v>20</c:v>
                </c:pt>
                <c:pt idx="189">
                  <c:v>21</c:v>
                </c:pt>
                <c:pt idx="190">
                  <c:v>21</c:v>
                </c:pt>
                <c:pt idx="191">
                  <c:v>21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23</c:v>
                </c:pt>
                <c:pt idx="202">
                  <c:v>23</c:v>
                </c:pt>
                <c:pt idx="203">
                  <c:v>24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25</c:v>
                </c:pt>
                <c:pt idx="208">
                  <c:v>25</c:v>
                </c:pt>
                <c:pt idx="209">
                  <c:v>25</c:v>
                </c:pt>
                <c:pt idx="210">
                  <c:v>25</c:v>
                </c:pt>
                <c:pt idx="211">
                  <c:v>25</c:v>
                </c:pt>
                <c:pt idx="212">
                  <c:v>25</c:v>
                </c:pt>
                <c:pt idx="213">
                  <c:v>26</c:v>
                </c:pt>
                <c:pt idx="214">
                  <c:v>26</c:v>
                </c:pt>
                <c:pt idx="215">
                  <c:v>26</c:v>
                </c:pt>
                <c:pt idx="216">
                  <c:v>26</c:v>
                </c:pt>
                <c:pt idx="217">
                  <c:v>26</c:v>
                </c:pt>
                <c:pt idx="218">
                  <c:v>26</c:v>
                </c:pt>
                <c:pt idx="219">
                  <c:v>26</c:v>
                </c:pt>
                <c:pt idx="220">
                  <c:v>26</c:v>
                </c:pt>
                <c:pt idx="221">
                  <c:v>26</c:v>
                </c:pt>
                <c:pt idx="222">
                  <c:v>26</c:v>
                </c:pt>
                <c:pt idx="223">
                  <c:v>26</c:v>
                </c:pt>
                <c:pt idx="224">
                  <c:v>26</c:v>
                </c:pt>
                <c:pt idx="225">
                  <c:v>27</c:v>
                </c:pt>
                <c:pt idx="226">
                  <c:v>28</c:v>
                </c:pt>
                <c:pt idx="227">
                  <c:v>28</c:v>
                </c:pt>
                <c:pt idx="228">
                  <c:v>28</c:v>
                </c:pt>
                <c:pt idx="229">
                  <c:v>29</c:v>
                </c:pt>
                <c:pt idx="230">
                  <c:v>29</c:v>
                </c:pt>
                <c:pt idx="231">
                  <c:v>29</c:v>
                </c:pt>
                <c:pt idx="232">
                  <c:v>30</c:v>
                </c:pt>
                <c:pt idx="233">
                  <c:v>31</c:v>
                </c:pt>
                <c:pt idx="234">
                  <c:v>31</c:v>
                </c:pt>
                <c:pt idx="235">
                  <c:v>31</c:v>
                </c:pt>
                <c:pt idx="236">
                  <c:v>31</c:v>
                </c:pt>
                <c:pt idx="237">
                  <c:v>31</c:v>
                </c:pt>
                <c:pt idx="238">
                  <c:v>32</c:v>
                </c:pt>
                <c:pt idx="239">
                  <c:v>32</c:v>
                </c:pt>
                <c:pt idx="240">
                  <c:v>32</c:v>
                </c:pt>
                <c:pt idx="241">
                  <c:v>32</c:v>
                </c:pt>
                <c:pt idx="242">
                  <c:v>33</c:v>
                </c:pt>
                <c:pt idx="243">
                  <c:v>33</c:v>
                </c:pt>
                <c:pt idx="244">
                  <c:v>33</c:v>
                </c:pt>
                <c:pt idx="245">
                  <c:v>33</c:v>
                </c:pt>
                <c:pt idx="246">
                  <c:v>33</c:v>
                </c:pt>
                <c:pt idx="247">
                  <c:v>33</c:v>
                </c:pt>
                <c:pt idx="248">
                  <c:v>33</c:v>
                </c:pt>
                <c:pt idx="249">
                  <c:v>33</c:v>
                </c:pt>
                <c:pt idx="250">
                  <c:v>33</c:v>
                </c:pt>
                <c:pt idx="251">
                  <c:v>33</c:v>
                </c:pt>
                <c:pt idx="252">
                  <c:v>33</c:v>
                </c:pt>
                <c:pt idx="253">
                  <c:v>33</c:v>
                </c:pt>
                <c:pt idx="254">
                  <c:v>33</c:v>
                </c:pt>
                <c:pt idx="255">
                  <c:v>33</c:v>
                </c:pt>
                <c:pt idx="256">
                  <c:v>33</c:v>
                </c:pt>
                <c:pt idx="257">
                  <c:v>33</c:v>
                </c:pt>
                <c:pt idx="258">
                  <c:v>33</c:v>
                </c:pt>
                <c:pt idx="259">
                  <c:v>33</c:v>
                </c:pt>
                <c:pt idx="260">
                  <c:v>33</c:v>
                </c:pt>
                <c:pt idx="261">
                  <c:v>33</c:v>
                </c:pt>
                <c:pt idx="262">
                  <c:v>33</c:v>
                </c:pt>
                <c:pt idx="263">
                  <c:v>33</c:v>
                </c:pt>
                <c:pt idx="264">
                  <c:v>33</c:v>
                </c:pt>
                <c:pt idx="265">
                  <c:v>33</c:v>
                </c:pt>
                <c:pt idx="266">
                  <c:v>33</c:v>
                </c:pt>
                <c:pt idx="267">
                  <c:v>33</c:v>
                </c:pt>
                <c:pt idx="268">
                  <c:v>33</c:v>
                </c:pt>
                <c:pt idx="269">
                  <c:v>33</c:v>
                </c:pt>
                <c:pt idx="270">
                  <c:v>33</c:v>
                </c:pt>
                <c:pt idx="271">
                  <c:v>33</c:v>
                </c:pt>
                <c:pt idx="272">
                  <c:v>33</c:v>
                </c:pt>
                <c:pt idx="273">
                  <c:v>33</c:v>
                </c:pt>
                <c:pt idx="274">
                  <c:v>33</c:v>
                </c:pt>
                <c:pt idx="275">
                  <c:v>33</c:v>
                </c:pt>
                <c:pt idx="276">
                  <c:v>33</c:v>
                </c:pt>
                <c:pt idx="277">
                  <c:v>33</c:v>
                </c:pt>
                <c:pt idx="278">
                  <c:v>33</c:v>
                </c:pt>
                <c:pt idx="279">
                  <c:v>33</c:v>
                </c:pt>
                <c:pt idx="280">
                  <c:v>33</c:v>
                </c:pt>
                <c:pt idx="281">
                  <c:v>33</c:v>
                </c:pt>
                <c:pt idx="282">
                  <c:v>33</c:v>
                </c:pt>
                <c:pt idx="283">
                  <c:v>33</c:v>
                </c:pt>
                <c:pt idx="284">
                  <c:v>33</c:v>
                </c:pt>
                <c:pt idx="285">
                  <c:v>33</c:v>
                </c:pt>
                <c:pt idx="286">
                  <c:v>33</c:v>
                </c:pt>
                <c:pt idx="287">
                  <c:v>33</c:v>
                </c:pt>
                <c:pt idx="288">
                  <c:v>33</c:v>
                </c:pt>
                <c:pt idx="289">
                  <c:v>33</c:v>
                </c:pt>
                <c:pt idx="290">
                  <c:v>33</c:v>
                </c:pt>
                <c:pt idx="291">
                  <c:v>33</c:v>
                </c:pt>
                <c:pt idx="292">
                  <c:v>33</c:v>
                </c:pt>
                <c:pt idx="293">
                  <c:v>33</c:v>
                </c:pt>
                <c:pt idx="294">
                  <c:v>33</c:v>
                </c:pt>
                <c:pt idx="295">
                  <c:v>33</c:v>
                </c:pt>
                <c:pt idx="296">
                  <c:v>33</c:v>
                </c:pt>
                <c:pt idx="297">
                  <c:v>33</c:v>
                </c:pt>
                <c:pt idx="298">
                  <c:v>33</c:v>
                </c:pt>
                <c:pt idx="299">
                  <c:v>33</c:v>
                </c:pt>
                <c:pt idx="300">
                  <c:v>33</c:v>
                </c:pt>
                <c:pt idx="301">
                  <c:v>33</c:v>
                </c:pt>
                <c:pt idx="302">
                  <c:v>33</c:v>
                </c:pt>
                <c:pt idx="303">
                  <c:v>34</c:v>
                </c:pt>
                <c:pt idx="304">
                  <c:v>34</c:v>
                </c:pt>
                <c:pt idx="305">
                  <c:v>34</c:v>
                </c:pt>
                <c:pt idx="306">
                  <c:v>34</c:v>
                </c:pt>
                <c:pt idx="307">
                  <c:v>34</c:v>
                </c:pt>
                <c:pt idx="308">
                  <c:v>34</c:v>
                </c:pt>
                <c:pt idx="309">
                  <c:v>34</c:v>
                </c:pt>
                <c:pt idx="310">
                  <c:v>34</c:v>
                </c:pt>
                <c:pt idx="311">
                  <c:v>34</c:v>
                </c:pt>
                <c:pt idx="312">
                  <c:v>34</c:v>
                </c:pt>
                <c:pt idx="313">
                  <c:v>34</c:v>
                </c:pt>
                <c:pt idx="314">
                  <c:v>34</c:v>
                </c:pt>
                <c:pt idx="315">
                  <c:v>34</c:v>
                </c:pt>
                <c:pt idx="316">
                  <c:v>34</c:v>
                </c:pt>
                <c:pt idx="317">
                  <c:v>34</c:v>
                </c:pt>
                <c:pt idx="318">
                  <c:v>34</c:v>
                </c:pt>
                <c:pt idx="319">
                  <c:v>34</c:v>
                </c:pt>
                <c:pt idx="320">
                  <c:v>34</c:v>
                </c:pt>
                <c:pt idx="321">
                  <c:v>34</c:v>
                </c:pt>
                <c:pt idx="322">
                  <c:v>34</c:v>
                </c:pt>
                <c:pt idx="323">
                  <c:v>34</c:v>
                </c:pt>
                <c:pt idx="324">
                  <c:v>34</c:v>
                </c:pt>
                <c:pt idx="325">
                  <c:v>34</c:v>
                </c:pt>
                <c:pt idx="326">
                  <c:v>34</c:v>
                </c:pt>
                <c:pt idx="327">
                  <c:v>34</c:v>
                </c:pt>
                <c:pt idx="328">
                  <c:v>34</c:v>
                </c:pt>
                <c:pt idx="329">
                  <c:v>34</c:v>
                </c:pt>
                <c:pt idx="330">
                  <c:v>34</c:v>
                </c:pt>
                <c:pt idx="331">
                  <c:v>34</c:v>
                </c:pt>
                <c:pt idx="332">
                  <c:v>34</c:v>
                </c:pt>
                <c:pt idx="333">
                  <c:v>34</c:v>
                </c:pt>
                <c:pt idx="334">
                  <c:v>34</c:v>
                </c:pt>
                <c:pt idx="335">
                  <c:v>34</c:v>
                </c:pt>
                <c:pt idx="336">
                  <c:v>34</c:v>
                </c:pt>
                <c:pt idx="337">
                  <c:v>34</c:v>
                </c:pt>
                <c:pt idx="338">
                  <c:v>34</c:v>
                </c:pt>
                <c:pt idx="339">
                  <c:v>34</c:v>
                </c:pt>
                <c:pt idx="340">
                  <c:v>34</c:v>
                </c:pt>
                <c:pt idx="341">
                  <c:v>34</c:v>
                </c:pt>
                <c:pt idx="342">
                  <c:v>34</c:v>
                </c:pt>
                <c:pt idx="343">
                  <c:v>34</c:v>
                </c:pt>
                <c:pt idx="344">
                  <c:v>34</c:v>
                </c:pt>
                <c:pt idx="345">
                  <c:v>34</c:v>
                </c:pt>
                <c:pt idx="346">
                  <c:v>34</c:v>
                </c:pt>
                <c:pt idx="347">
                  <c:v>34</c:v>
                </c:pt>
                <c:pt idx="348">
                  <c:v>34</c:v>
                </c:pt>
                <c:pt idx="349">
                  <c:v>34</c:v>
                </c:pt>
                <c:pt idx="350">
                  <c:v>34</c:v>
                </c:pt>
                <c:pt idx="351">
                  <c:v>34</c:v>
                </c:pt>
                <c:pt idx="352">
                  <c:v>34</c:v>
                </c:pt>
                <c:pt idx="353">
                  <c:v>34</c:v>
                </c:pt>
                <c:pt idx="354">
                  <c:v>34</c:v>
                </c:pt>
                <c:pt idx="355">
                  <c:v>34</c:v>
                </c:pt>
                <c:pt idx="356">
                  <c:v>34</c:v>
                </c:pt>
                <c:pt idx="357">
                  <c:v>34</c:v>
                </c:pt>
                <c:pt idx="358">
                  <c:v>34</c:v>
                </c:pt>
                <c:pt idx="359">
                  <c:v>34</c:v>
                </c:pt>
                <c:pt idx="360">
                  <c:v>34</c:v>
                </c:pt>
                <c:pt idx="361">
                  <c:v>34</c:v>
                </c:pt>
                <c:pt idx="362">
                  <c:v>34</c:v>
                </c:pt>
                <c:pt idx="363">
                  <c:v>34</c:v>
                </c:pt>
                <c:pt idx="364">
                  <c:v>34</c:v>
                </c:pt>
                <c:pt idx="365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3BE-9041-9B32-DA116BC247BB}"/>
            </c:ext>
          </c:extLst>
        </c:ser>
        <c:ser>
          <c:idx val="7"/>
          <c:order val="7"/>
          <c:tx>
            <c:strRef>
              <c:f>List1!$K$4</c:f>
              <c:strCache>
                <c:ptCount val="1"/>
                <c:pt idx="0">
                  <c:v>2005</c:v>
                </c:pt>
              </c:strCache>
            </c:strRef>
          </c:tx>
          <c:spPr>
            <a:ln w="28800">
              <a:solidFill>
                <a:srgbClr val="FF4000">
                  <a:alpha val="5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List1!$K$5:$K$370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2</c:v>
                </c:pt>
                <c:pt idx="118">
                  <c:v>2</c:v>
                </c:pt>
                <c:pt idx="119">
                  <c:v>2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5</c:v>
                </c:pt>
                <c:pt idx="142">
                  <c:v>5</c:v>
                </c:pt>
                <c:pt idx="143">
                  <c:v>6</c:v>
                </c:pt>
                <c:pt idx="144">
                  <c:v>6</c:v>
                </c:pt>
                <c:pt idx="145">
                  <c:v>6</c:v>
                </c:pt>
                <c:pt idx="146">
                  <c:v>6</c:v>
                </c:pt>
                <c:pt idx="147">
                  <c:v>6</c:v>
                </c:pt>
                <c:pt idx="148">
                  <c:v>6</c:v>
                </c:pt>
                <c:pt idx="149">
                  <c:v>7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9</c:v>
                </c:pt>
                <c:pt idx="156">
                  <c:v>9</c:v>
                </c:pt>
                <c:pt idx="157">
                  <c:v>10</c:v>
                </c:pt>
                <c:pt idx="158">
                  <c:v>10</c:v>
                </c:pt>
                <c:pt idx="159">
                  <c:v>10</c:v>
                </c:pt>
                <c:pt idx="160">
                  <c:v>10</c:v>
                </c:pt>
                <c:pt idx="161">
                  <c:v>10</c:v>
                </c:pt>
                <c:pt idx="162">
                  <c:v>10</c:v>
                </c:pt>
                <c:pt idx="163">
                  <c:v>10</c:v>
                </c:pt>
                <c:pt idx="164">
                  <c:v>10</c:v>
                </c:pt>
                <c:pt idx="165">
                  <c:v>11</c:v>
                </c:pt>
                <c:pt idx="166">
                  <c:v>11</c:v>
                </c:pt>
                <c:pt idx="167">
                  <c:v>11</c:v>
                </c:pt>
                <c:pt idx="168">
                  <c:v>11</c:v>
                </c:pt>
                <c:pt idx="169">
                  <c:v>11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12</c:v>
                </c:pt>
                <c:pt idx="174">
                  <c:v>12</c:v>
                </c:pt>
                <c:pt idx="175">
                  <c:v>12</c:v>
                </c:pt>
                <c:pt idx="176">
                  <c:v>13</c:v>
                </c:pt>
                <c:pt idx="177">
                  <c:v>13</c:v>
                </c:pt>
                <c:pt idx="178">
                  <c:v>13</c:v>
                </c:pt>
                <c:pt idx="179">
                  <c:v>13</c:v>
                </c:pt>
                <c:pt idx="180">
                  <c:v>13</c:v>
                </c:pt>
                <c:pt idx="181">
                  <c:v>13</c:v>
                </c:pt>
                <c:pt idx="182">
                  <c:v>14</c:v>
                </c:pt>
                <c:pt idx="183">
                  <c:v>14</c:v>
                </c:pt>
                <c:pt idx="184">
                  <c:v>14</c:v>
                </c:pt>
                <c:pt idx="185">
                  <c:v>14</c:v>
                </c:pt>
                <c:pt idx="186">
                  <c:v>14</c:v>
                </c:pt>
                <c:pt idx="187">
                  <c:v>14</c:v>
                </c:pt>
                <c:pt idx="188">
                  <c:v>15</c:v>
                </c:pt>
                <c:pt idx="189">
                  <c:v>15</c:v>
                </c:pt>
                <c:pt idx="190">
                  <c:v>15</c:v>
                </c:pt>
                <c:pt idx="191">
                  <c:v>16</c:v>
                </c:pt>
                <c:pt idx="192">
                  <c:v>16</c:v>
                </c:pt>
                <c:pt idx="193">
                  <c:v>16</c:v>
                </c:pt>
                <c:pt idx="194">
                  <c:v>16</c:v>
                </c:pt>
                <c:pt idx="195">
                  <c:v>17</c:v>
                </c:pt>
                <c:pt idx="196">
                  <c:v>18</c:v>
                </c:pt>
                <c:pt idx="197">
                  <c:v>19</c:v>
                </c:pt>
                <c:pt idx="198">
                  <c:v>19</c:v>
                </c:pt>
                <c:pt idx="199">
                  <c:v>19</c:v>
                </c:pt>
                <c:pt idx="200">
                  <c:v>20</c:v>
                </c:pt>
                <c:pt idx="201">
                  <c:v>20</c:v>
                </c:pt>
                <c:pt idx="202">
                  <c:v>20</c:v>
                </c:pt>
                <c:pt idx="203">
                  <c:v>20</c:v>
                </c:pt>
                <c:pt idx="204">
                  <c:v>20</c:v>
                </c:pt>
                <c:pt idx="205">
                  <c:v>20</c:v>
                </c:pt>
                <c:pt idx="206">
                  <c:v>20</c:v>
                </c:pt>
                <c:pt idx="207">
                  <c:v>20</c:v>
                </c:pt>
                <c:pt idx="208">
                  <c:v>20</c:v>
                </c:pt>
                <c:pt idx="209">
                  <c:v>20</c:v>
                </c:pt>
                <c:pt idx="210">
                  <c:v>21</c:v>
                </c:pt>
                <c:pt idx="211">
                  <c:v>22</c:v>
                </c:pt>
                <c:pt idx="212">
                  <c:v>22</c:v>
                </c:pt>
                <c:pt idx="213">
                  <c:v>22</c:v>
                </c:pt>
                <c:pt idx="214">
                  <c:v>22</c:v>
                </c:pt>
                <c:pt idx="215">
                  <c:v>22</c:v>
                </c:pt>
                <c:pt idx="216">
                  <c:v>22</c:v>
                </c:pt>
                <c:pt idx="217">
                  <c:v>22</c:v>
                </c:pt>
                <c:pt idx="218">
                  <c:v>22</c:v>
                </c:pt>
                <c:pt idx="219">
                  <c:v>23</c:v>
                </c:pt>
                <c:pt idx="220">
                  <c:v>24</c:v>
                </c:pt>
                <c:pt idx="221">
                  <c:v>24</c:v>
                </c:pt>
                <c:pt idx="222">
                  <c:v>24</c:v>
                </c:pt>
                <c:pt idx="223">
                  <c:v>24</c:v>
                </c:pt>
                <c:pt idx="224">
                  <c:v>24</c:v>
                </c:pt>
                <c:pt idx="225">
                  <c:v>24</c:v>
                </c:pt>
                <c:pt idx="226">
                  <c:v>24</c:v>
                </c:pt>
                <c:pt idx="227">
                  <c:v>24</c:v>
                </c:pt>
                <c:pt idx="228">
                  <c:v>24</c:v>
                </c:pt>
                <c:pt idx="229">
                  <c:v>24</c:v>
                </c:pt>
                <c:pt idx="230">
                  <c:v>24</c:v>
                </c:pt>
                <c:pt idx="231">
                  <c:v>24</c:v>
                </c:pt>
                <c:pt idx="232">
                  <c:v>25</c:v>
                </c:pt>
                <c:pt idx="233">
                  <c:v>25</c:v>
                </c:pt>
                <c:pt idx="234">
                  <c:v>26</c:v>
                </c:pt>
                <c:pt idx="235">
                  <c:v>26</c:v>
                </c:pt>
                <c:pt idx="236">
                  <c:v>26</c:v>
                </c:pt>
                <c:pt idx="237">
                  <c:v>26</c:v>
                </c:pt>
                <c:pt idx="238">
                  <c:v>26</c:v>
                </c:pt>
                <c:pt idx="239">
                  <c:v>26</c:v>
                </c:pt>
                <c:pt idx="240">
                  <c:v>26</c:v>
                </c:pt>
                <c:pt idx="241">
                  <c:v>26</c:v>
                </c:pt>
                <c:pt idx="242">
                  <c:v>26</c:v>
                </c:pt>
                <c:pt idx="243">
                  <c:v>26</c:v>
                </c:pt>
                <c:pt idx="244">
                  <c:v>26</c:v>
                </c:pt>
                <c:pt idx="245">
                  <c:v>26</c:v>
                </c:pt>
                <c:pt idx="246">
                  <c:v>26</c:v>
                </c:pt>
                <c:pt idx="247">
                  <c:v>26</c:v>
                </c:pt>
                <c:pt idx="248">
                  <c:v>26</c:v>
                </c:pt>
                <c:pt idx="249">
                  <c:v>26</c:v>
                </c:pt>
                <c:pt idx="250">
                  <c:v>26</c:v>
                </c:pt>
                <c:pt idx="251">
                  <c:v>26</c:v>
                </c:pt>
                <c:pt idx="252">
                  <c:v>26</c:v>
                </c:pt>
                <c:pt idx="253">
                  <c:v>27</c:v>
                </c:pt>
                <c:pt idx="254">
                  <c:v>27</c:v>
                </c:pt>
                <c:pt idx="255">
                  <c:v>27</c:v>
                </c:pt>
                <c:pt idx="256">
                  <c:v>27</c:v>
                </c:pt>
                <c:pt idx="257">
                  <c:v>27</c:v>
                </c:pt>
                <c:pt idx="258">
                  <c:v>27</c:v>
                </c:pt>
                <c:pt idx="259">
                  <c:v>27</c:v>
                </c:pt>
                <c:pt idx="260">
                  <c:v>27</c:v>
                </c:pt>
                <c:pt idx="261">
                  <c:v>27</c:v>
                </c:pt>
                <c:pt idx="262">
                  <c:v>27</c:v>
                </c:pt>
                <c:pt idx="263">
                  <c:v>27</c:v>
                </c:pt>
                <c:pt idx="264">
                  <c:v>27</c:v>
                </c:pt>
                <c:pt idx="265">
                  <c:v>27</c:v>
                </c:pt>
                <c:pt idx="266">
                  <c:v>27</c:v>
                </c:pt>
                <c:pt idx="267">
                  <c:v>27</c:v>
                </c:pt>
                <c:pt idx="268">
                  <c:v>27</c:v>
                </c:pt>
                <c:pt idx="269">
                  <c:v>27</c:v>
                </c:pt>
                <c:pt idx="270">
                  <c:v>27</c:v>
                </c:pt>
                <c:pt idx="271">
                  <c:v>27</c:v>
                </c:pt>
                <c:pt idx="272">
                  <c:v>27</c:v>
                </c:pt>
                <c:pt idx="273">
                  <c:v>27</c:v>
                </c:pt>
                <c:pt idx="274">
                  <c:v>27</c:v>
                </c:pt>
                <c:pt idx="275">
                  <c:v>27</c:v>
                </c:pt>
                <c:pt idx="276">
                  <c:v>27</c:v>
                </c:pt>
                <c:pt idx="277">
                  <c:v>27</c:v>
                </c:pt>
                <c:pt idx="278">
                  <c:v>27</c:v>
                </c:pt>
                <c:pt idx="279">
                  <c:v>27</c:v>
                </c:pt>
                <c:pt idx="280">
                  <c:v>27</c:v>
                </c:pt>
                <c:pt idx="281">
                  <c:v>27</c:v>
                </c:pt>
                <c:pt idx="282">
                  <c:v>27</c:v>
                </c:pt>
                <c:pt idx="283">
                  <c:v>27</c:v>
                </c:pt>
                <c:pt idx="284">
                  <c:v>27</c:v>
                </c:pt>
                <c:pt idx="285">
                  <c:v>27</c:v>
                </c:pt>
                <c:pt idx="286">
                  <c:v>27</c:v>
                </c:pt>
                <c:pt idx="287">
                  <c:v>27</c:v>
                </c:pt>
                <c:pt idx="288">
                  <c:v>27</c:v>
                </c:pt>
                <c:pt idx="289">
                  <c:v>27</c:v>
                </c:pt>
                <c:pt idx="290">
                  <c:v>27</c:v>
                </c:pt>
                <c:pt idx="291">
                  <c:v>27</c:v>
                </c:pt>
                <c:pt idx="292">
                  <c:v>27</c:v>
                </c:pt>
                <c:pt idx="293">
                  <c:v>27</c:v>
                </c:pt>
                <c:pt idx="294">
                  <c:v>27</c:v>
                </c:pt>
                <c:pt idx="295">
                  <c:v>27</c:v>
                </c:pt>
                <c:pt idx="296">
                  <c:v>27</c:v>
                </c:pt>
                <c:pt idx="297">
                  <c:v>27</c:v>
                </c:pt>
                <c:pt idx="298">
                  <c:v>27</c:v>
                </c:pt>
                <c:pt idx="299">
                  <c:v>27</c:v>
                </c:pt>
                <c:pt idx="300">
                  <c:v>27</c:v>
                </c:pt>
                <c:pt idx="301">
                  <c:v>27</c:v>
                </c:pt>
                <c:pt idx="302">
                  <c:v>27</c:v>
                </c:pt>
                <c:pt idx="303">
                  <c:v>27</c:v>
                </c:pt>
                <c:pt idx="304">
                  <c:v>27</c:v>
                </c:pt>
                <c:pt idx="305">
                  <c:v>27</c:v>
                </c:pt>
                <c:pt idx="306">
                  <c:v>27</c:v>
                </c:pt>
                <c:pt idx="307">
                  <c:v>27</c:v>
                </c:pt>
                <c:pt idx="308">
                  <c:v>27</c:v>
                </c:pt>
                <c:pt idx="309">
                  <c:v>27</c:v>
                </c:pt>
                <c:pt idx="310">
                  <c:v>27</c:v>
                </c:pt>
                <c:pt idx="311">
                  <c:v>27</c:v>
                </c:pt>
                <c:pt idx="312">
                  <c:v>27</c:v>
                </c:pt>
                <c:pt idx="313">
                  <c:v>27</c:v>
                </c:pt>
                <c:pt idx="314">
                  <c:v>27</c:v>
                </c:pt>
                <c:pt idx="315">
                  <c:v>27</c:v>
                </c:pt>
                <c:pt idx="316">
                  <c:v>27</c:v>
                </c:pt>
                <c:pt idx="317">
                  <c:v>27</c:v>
                </c:pt>
                <c:pt idx="318">
                  <c:v>27</c:v>
                </c:pt>
                <c:pt idx="319">
                  <c:v>27</c:v>
                </c:pt>
                <c:pt idx="320">
                  <c:v>27</c:v>
                </c:pt>
                <c:pt idx="321">
                  <c:v>27</c:v>
                </c:pt>
                <c:pt idx="322">
                  <c:v>27</c:v>
                </c:pt>
                <c:pt idx="323">
                  <c:v>27</c:v>
                </c:pt>
                <c:pt idx="324">
                  <c:v>27</c:v>
                </c:pt>
                <c:pt idx="325">
                  <c:v>27</c:v>
                </c:pt>
                <c:pt idx="326">
                  <c:v>27</c:v>
                </c:pt>
                <c:pt idx="327">
                  <c:v>27</c:v>
                </c:pt>
                <c:pt idx="328">
                  <c:v>27</c:v>
                </c:pt>
                <c:pt idx="329">
                  <c:v>27</c:v>
                </c:pt>
                <c:pt idx="330">
                  <c:v>27</c:v>
                </c:pt>
                <c:pt idx="331">
                  <c:v>27</c:v>
                </c:pt>
                <c:pt idx="332">
                  <c:v>27</c:v>
                </c:pt>
                <c:pt idx="333">
                  <c:v>27</c:v>
                </c:pt>
                <c:pt idx="334">
                  <c:v>27</c:v>
                </c:pt>
                <c:pt idx="335">
                  <c:v>27</c:v>
                </c:pt>
                <c:pt idx="336">
                  <c:v>27</c:v>
                </c:pt>
                <c:pt idx="337">
                  <c:v>27</c:v>
                </c:pt>
                <c:pt idx="338">
                  <c:v>27</c:v>
                </c:pt>
                <c:pt idx="339">
                  <c:v>27</c:v>
                </c:pt>
                <c:pt idx="340">
                  <c:v>27</c:v>
                </c:pt>
                <c:pt idx="341">
                  <c:v>27</c:v>
                </c:pt>
                <c:pt idx="342">
                  <c:v>27</c:v>
                </c:pt>
                <c:pt idx="343">
                  <c:v>27</c:v>
                </c:pt>
                <c:pt idx="344">
                  <c:v>27</c:v>
                </c:pt>
                <c:pt idx="345">
                  <c:v>27</c:v>
                </c:pt>
                <c:pt idx="346">
                  <c:v>27</c:v>
                </c:pt>
                <c:pt idx="347">
                  <c:v>27</c:v>
                </c:pt>
                <c:pt idx="348">
                  <c:v>27</c:v>
                </c:pt>
                <c:pt idx="349">
                  <c:v>27</c:v>
                </c:pt>
                <c:pt idx="350">
                  <c:v>28</c:v>
                </c:pt>
                <c:pt idx="351">
                  <c:v>28</c:v>
                </c:pt>
                <c:pt idx="352">
                  <c:v>28</c:v>
                </c:pt>
                <c:pt idx="353">
                  <c:v>28</c:v>
                </c:pt>
                <c:pt idx="354">
                  <c:v>28</c:v>
                </c:pt>
                <c:pt idx="355">
                  <c:v>28</c:v>
                </c:pt>
                <c:pt idx="356">
                  <c:v>28</c:v>
                </c:pt>
                <c:pt idx="357">
                  <c:v>28</c:v>
                </c:pt>
                <c:pt idx="358">
                  <c:v>28</c:v>
                </c:pt>
                <c:pt idx="359">
                  <c:v>28</c:v>
                </c:pt>
                <c:pt idx="360">
                  <c:v>28</c:v>
                </c:pt>
                <c:pt idx="361">
                  <c:v>28</c:v>
                </c:pt>
                <c:pt idx="362">
                  <c:v>28</c:v>
                </c:pt>
                <c:pt idx="363">
                  <c:v>28</c:v>
                </c:pt>
                <c:pt idx="364">
                  <c:v>28</c:v>
                </c:pt>
                <c:pt idx="365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3BE-9041-9B32-DA116BC247BB}"/>
            </c:ext>
          </c:extLst>
        </c:ser>
        <c:ser>
          <c:idx val="8"/>
          <c:order val="8"/>
          <c:tx>
            <c:strRef>
              <c:f>List1!$L$4</c:f>
              <c:strCache>
                <c:ptCount val="1"/>
                <c:pt idx="0">
                  <c:v>2006</c:v>
                </c:pt>
              </c:strCache>
            </c:strRef>
          </c:tx>
          <c:spPr>
            <a:ln w="28800">
              <a:solidFill>
                <a:srgbClr val="FF0000">
                  <a:alpha val="5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List1!$L$5:$L$370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1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3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5</c:v>
                </c:pt>
                <c:pt idx="130">
                  <c:v>5</c:v>
                </c:pt>
                <c:pt idx="131">
                  <c:v>5</c:v>
                </c:pt>
                <c:pt idx="132">
                  <c:v>5</c:v>
                </c:pt>
                <c:pt idx="133">
                  <c:v>5</c:v>
                </c:pt>
                <c:pt idx="134">
                  <c:v>5</c:v>
                </c:pt>
                <c:pt idx="135">
                  <c:v>5</c:v>
                </c:pt>
                <c:pt idx="136">
                  <c:v>6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8</c:v>
                </c:pt>
                <c:pt idx="141">
                  <c:v>8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8</c:v>
                </c:pt>
                <c:pt idx="159">
                  <c:v>8</c:v>
                </c:pt>
                <c:pt idx="160">
                  <c:v>8</c:v>
                </c:pt>
                <c:pt idx="161">
                  <c:v>8</c:v>
                </c:pt>
                <c:pt idx="162">
                  <c:v>8</c:v>
                </c:pt>
                <c:pt idx="163">
                  <c:v>8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9</c:v>
                </c:pt>
                <c:pt idx="168">
                  <c:v>10</c:v>
                </c:pt>
                <c:pt idx="169">
                  <c:v>10</c:v>
                </c:pt>
                <c:pt idx="170">
                  <c:v>11</c:v>
                </c:pt>
                <c:pt idx="171">
                  <c:v>12</c:v>
                </c:pt>
                <c:pt idx="172">
                  <c:v>13</c:v>
                </c:pt>
                <c:pt idx="173">
                  <c:v>13</c:v>
                </c:pt>
                <c:pt idx="174">
                  <c:v>13</c:v>
                </c:pt>
                <c:pt idx="175">
                  <c:v>13</c:v>
                </c:pt>
                <c:pt idx="176">
                  <c:v>13</c:v>
                </c:pt>
                <c:pt idx="177">
                  <c:v>13</c:v>
                </c:pt>
                <c:pt idx="178">
                  <c:v>14</c:v>
                </c:pt>
                <c:pt idx="179">
                  <c:v>14</c:v>
                </c:pt>
                <c:pt idx="180">
                  <c:v>14</c:v>
                </c:pt>
                <c:pt idx="181">
                  <c:v>14</c:v>
                </c:pt>
                <c:pt idx="182">
                  <c:v>14</c:v>
                </c:pt>
                <c:pt idx="183">
                  <c:v>14</c:v>
                </c:pt>
                <c:pt idx="184">
                  <c:v>14</c:v>
                </c:pt>
                <c:pt idx="185">
                  <c:v>14</c:v>
                </c:pt>
                <c:pt idx="186">
                  <c:v>14</c:v>
                </c:pt>
                <c:pt idx="187">
                  <c:v>15</c:v>
                </c:pt>
                <c:pt idx="188">
                  <c:v>15</c:v>
                </c:pt>
                <c:pt idx="189">
                  <c:v>16</c:v>
                </c:pt>
                <c:pt idx="190">
                  <c:v>16</c:v>
                </c:pt>
                <c:pt idx="191">
                  <c:v>16</c:v>
                </c:pt>
                <c:pt idx="192">
                  <c:v>17</c:v>
                </c:pt>
                <c:pt idx="193">
                  <c:v>18</c:v>
                </c:pt>
                <c:pt idx="194">
                  <c:v>19</c:v>
                </c:pt>
                <c:pt idx="195">
                  <c:v>19</c:v>
                </c:pt>
                <c:pt idx="196">
                  <c:v>19</c:v>
                </c:pt>
                <c:pt idx="197">
                  <c:v>19</c:v>
                </c:pt>
                <c:pt idx="198">
                  <c:v>19</c:v>
                </c:pt>
                <c:pt idx="199">
                  <c:v>19</c:v>
                </c:pt>
                <c:pt idx="200">
                  <c:v>19</c:v>
                </c:pt>
                <c:pt idx="201">
                  <c:v>19</c:v>
                </c:pt>
                <c:pt idx="202">
                  <c:v>20</c:v>
                </c:pt>
                <c:pt idx="203">
                  <c:v>20</c:v>
                </c:pt>
                <c:pt idx="204">
                  <c:v>21</c:v>
                </c:pt>
                <c:pt idx="205">
                  <c:v>21</c:v>
                </c:pt>
                <c:pt idx="206">
                  <c:v>21</c:v>
                </c:pt>
                <c:pt idx="207">
                  <c:v>21</c:v>
                </c:pt>
                <c:pt idx="208">
                  <c:v>22</c:v>
                </c:pt>
                <c:pt idx="209">
                  <c:v>23</c:v>
                </c:pt>
                <c:pt idx="210">
                  <c:v>24</c:v>
                </c:pt>
                <c:pt idx="211">
                  <c:v>24</c:v>
                </c:pt>
                <c:pt idx="212">
                  <c:v>25</c:v>
                </c:pt>
                <c:pt idx="213">
                  <c:v>25</c:v>
                </c:pt>
                <c:pt idx="214">
                  <c:v>25</c:v>
                </c:pt>
                <c:pt idx="215">
                  <c:v>25</c:v>
                </c:pt>
                <c:pt idx="216">
                  <c:v>25</c:v>
                </c:pt>
                <c:pt idx="217">
                  <c:v>25</c:v>
                </c:pt>
                <c:pt idx="218">
                  <c:v>25</c:v>
                </c:pt>
                <c:pt idx="219">
                  <c:v>25</c:v>
                </c:pt>
                <c:pt idx="220">
                  <c:v>25</c:v>
                </c:pt>
                <c:pt idx="221">
                  <c:v>25</c:v>
                </c:pt>
                <c:pt idx="222">
                  <c:v>25</c:v>
                </c:pt>
                <c:pt idx="223">
                  <c:v>25</c:v>
                </c:pt>
                <c:pt idx="224">
                  <c:v>25</c:v>
                </c:pt>
                <c:pt idx="225">
                  <c:v>26</c:v>
                </c:pt>
                <c:pt idx="226">
                  <c:v>26</c:v>
                </c:pt>
                <c:pt idx="227">
                  <c:v>26</c:v>
                </c:pt>
                <c:pt idx="228">
                  <c:v>26</c:v>
                </c:pt>
                <c:pt idx="229">
                  <c:v>26</c:v>
                </c:pt>
                <c:pt idx="230">
                  <c:v>26</c:v>
                </c:pt>
                <c:pt idx="231">
                  <c:v>26</c:v>
                </c:pt>
                <c:pt idx="232">
                  <c:v>27</c:v>
                </c:pt>
                <c:pt idx="233">
                  <c:v>27</c:v>
                </c:pt>
                <c:pt idx="234">
                  <c:v>27</c:v>
                </c:pt>
                <c:pt idx="235">
                  <c:v>27</c:v>
                </c:pt>
                <c:pt idx="236">
                  <c:v>27</c:v>
                </c:pt>
                <c:pt idx="237">
                  <c:v>27</c:v>
                </c:pt>
                <c:pt idx="238">
                  <c:v>28</c:v>
                </c:pt>
                <c:pt idx="239">
                  <c:v>29</c:v>
                </c:pt>
                <c:pt idx="240">
                  <c:v>29</c:v>
                </c:pt>
                <c:pt idx="241">
                  <c:v>29</c:v>
                </c:pt>
                <c:pt idx="242">
                  <c:v>29</c:v>
                </c:pt>
                <c:pt idx="243">
                  <c:v>29</c:v>
                </c:pt>
                <c:pt idx="244">
                  <c:v>29</c:v>
                </c:pt>
                <c:pt idx="245">
                  <c:v>29</c:v>
                </c:pt>
                <c:pt idx="246">
                  <c:v>29</c:v>
                </c:pt>
                <c:pt idx="247">
                  <c:v>29</c:v>
                </c:pt>
                <c:pt idx="248">
                  <c:v>29</c:v>
                </c:pt>
                <c:pt idx="249">
                  <c:v>29</c:v>
                </c:pt>
                <c:pt idx="250">
                  <c:v>29</c:v>
                </c:pt>
                <c:pt idx="251">
                  <c:v>29</c:v>
                </c:pt>
                <c:pt idx="252">
                  <c:v>29</c:v>
                </c:pt>
                <c:pt idx="253">
                  <c:v>29</c:v>
                </c:pt>
                <c:pt idx="254">
                  <c:v>29</c:v>
                </c:pt>
                <c:pt idx="255">
                  <c:v>29</c:v>
                </c:pt>
                <c:pt idx="256">
                  <c:v>29</c:v>
                </c:pt>
                <c:pt idx="257">
                  <c:v>29</c:v>
                </c:pt>
                <c:pt idx="258">
                  <c:v>29</c:v>
                </c:pt>
                <c:pt idx="259">
                  <c:v>29</c:v>
                </c:pt>
                <c:pt idx="260">
                  <c:v>29</c:v>
                </c:pt>
                <c:pt idx="261">
                  <c:v>29</c:v>
                </c:pt>
                <c:pt idx="262">
                  <c:v>29</c:v>
                </c:pt>
                <c:pt idx="263">
                  <c:v>29</c:v>
                </c:pt>
                <c:pt idx="264">
                  <c:v>29</c:v>
                </c:pt>
                <c:pt idx="265">
                  <c:v>29</c:v>
                </c:pt>
                <c:pt idx="266">
                  <c:v>29</c:v>
                </c:pt>
                <c:pt idx="267">
                  <c:v>29</c:v>
                </c:pt>
                <c:pt idx="268">
                  <c:v>29</c:v>
                </c:pt>
                <c:pt idx="269">
                  <c:v>29</c:v>
                </c:pt>
                <c:pt idx="270">
                  <c:v>29</c:v>
                </c:pt>
                <c:pt idx="271">
                  <c:v>29</c:v>
                </c:pt>
                <c:pt idx="272">
                  <c:v>29</c:v>
                </c:pt>
                <c:pt idx="273">
                  <c:v>29</c:v>
                </c:pt>
                <c:pt idx="274">
                  <c:v>30</c:v>
                </c:pt>
                <c:pt idx="275">
                  <c:v>30</c:v>
                </c:pt>
                <c:pt idx="276">
                  <c:v>30</c:v>
                </c:pt>
                <c:pt idx="277">
                  <c:v>30</c:v>
                </c:pt>
                <c:pt idx="278">
                  <c:v>30</c:v>
                </c:pt>
                <c:pt idx="279">
                  <c:v>30</c:v>
                </c:pt>
                <c:pt idx="280">
                  <c:v>30</c:v>
                </c:pt>
                <c:pt idx="281">
                  <c:v>30</c:v>
                </c:pt>
                <c:pt idx="282">
                  <c:v>30</c:v>
                </c:pt>
                <c:pt idx="283">
                  <c:v>30</c:v>
                </c:pt>
                <c:pt idx="284">
                  <c:v>30</c:v>
                </c:pt>
                <c:pt idx="285">
                  <c:v>30</c:v>
                </c:pt>
                <c:pt idx="286">
                  <c:v>30</c:v>
                </c:pt>
                <c:pt idx="287">
                  <c:v>30</c:v>
                </c:pt>
                <c:pt idx="288">
                  <c:v>30</c:v>
                </c:pt>
                <c:pt idx="289">
                  <c:v>30</c:v>
                </c:pt>
                <c:pt idx="290">
                  <c:v>30</c:v>
                </c:pt>
                <c:pt idx="291">
                  <c:v>30</c:v>
                </c:pt>
                <c:pt idx="292">
                  <c:v>30</c:v>
                </c:pt>
                <c:pt idx="293">
                  <c:v>30</c:v>
                </c:pt>
                <c:pt idx="294">
                  <c:v>30</c:v>
                </c:pt>
                <c:pt idx="295">
                  <c:v>30</c:v>
                </c:pt>
                <c:pt idx="296">
                  <c:v>30</c:v>
                </c:pt>
                <c:pt idx="297">
                  <c:v>30</c:v>
                </c:pt>
                <c:pt idx="298">
                  <c:v>30</c:v>
                </c:pt>
                <c:pt idx="299">
                  <c:v>30</c:v>
                </c:pt>
                <c:pt idx="300">
                  <c:v>30</c:v>
                </c:pt>
                <c:pt idx="301">
                  <c:v>30</c:v>
                </c:pt>
                <c:pt idx="302">
                  <c:v>31</c:v>
                </c:pt>
                <c:pt idx="303">
                  <c:v>31</c:v>
                </c:pt>
                <c:pt idx="304">
                  <c:v>31</c:v>
                </c:pt>
                <c:pt idx="305">
                  <c:v>31</c:v>
                </c:pt>
                <c:pt idx="306">
                  <c:v>31</c:v>
                </c:pt>
                <c:pt idx="307">
                  <c:v>31</c:v>
                </c:pt>
                <c:pt idx="308">
                  <c:v>31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  <c:pt idx="343">
                  <c:v>31</c:v>
                </c:pt>
                <c:pt idx="344">
                  <c:v>31</c:v>
                </c:pt>
                <c:pt idx="345">
                  <c:v>31</c:v>
                </c:pt>
                <c:pt idx="346">
                  <c:v>31</c:v>
                </c:pt>
                <c:pt idx="347">
                  <c:v>31</c:v>
                </c:pt>
                <c:pt idx="348">
                  <c:v>31</c:v>
                </c:pt>
                <c:pt idx="349">
                  <c:v>31</c:v>
                </c:pt>
                <c:pt idx="350">
                  <c:v>31</c:v>
                </c:pt>
                <c:pt idx="351">
                  <c:v>31</c:v>
                </c:pt>
                <c:pt idx="352">
                  <c:v>31</c:v>
                </c:pt>
                <c:pt idx="353">
                  <c:v>31</c:v>
                </c:pt>
                <c:pt idx="354">
                  <c:v>31</c:v>
                </c:pt>
                <c:pt idx="355">
                  <c:v>31</c:v>
                </c:pt>
                <c:pt idx="356">
                  <c:v>31</c:v>
                </c:pt>
                <c:pt idx="357">
                  <c:v>31</c:v>
                </c:pt>
                <c:pt idx="358">
                  <c:v>31</c:v>
                </c:pt>
                <c:pt idx="359">
                  <c:v>31</c:v>
                </c:pt>
                <c:pt idx="360">
                  <c:v>31</c:v>
                </c:pt>
                <c:pt idx="361">
                  <c:v>31</c:v>
                </c:pt>
                <c:pt idx="362">
                  <c:v>31</c:v>
                </c:pt>
                <c:pt idx="363">
                  <c:v>31</c:v>
                </c:pt>
                <c:pt idx="364">
                  <c:v>31</c:v>
                </c:pt>
                <c:pt idx="365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3BE-9041-9B32-DA116BC247BB}"/>
            </c:ext>
          </c:extLst>
        </c:ser>
        <c:ser>
          <c:idx val="9"/>
          <c:order val="9"/>
          <c:tx>
            <c:strRef>
              <c:f>List1!$M$4</c:f>
              <c:strCache>
                <c:ptCount val="1"/>
                <c:pt idx="0">
                  <c:v>2007</c:v>
                </c:pt>
              </c:strCache>
            </c:strRef>
          </c:tx>
          <c:spPr>
            <a:ln w="28800">
              <a:solidFill>
                <a:srgbClr val="BF0041">
                  <a:alpha val="5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List1!$M$5:$M$370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5</c:v>
                </c:pt>
                <c:pt idx="143">
                  <c:v>5</c:v>
                </c:pt>
                <c:pt idx="144">
                  <c:v>5</c:v>
                </c:pt>
                <c:pt idx="145">
                  <c:v>6</c:v>
                </c:pt>
                <c:pt idx="146">
                  <c:v>7</c:v>
                </c:pt>
                <c:pt idx="147">
                  <c:v>8</c:v>
                </c:pt>
                <c:pt idx="148">
                  <c:v>9</c:v>
                </c:pt>
                <c:pt idx="149">
                  <c:v>9</c:v>
                </c:pt>
                <c:pt idx="150">
                  <c:v>9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9</c:v>
                </c:pt>
                <c:pt idx="156">
                  <c:v>9</c:v>
                </c:pt>
                <c:pt idx="157">
                  <c:v>10</c:v>
                </c:pt>
                <c:pt idx="158">
                  <c:v>11</c:v>
                </c:pt>
                <c:pt idx="159">
                  <c:v>11</c:v>
                </c:pt>
                <c:pt idx="160">
                  <c:v>12</c:v>
                </c:pt>
                <c:pt idx="161">
                  <c:v>12</c:v>
                </c:pt>
                <c:pt idx="162">
                  <c:v>12</c:v>
                </c:pt>
                <c:pt idx="163">
                  <c:v>13</c:v>
                </c:pt>
                <c:pt idx="164">
                  <c:v>13</c:v>
                </c:pt>
                <c:pt idx="165">
                  <c:v>14</c:v>
                </c:pt>
                <c:pt idx="166">
                  <c:v>15</c:v>
                </c:pt>
                <c:pt idx="167">
                  <c:v>15</c:v>
                </c:pt>
                <c:pt idx="168">
                  <c:v>15</c:v>
                </c:pt>
                <c:pt idx="169">
                  <c:v>15</c:v>
                </c:pt>
                <c:pt idx="170">
                  <c:v>15</c:v>
                </c:pt>
                <c:pt idx="171">
                  <c:v>15</c:v>
                </c:pt>
                <c:pt idx="172">
                  <c:v>16</c:v>
                </c:pt>
                <c:pt idx="173">
                  <c:v>16</c:v>
                </c:pt>
                <c:pt idx="174">
                  <c:v>16</c:v>
                </c:pt>
                <c:pt idx="175">
                  <c:v>16</c:v>
                </c:pt>
                <c:pt idx="176">
                  <c:v>16</c:v>
                </c:pt>
                <c:pt idx="177">
                  <c:v>16</c:v>
                </c:pt>
                <c:pt idx="178">
                  <c:v>16</c:v>
                </c:pt>
                <c:pt idx="179">
                  <c:v>16</c:v>
                </c:pt>
                <c:pt idx="180">
                  <c:v>16</c:v>
                </c:pt>
                <c:pt idx="181">
                  <c:v>16</c:v>
                </c:pt>
                <c:pt idx="182">
                  <c:v>17</c:v>
                </c:pt>
                <c:pt idx="183">
                  <c:v>18</c:v>
                </c:pt>
                <c:pt idx="184">
                  <c:v>18</c:v>
                </c:pt>
                <c:pt idx="185">
                  <c:v>18</c:v>
                </c:pt>
                <c:pt idx="186">
                  <c:v>18</c:v>
                </c:pt>
                <c:pt idx="187">
                  <c:v>18</c:v>
                </c:pt>
                <c:pt idx="188">
                  <c:v>18</c:v>
                </c:pt>
                <c:pt idx="189">
                  <c:v>18</c:v>
                </c:pt>
                <c:pt idx="190">
                  <c:v>19</c:v>
                </c:pt>
                <c:pt idx="191">
                  <c:v>19</c:v>
                </c:pt>
                <c:pt idx="192">
                  <c:v>20</c:v>
                </c:pt>
                <c:pt idx="193">
                  <c:v>20</c:v>
                </c:pt>
                <c:pt idx="194">
                  <c:v>20</c:v>
                </c:pt>
                <c:pt idx="195">
                  <c:v>20</c:v>
                </c:pt>
                <c:pt idx="196">
                  <c:v>20</c:v>
                </c:pt>
                <c:pt idx="197">
                  <c:v>20</c:v>
                </c:pt>
                <c:pt idx="198">
                  <c:v>20</c:v>
                </c:pt>
                <c:pt idx="199">
                  <c:v>20</c:v>
                </c:pt>
                <c:pt idx="200">
                  <c:v>21</c:v>
                </c:pt>
                <c:pt idx="201">
                  <c:v>22</c:v>
                </c:pt>
                <c:pt idx="202">
                  <c:v>22</c:v>
                </c:pt>
                <c:pt idx="203">
                  <c:v>23</c:v>
                </c:pt>
                <c:pt idx="204">
                  <c:v>23</c:v>
                </c:pt>
                <c:pt idx="205">
                  <c:v>23</c:v>
                </c:pt>
                <c:pt idx="206">
                  <c:v>23</c:v>
                </c:pt>
                <c:pt idx="207">
                  <c:v>23</c:v>
                </c:pt>
                <c:pt idx="208">
                  <c:v>23</c:v>
                </c:pt>
                <c:pt idx="209">
                  <c:v>23</c:v>
                </c:pt>
                <c:pt idx="210">
                  <c:v>23</c:v>
                </c:pt>
                <c:pt idx="211">
                  <c:v>23</c:v>
                </c:pt>
                <c:pt idx="212">
                  <c:v>23</c:v>
                </c:pt>
                <c:pt idx="213">
                  <c:v>23</c:v>
                </c:pt>
                <c:pt idx="214">
                  <c:v>23</c:v>
                </c:pt>
                <c:pt idx="215">
                  <c:v>23</c:v>
                </c:pt>
                <c:pt idx="216">
                  <c:v>23</c:v>
                </c:pt>
                <c:pt idx="217">
                  <c:v>23</c:v>
                </c:pt>
                <c:pt idx="218">
                  <c:v>23</c:v>
                </c:pt>
                <c:pt idx="219">
                  <c:v>24</c:v>
                </c:pt>
                <c:pt idx="220">
                  <c:v>25</c:v>
                </c:pt>
                <c:pt idx="221">
                  <c:v>26</c:v>
                </c:pt>
                <c:pt idx="222">
                  <c:v>27</c:v>
                </c:pt>
                <c:pt idx="223">
                  <c:v>27</c:v>
                </c:pt>
                <c:pt idx="224">
                  <c:v>27</c:v>
                </c:pt>
                <c:pt idx="225">
                  <c:v>27</c:v>
                </c:pt>
                <c:pt idx="226">
                  <c:v>27</c:v>
                </c:pt>
                <c:pt idx="227">
                  <c:v>27</c:v>
                </c:pt>
                <c:pt idx="228">
                  <c:v>27</c:v>
                </c:pt>
                <c:pt idx="229">
                  <c:v>27</c:v>
                </c:pt>
                <c:pt idx="230">
                  <c:v>27</c:v>
                </c:pt>
                <c:pt idx="231">
                  <c:v>28</c:v>
                </c:pt>
                <c:pt idx="232">
                  <c:v>28</c:v>
                </c:pt>
                <c:pt idx="233">
                  <c:v>29</c:v>
                </c:pt>
                <c:pt idx="234">
                  <c:v>30</c:v>
                </c:pt>
                <c:pt idx="235">
                  <c:v>31</c:v>
                </c:pt>
                <c:pt idx="236">
                  <c:v>32</c:v>
                </c:pt>
                <c:pt idx="237">
                  <c:v>32</c:v>
                </c:pt>
                <c:pt idx="238">
                  <c:v>32</c:v>
                </c:pt>
                <c:pt idx="239">
                  <c:v>32</c:v>
                </c:pt>
                <c:pt idx="240">
                  <c:v>32</c:v>
                </c:pt>
                <c:pt idx="241">
                  <c:v>32</c:v>
                </c:pt>
                <c:pt idx="242">
                  <c:v>32</c:v>
                </c:pt>
                <c:pt idx="243">
                  <c:v>32</c:v>
                </c:pt>
                <c:pt idx="244">
                  <c:v>32</c:v>
                </c:pt>
                <c:pt idx="245">
                  <c:v>32</c:v>
                </c:pt>
                <c:pt idx="246">
                  <c:v>32</c:v>
                </c:pt>
                <c:pt idx="247">
                  <c:v>32</c:v>
                </c:pt>
                <c:pt idx="248">
                  <c:v>32</c:v>
                </c:pt>
                <c:pt idx="249">
                  <c:v>32</c:v>
                </c:pt>
                <c:pt idx="250">
                  <c:v>32</c:v>
                </c:pt>
                <c:pt idx="251">
                  <c:v>32</c:v>
                </c:pt>
                <c:pt idx="252">
                  <c:v>32</c:v>
                </c:pt>
                <c:pt idx="253">
                  <c:v>32</c:v>
                </c:pt>
                <c:pt idx="254">
                  <c:v>32</c:v>
                </c:pt>
                <c:pt idx="255">
                  <c:v>32</c:v>
                </c:pt>
                <c:pt idx="256">
                  <c:v>32</c:v>
                </c:pt>
                <c:pt idx="257">
                  <c:v>32</c:v>
                </c:pt>
                <c:pt idx="258">
                  <c:v>32</c:v>
                </c:pt>
                <c:pt idx="259">
                  <c:v>32</c:v>
                </c:pt>
                <c:pt idx="260">
                  <c:v>32</c:v>
                </c:pt>
                <c:pt idx="261">
                  <c:v>32</c:v>
                </c:pt>
                <c:pt idx="262">
                  <c:v>32</c:v>
                </c:pt>
                <c:pt idx="263">
                  <c:v>32</c:v>
                </c:pt>
                <c:pt idx="264">
                  <c:v>32</c:v>
                </c:pt>
                <c:pt idx="265">
                  <c:v>32</c:v>
                </c:pt>
                <c:pt idx="266">
                  <c:v>32</c:v>
                </c:pt>
                <c:pt idx="267">
                  <c:v>32</c:v>
                </c:pt>
                <c:pt idx="268">
                  <c:v>32</c:v>
                </c:pt>
                <c:pt idx="269">
                  <c:v>32</c:v>
                </c:pt>
                <c:pt idx="270">
                  <c:v>32</c:v>
                </c:pt>
                <c:pt idx="271">
                  <c:v>32</c:v>
                </c:pt>
                <c:pt idx="272">
                  <c:v>32</c:v>
                </c:pt>
                <c:pt idx="273">
                  <c:v>32</c:v>
                </c:pt>
                <c:pt idx="274">
                  <c:v>32</c:v>
                </c:pt>
                <c:pt idx="275">
                  <c:v>32</c:v>
                </c:pt>
                <c:pt idx="276">
                  <c:v>32</c:v>
                </c:pt>
                <c:pt idx="277">
                  <c:v>32</c:v>
                </c:pt>
                <c:pt idx="278">
                  <c:v>32</c:v>
                </c:pt>
                <c:pt idx="279">
                  <c:v>32</c:v>
                </c:pt>
                <c:pt idx="280">
                  <c:v>32</c:v>
                </c:pt>
                <c:pt idx="281">
                  <c:v>32</c:v>
                </c:pt>
                <c:pt idx="282">
                  <c:v>32</c:v>
                </c:pt>
                <c:pt idx="283">
                  <c:v>32</c:v>
                </c:pt>
                <c:pt idx="284">
                  <c:v>32</c:v>
                </c:pt>
                <c:pt idx="285">
                  <c:v>32</c:v>
                </c:pt>
                <c:pt idx="286">
                  <c:v>32</c:v>
                </c:pt>
                <c:pt idx="287">
                  <c:v>32</c:v>
                </c:pt>
                <c:pt idx="288">
                  <c:v>32</c:v>
                </c:pt>
                <c:pt idx="289">
                  <c:v>32</c:v>
                </c:pt>
                <c:pt idx="290">
                  <c:v>32</c:v>
                </c:pt>
                <c:pt idx="291">
                  <c:v>32</c:v>
                </c:pt>
                <c:pt idx="292">
                  <c:v>32</c:v>
                </c:pt>
                <c:pt idx="293">
                  <c:v>32</c:v>
                </c:pt>
                <c:pt idx="294">
                  <c:v>32</c:v>
                </c:pt>
                <c:pt idx="295">
                  <c:v>32</c:v>
                </c:pt>
                <c:pt idx="296">
                  <c:v>32</c:v>
                </c:pt>
                <c:pt idx="297">
                  <c:v>32</c:v>
                </c:pt>
                <c:pt idx="298">
                  <c:v>32</c:v>
                </c:pt>
                <c:pt idx="299">
                  <c:v>32</c:v>
                </c:pt>
                <c:pt idx="300">
                  <c:v>32</c:v>
                </c:pt>
                <c:pt idx="301">
                  <c:v>32</c:v>
                </c:pt>
                <c:pt idx="302">
                  <c:v>32</c:v>
                </c:pt>
                <c:pt idx="303">
                  <c:v>32</c:v>
                </c:pt>
                <c:pt idx="304">
                  <c:v>32</c:v>
                </c:pt>
                <c:pt idx="305">
                  <c:v>32</c:v>
                </c:pt>
                <c:pt idx="306">
                  <c:v>32</c:v>
                </c:pt>
                <c:pt idx="307">
                  <c:v>32</c:v>
                </c:pt>
                <c:pt idx="308">
                  <c:v>32</c:v>
                </c:pt>
                <c:pt idx="309">
                  <c:v>32</c:v>
                </c:pt>
                <c:pt idx="310">
                  <c:v>32</c:v>
                </c:pt>
                <c:pt idx="311">
                  <c:v>32</c:v>
                </c:pt>
                <c:pt idx="312">
                  <c:v>32</c:v>
                </c:pt>
                <c:pt idx="313">
                  <c:v>32</c:v>
                </c:pt>
                <c:pt idx="314">
                  <c:v>32</c:v>
                </c:pt>
                <c:pt idx="315">
                  <c:v>32</c:v>
                </c:pt>
                <c:pt idx="316">
                  <c:v>32</c:v>
                </c:pt>
                <c:pt idx="317">
                  <c:v>32</c:v>
                </c:pt>
                <c:pt idx="318">
                  <c:v>32</c:v>
                </c:pt>
                <c:pt idx="319">
                  <c:v>32</c:v>
                </c:pt>
                <c:pt idx="320">
                  <c:v>32</c:v>
                </c:pt>
                <c:pt idx="321">
                  <c:v>32</c:v>
                </c:pt>
                <c:pt idx="322">
                  <c:v>32</c:v>
                </c:pt>
                <c:pt idx="323">
                  <c:v>32</c:v>
                </c:pt>
                <c:pt idx="324">
                  <c:v>32</c:v>
                </c:pt>
                <c:pt idx="325">
                  <c:v>32</c:v>
                </c:pt>
                <c:pt idx="326">
                  <c:v>32</c:v>
                </c:pt>
                <c:pt idx="327">
                  <c:v>32</c:v>
                </c:pt>
                <c:pt idx="328">
                  <c:v>32</c:v>
                </c:pt>
                <c:pt idx="329">
                  <c:v>32</c:v>
                </c:pt>
                <c:pt idx="330">
                  <c:v>32</c:v>
                </c:pt>
                <c:pt idx="331">
                  <c:v>32</c:v>
                </c:pt>
                <c:pt idx="332">
                  <c:v>32</c:v>
                </c:pt>
                <c:pt idx="333">
                  <c:v>32</c:v>
                </c:pt>
                <c:pt idx="334">
                  <c:v>32</c:v>
                </c:pt>
                <c:pt idx="335">
                  <c:v>32</c:v>
                </c:pt>
                <c:pt idx="336">
                  <c:v>32</c:v>
                </c:pt>
                <c:pt idx="337">
                  <c:v>33</c:v>
                </c:pt>
                <c:pt idx="338">
                  <c:v>33</c:v>
                </c:pt>
                <c:pt idx="339">
                  <c:v>33</c:v>
                </c:pt>
                <c:pt idx="340">
                  <c:v>33</c:v>
                </c:pt>
                <c:pt idx="341">
                  <c:v>33</c:v>
                </c:pt>
                <c:pt idx="342">
                  <c:v>33</c:v>
                </c:pt>
                <c:pt idx="343">
                  <c:v>33</c:v>
                </c:pt>
                <c:pt idx="344">
                  <c:v>33</c:v>
                </c:pt>
                <c:pt idx="345">
                  <c:v>33</c:v>
                </c:pt>
                <c:pt idx="346">
                  <c:v>33</c:v>
                </c:pt>
                <c:pt idx="347">
                  <c:v>33</c:v>
                </c:pt>
                <c:pt idx="348">
                  <c:v>33</c:v>
                </c:pt>
                <c:pt idx="349">
                  <c:v>33</c:v>
                </c:pt>
                <c:pt idx="350">
                  <c:v>33</c:v>
                </c:pt>
                <c:pt idx="351">
                  <c:v>33</c:v>
                </c:pt>
                <c:pt idx="352">
                  <c:v>33</c:v>
                </c:pt>
                <c:pt idx="353">
                  <c:v>33</c:v>
                </c:pt>
                <c:pt idx="354">
                  <c:v>33</c:v>
                </c:pt>
                <c:pt idx="355">
                  <c:v>33</c:v>
                </c:pt>
                <c:pt idx="356">
                  <c:v>33</c:v>
                </c:pt>
                <c:pt idx="357">
                  <c:v>33</c:v>
                </c:pt>
                <c:pt idx="358">
                  <c:v>33</c:v>
                </c:pt>
                <c:pt idx="359">
                  <c:v>33</c:v>
                </c:pt>
                <c:pt idx="360">
                  <c:v>33</c:v>
                </c:pt>
                <c:pt idx="361">
                  <c:v>33</c:v>
                </c:pt>
                <c:pt idx="362">
                  <c:v>33</c:v>
                </c:pt>
                <c:pt idx="363">
                  <c:v>33</c:v>
                </c:pt>
                <c:pt idx="364">
                  <c:v>33</c:v>
                </c:pt>
                <c:pt idx="365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3BE-9041-9B32-DA116BC247BB}"/>
            </c:ext>
          </c:extLst>
        </c:ser>
        <c:ser>
          <c:idx val="10"/>
          <c:order val="10"/>
          <c:tx>
            <c:strRef>
              <c:f>List1!$N$4</c:f>
              <c:strCache>
                <c:ptCount val="1"/>
                <c:pt idx="0">
                  <c:v>2008</c:v>
                </c:pt>
              </c:strCache>
            </c:strRef>
          </c:tx>
          <c:spPr>
            <a:ln w="28800">
              <a:solidFill>
                <a:srgbClr val="800080">
                  <a:alpha val="6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List1!$N$5:$N$370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5</c:v>
                </c:pt>
                <c:pt idx="127">
                  <c:v>5</c:v>
                </c:pt>
                <c:pt idx="128">
                  <c:v>5</c:v>
                </c:pt>
                <c:pt idx="129">
                  <c:v>5</c:v>
                </c:pt>
                <c:pt idx="130">
                  <c:v>5</c:v>
                </c:pt>
                <c:pt idx="131">
                  <c:v>5</c:v>
                </c:pt>
                <c:pt idx="132">
                  <c:v>5</c:v>
                </c:pt>
                <c:pt idx="133">
                  <c:v>6</c:v>
                </c:pt>
                <c:pt idx="134">
                  <c:v>7</c:v>
                </c:pt>
                <c:pt idx="135">
                  <c:v>8</c:v>
                </c:pt>
                <c:pt idx="136">
                  <c:v>9</c:v>
                </c:pt>
                <c:pt idx="137">
                  <c:v>10</c:v>
                </c:pt>
                <c:pt idx="138">
                  <c:v>10</c:v>
                </c:pt>
                <c:pt idx="139">
                  <c:v>10</c:v>
                </c:pt>
                <c:pt idx="140">
                  <c:v>10</c:v>
                </c:pt>
                <c:pt idx="141">
                  <c:v>10</c:v>
                </c:pt>
                <c:pt idx="142">
                  <c:v>10</c:v>
                </c:pt>
                <c:pt idx="143">
                  <c:v>10</c:v>
                </c:pt>
                <c:pt idx="144">
                  <c:v>10</c:v>
                </c:pt>
                <c:pt idx="145">
                  <c:v>10</c:v>
                </c:pt>
                <c:pt idx="146">
                  <c:v>10</c:v>
                </c:pt>
                <c:pt idx="147">
                  <c:v>10</c:v>
                </c:pt>
                <c:pt idx="148">
                  <c:v>10</c:v>
                </c:pt>
                <c:pt idx="149">
                  <c:v>10</c:v>
                </c:pt>
                <c:pt idx="150">
                  <c:v>10</c:v>
                </c:pt>
                <c:pt idx="151">
                  <c:v>10</c:v>
                </c:pt>
                <c:pt idx="152">
                  <c:v>11</c:v>
                </c:pt>
                <c:pt idx="153">
                  <c:v>11</c:v>
                </c:pt>
                <c:pt idx="154">
                  <c:v>11</c:v>
                </c:pt>
                <c:pt idx="155">
                  <c:v>12</c:v>
                </c:pt>
                <c:pt idx="156">
                  <c:v>12</c:v>
                </c:pt>
                <c:pt idx="157">
                  <c:v>12</c:v>
                </c:pt>
                <c:pt idx="158">
                  <c:v>13</c:v>
                </c:pt>
                <c:pt idx="159">
                  <c:v>14</c:v>
                </c:pt>
                <c:pt idx="160">
                  <c:v>15</c:v>
                </c:pt>
                <c:pt idx="161">
                  <c:v>15</c:v>
                </c:pt>
                <c:pt idx="162">
                  <c:v>15</c:v>
                </c:pt>
                <c:pt idx="163">
                  <c:v>15</c:v>
                </c:pt>
                <c:pt idx="164">
                  <c:v>15</c:v>
                </c:pt>
                <c:pt idx="165">
                  <c:v>15</c:v>
                </c:pt>
                <c:pt idx="166">
                  <c:v>16</c:v>
                </c:pt>
                <c:pt idx="167">
                  <c:v>16</c:v>
                </c:pt>
                <c:pt idx="168">
                  <c:v>16</c:v>
                </c:pt>
                <c:pt idx="169">
                  <c:v>16</c:v>
                </c:pt>
                <c:pt idx="170">
                  <c:v>16</c:v>
                </c:pt>
                <c:pt idx="171">
                  <c:v>16</c:v>
                </c:pt>
                <c:pt idx="172">
                  <c:v>16</c:v>
                </c:pt>
                <c:pt idx="173">
                  <c:v>17</c:v>
                </c:pt>
                <c:pt idx="174">
                  <c:v>17</c:v>
                </c:pt>
                <c:pt idx="175">
                  <c:v>17</c:v>
                </c:pt>
                <c:pt idx="176">
                  <c:v>18</c:v>
                </c:pt>
                <c:pt idx="177">
                  <c:v>18</c:v>
                </c:pt>
                <c:pt idx="178">
                  <c:v>18</c:v>
                </c:pt>
                <c:pt idx="179">
                  <c:v>18</c:v>
                </c:pt>
                <c:pt idx="180">
                  <c:v>18</c:v>
                </c:pt>
                <c:pt idx="181">
                  <c:v>18</c:v>
                </c:pt>
                <c:pt idx="182">
                  <c:v>18</c:v>
                </c:pt>
                <c:pt idx="183">
                  <c:v>18</c:v>
                </c:pt>
                <c:pt idx="184">
                  <c:v>19</c:v>
                </c:pt>
                <c:pt idx="185">
                  <c:v>19</c:v>
                </c:pt>
                <c:pt idx="186">
                  <c:v>19</c:v>
                </c:pt>
                <c:pt idx="187">
                  <c:v>19</c:v>
                </c:pt>
                <c:pt idx="188">
                  <c:v>19</c:v>
                </c:pt>
                <c:pt idx="189">
                  <c:v>19</c:v>
                </c:pt>
                <c:pt idx="190">
                  <c:v>19</c:v>
                </c:pt>
                <c:pt idx="191">
                  <c:v>19</c:v>
                </c:pt>
                <c:pt idx="192">
                  <c:v>20</c:v>
                </c:pt>
                <c:pt idx="193">
                  <c:v>20</c:v>
                </c:pt>
                <c:pt idx="194">
                  <c:v>20</c:v>
                </c:pt>
                <c:pt idx="195">
                  <c:v>20</c:v>
                </c:pt>
                <c:pt idx="196">
                  <c:v>20</c:v>
                </c:pt>
                <c:pt idx="197">
                  <c:v>20</c:v>
                </c:pt>
                <c:pt idx="198">
                  <c:v>20</c:v>
                </c:pt>
                <c:pt idx="199">
                  <c:v>20</c:v>
                </c:pt>
                <c:pt idx="200">
                  <c:v>20</c:v>
                </c:pt>
                <c:pt idx="201">
                  <c:v>20</c:v>
                </c:pt>
                <c:pt idx="202">
                  <c:v>20</c:v>
                </c:pt>
                <c:pt idx="203">
                  <c:v>20</c:v>
                </c:pt>
                <c:pt idx="204">
                  <c:v>20</c:v>
                </c:pt>
                <c:pt idx="205">
                  <c:v>20</c:v>
                </c:pt>
                <c:pt idx="206">
                  <c:v>20</c:v>
                </c:pt>
                <c:pt idx="207">
                  <c:v>21</c:v>
                </c:pt>
                <c:pt idx="208">
                  <c:v>21</c:v>
                </c:pt>
                <c:pt idx="209">
                  <c:v>21</c:v>
                </c:pt>
                <c:pt idx="210">
                  <c:v>21</c:v>
                </c:pt>
                <c:pt idx="211">
                  <c:v>21</c:v>
                </c:pt>
                <c:pt idx="212">
                  <c:v>21</c:v>
                </c:pt>
                <c:pt idx="213">
                  <c:v>22</c:v>
                </c:pt>
                <c:pt idx="214">
                  <c:v>22</c:v>
                </c:pt>
                <c:pt idx="215">
                  <c:v>22</c:v>
                </c:pt>
                <c:pt idx="216">
                  <c:v>22</c:v>
                </c:pt>
                <c:pt idx="217">
                  <c:v>22</c:v>
                </c:pt>
                <c:pt idx="218">
                  <c:v>22</c:v>
                </c:pt>
                <c:pt idx="219">
                  <c:v>23</c:v>
                </c:pt>
                <c:pt idx="220">
                  <c:v>24</c:v>
                </c:pt>
                <c:pt idx="221">
                  <c:v>24</c:v>
                </c:pt>
                <c:pt idx="222">
                  <c:v>24</c:v>
                </c:pt>
                <c:pt idx="223">
                  <c:v>24</c:v>
                </c:pt>
                <c:pt idx="224">
                  <c:v>24</c:v>
                </c:pt>
                <c:pt idx="225">
                  <c:v>24</c:v>
                </c:pt>
                <c:pt idx="226">
                  <c:v>24</c:v>
                </c:pt>
                <c:pt idx="227">
                  <c:v>24</c:v>
                </c:pt>
                <c:pt idx="228">
                  <c:v>24</c:v>
                </c:pt>
                <c:pt idx="229">
                  <c:v>24</c:v>
                </c:pt>
                <c:pt idx="230">
                  <c:v>24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25</c:v>
                </c:pt>
                <c:pt idx="235">
                  <c:v>25</c:v>
                </c:pt>
                <c:pt idx="236">
                  <c:v>25</c:v>
                </c:pt>
                <c:pt idx="237">
                  <c:v>25</c:v>
                </c:pt>
                <c:pt idx="238">
                  <c:v>25</c:v>
                </c:pt>
                <c:pt idx="239">
                  <c:v>25</c:v>
                </c:pt>
                <c:pt idx="240">
                  <c:v>25</c:v>
                </c:pt>
                <c:pt idx="241">
                  <c:v>25</c:v>
                </c:pt>
                <c:pt idx="242">
                  <c:v>25</c:v>
                </c:pt>
                <c:pt idx="243">
                  <c:v>25</c:v>
                </c:pt>
                <c:pt idx="244">
                  <c:v>25</c:v>
                </c:pt>
                <c:pt idx="245">
                  <c:v>25</c:v>
                </c:pt>
                <c:pt idx="246">
                  <c:v>25</c:v>
                </c:pt>
                <c:pt idx="247">
                  <c:v>25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26</c:v>
                </c:pt>
                <c:pt idx="252">
                  <c:v>26</c:v>
                </c:pt>
                <c:pt idx="253">
                  <c:v>26</c:v>
                </c:pt>
                <c:pt idx="254">
                  <c:v>26</c:v>
                </c:pt>
                <c:pt idx="255">
                  <c:v>26</c:v>
                </c:pt>
                <c:pt idx="256">
                  <c:v>26</c:v>
                </c:pt>
                <c:pt idx="257">
                  <c:v>26</c:v>
                </c:pt>
                <c:pt idx="258">
                  <c:v>26</c:v>
                </c:pt>
                <c:pt idx="259">
                  <c:v>26</c:v>
                </c:pt>
                <c:pt idx="260">
                  <c:v>26</c:v>
                </c:pt>
                <c:pt idx="261">
                  <c:v>26</c:v>
                </c:pt>
                <c:pt idx="262">
                  <c:v>26</c:v>
                </c:pt>
                <c:pt idx="263">
                  <c:v>26</c:v>
                </c:pt>
                <c:pt idx="264">
                  <c:v>26</c:v>
                </c:pt>
                <c:pt idx="265">
                  <c:v>26</c:v>
                </c:pt>
                <c:pt idx="266">
                  <c:v>26</c:v>
                </c:pt>
                <c:pt idx="267">
                  <c:v>26</c:v>
                </c:pt>
                <c:pt idx="268">
                  <c:v>26</c:v>
                </c:pt>
                <c:pt idx="269">
                  <c:v>26</c:v>
                </c:pt>
                <c:pt idx="270">
                  <c:v>26</c:v>
                </c:pt>
                <c:pt idx="271">
                  <c:v>26</c:v>
                </c:pt>
                <c:pt idx="272">
                  <c:v>26</c:v>
                </c:pt>
                <c:pt idx="273">
                  <c:v>26</c:v>
                </c:pt>
                <c:pt idx="274">
                  <c:v>26</c:v>
                </c:pt>
                <c:pt idx="275">
                  <c:v>26</c:v>
                </c:pt>
                <c:pt idx="276">
                  <c:v>26</c:v>
                </c:pt>
                <c:pt idx="277">
                  <c:v>26</c:v>
                </c:pt>
                <c:pt idx="278">
                  <c:v>26</c:v>
                </c:pt>
                <c:pt idx="279">
                  <c:v>26</c:v>
                </c:pt>
                <c:pt idx="280">
                  <c:v>26</c:v>
                </c:pt>
                <c:pt idx="281">
                  <c:v>26</c:v>
                </c:pt>
                <c:pt idx="282">
                  <c:v>26</c:v>
                </c:pt>
                <c:pt idx="283">
                  <c:v>26</c:v>
                </c:pt>
                <c:pt idx="284">
                  <c:v>26</c:v>
                </c:pt>
                <c:pt idx="285">
                  <c:v>26</c:v>
                </c:pt>
                <c:pt idx="286">
                  <c:v>26</c:v>
                </c:pt>
                <c:pt idx="287">
                  <c:v>26</c:v>
                </c:pt>
                <c:pt idx="288">
                  <c:v>26</c:v>
                </c:pt>
                <c:pt idx="289">
                  <c:v>26</c:v>
                </c:pt>
                <c:pt idx="290">
                  <c:v>26</c:v>
                </c:pt>
                <c:pt idx="291">
                  <c:v>26</c:v>
                </c:pt>
                <c:pt idx="292">
                  <c:v>26</c:v>
                </c:pt>
                <c:pt idx="293">
                  <c:v>26</c:v>
                </c:pt>
                <c:pt idx="294">
                  <c:v>26</c:v>
                </c:pt>
                <c:pt idx="295">
                  <c:v>26</c:v>
                </c:pt>
                <c:pt idx="296">
                  <c:v>26</c:v>
                </c:pt>
                <c:pt idx="297">
                  <c:v>26</c:v>
                </c:pt>
                <c:pt idx="298">
                  <c:v>26</c:v>
                </c:pt>
                <c:pt idx="299">
                  <c:v>26</c:v>
                </c:pt>
                <c:pt idx="300">
                  <c:v>26</c:v>
                </c:pt>
                <c:pt idx="301">
                  <c:v>26</c:v>
                </c:pt>
                <c:pt idx="302">
                  <c:v>26</c:v>
                </c:pt>
                <c:pt idx="303">
                  <c:v>26</c:v>
                </c:pt>
                <c:pt idx="304">
                  <c:v>26</c:v>
                </c:pt>
                <c:pt idx="305">
                  <c:v>26</c:v>
                </c:pt>
                <c:pt idx="306">
                  <c:v>26</c:v>
                </c:pt>
                <c:pt idx="307">
                  <c:v>26</c:v>
                </c:pt>
                <c:pt idx="308">
                  <c:v>26</c:v>
                </c:pt>
                <c:pt idx="309">
                  <c:v>26</c:v>
                </c:pt>
                <c:pt idx="310">
                  <c:v>26</c:v>
                </c:pt>
                <c:pt idx="311">
                  <c:v>26</c:v>
                </c:pt>
                <c:pt idx="312">
                  <c:v>26</c:v>
                </c:pt>
                <c:pt idx="313">
                  <c:v>26</c:v>
                </c:pt>
                <c:pt idx="314">
                  <c:v>26</c:v>
                </c:pt>
                <c:pt idx="315">
                  <c:v>26</c:v>
                </c:pt>
                <c:pt idx="316">
                  <c:v>26</c:v>
                </c:pt>
                <c:pt idx="317">
                  <c:v>26</c:v>
                </c:pt>
                <c:pt idx="318">
                  <c:v>26</c:v>
                </c:pt>
                <c:pt idx="319">
                  <c:v>26</c:v>
                </c:pt>
                <c:pt idx="320">
                  <c:v>26</c:v>
                </c:pt>
                <c:pt idx="321">
                  <c:v>26</c:v>
                </c:pt>
                <c:pt idx="322">
                  <c:v>26</c:v>
                </c:pt>
                <c:pt idx="323">
                  <c:v>26</c:v>
                </c:pt>
                <c:pt idx="324">
                  <c:v>26</c:v>
                </c:pt>
                <c:pt idx="325">
                  <c:v>26</c:v>
                </c:pt>
                <c:pt idx="326">
                  <c:v>26</c:v>
                </c:pt>
                <c:pt idx="327">
                  <c:v>26</c:v>
                </c:pt>
                <c:pt idx="328">
                  <c:v>26</c:v>
                </c:pt>
                <c:pt idx="329">
                  <c:v>26</c:v>
                </c:pt>
                <c:pt idx="330">
                  <c:v>26</c:v>
                </c:pt>
                <c:pt idx="331">
                  <c:v>26</c:v>
                </c:pt>
                <c:pt idx="332">
                  <c:v>26</c:v>
                </c:pt>
                <c:pt idx="333">
                  <c:v>26</c:v>
                </c:pt>
                <c:pt idx="334">
                  <c:v>26</c:v>
                </c:pt>
                <c:pt idx="335">
                  <c:v>26</c:v>
                </c:pt>
                <c:pt idx="336">
                  <c:v>26</c:v>
                </c:pt>
                <c:pt idx="337">
                  <c:v>26</c:v>
                </c:pt>
                <c:pt idx="338">
                  <c:v>26</c:v>
                </c:pt>
                <c:pt idx="339">
                  <c:v>26</c:v>
                </c:pt>
                <c:pt idx="340">
                  <c:v>26</c:v>
                </c:pt>
                <c:pt idx="341">
                  <c:v>26</c:v>
                </c:pt>
                <c:pt idx="342">
                  <c:v>26</c:v>
                </c:pt>
                <c:pt idx="343">
                  <c:v>26</c:v>
                </c:pt>
                <c:pt idx="344">
                  <c:v>26</c:v>
                </c:pt>
                <c:pt idx="345">
                  <c:v>26</c:v>
                </c:pt>
                <c:pt idx="346">
                  <c:v>26</c:v>
                </c:pt>
                <c:pt idx="347">
                  <c:v>26</c:v>
                </c:pt>
                <c:pt idx="348">
                  <c:v>26</c:v>
                </c:pt>
                <c:pt idx="349">
                  <c:v>26</c:v>
                </c:pt>
                <c:pt idx="350">
                  <c:v>26</c:v>
                </c:pt>
                <c:pt idx="351">
                  <c:v>26</c:v>
                </c:pt>
                <c:pt idx="352">
                  <c:v>26</c:v>
                </c:pt>
                <c:pt idx="353">
                  <c:v>26</c:v>
                </c:pt>
                <c:pt idx="354">
                  <c:v>26</c:v>
                </c:pt>
                <c:pt idx="355">
                  <c:v>26</c:v>
                </c:pt>
                <c:pt idx="356">
                  <c:v>26</c:v>
                </c:pt>
                <c:pt idx="357">
                  <c:v>26</c:v>
                </c:pt>
                <c:pt idx="358">
                  <c:v>26</c:v>
                </c:pt>
                <c:pt idx="359">
                  <c:v>26</c:v>
                </c:pt>
                <c:pt idx="360">
                  <c:v>26</c:v>
                </c:pt>
                <c:pt idx="361">
                  <c:v>26</c:v>
                </c:pt>
                <c:pt idx="362">
                  <c:v>26</c:v>
                </c:pt>
                <c:pt idx="363">
                  <c:v>26</c:v>
                </c:pt>
                <c:pt idx="364">
                  <c:v>26</c:v>
                </c:pt>
                <c:pt idx="365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3BE-9041-9B32-DA116BC247BB}"/>
            </c:ext>
          </c:extLst>
        </c:ser>
        <c:ser>
          <c:idx val="11"/>
          <c:order val="11"/>
          <c:tx>
            <c:strRef>
              <c:f>List1!$O$4</c:f>
              <c:strCache>
                <c:ptCount val="1"/>
                <c:pt idx="0">
                  <c:v>2009</c:v>
                </c:pt>
              </c:strCache>
            </c:strRef>
          </c:tx>
          <c:spPr>
            <a:ln w="28800">
              <a:solidFill>
                <a:srgbClr val="55308D">
                  <a:alpha val="6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List1!$O$5:$O$370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4</c:v>
                </c:pt>
                <c:pt idx="137">
                  <c:v>4</c:v>
                </c:pt>
                <c:pt idx="138">
                  <c:v>5</c:v>
                </c:pt>
                <c:pt idx="139">
                  <c:v>5</c:v>
                </c:pt>
                <c:pt idx="140">
                  <c:v>6</c:v>
                </c:pt>
                <c:pt idx="141">
                  <c:v>7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9</c:v>
                </c:pt>
                <c:pt idx="147">
                  <c:v>9</c:v>
                </c:pt>
                <c:pt idx="148">
                  <c:v>9</c:v>
                </c:pt>
                <c:pt idx="149">
                  <c:v>9</c:v>
                </c:pt>
                <c:pt idx="150">
                  <c:v>9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9</c:v>
                </c:pt>
                <c:pt idx="156">
                  <c:v>9</c:v>
                </c:pt>
                <c:pt idx="157">
                  <c:v>9</c:v>
                </c:pt>
                <c:pt idx="158">
                  <c:v>9</c:v>
                </c:pt>
                <c:pt idx="159">
                  <c:v>9</c:v>
                </c:pt>
                <c:pt idx="160">
                  <c:v>10</c:v>
                </c:pt>
                <c:pt idx="161">
                  <c:v>10</c:v>
                </c:pt>
                <c:pt idx="162">
                  <c:v>11</c:v>
                </c:pt>
                <c:pt idx="163">
                  <c:v>11</c:v>
                </c:pt>
                <c:pt idx="164">
                  <c:v>11</c:v>
                </c:pt>
                <c:pt idx="165">
                  <c:v>11</c:v>
                </c:pt>
                <c:pt idx="166">
                  <c:v>12</c:v>
                </c:pt>
                <c:pt idx="167">
                  <c:v>13</c:v>
                </c:pt>
                <c:pt idx="168">
                  <c:v>13</c:v>
                </c:pt>
                <c:pt idx="169">
                  <c:v>13</c:v>
                </c:pt>
                <c:pt idx="170">
                  <c:v>13</c:v>
                </c:pt>
                <c:pt idx="171">
                  <c:v>13</c:v>
                </c:pt>
                <c:pt idx="172">
                  <c:v>14</c:v>
                </c:pt>
                <c:pt idx="173">
                  <c:v>14</c:v>
                </c:pt>
                <c:pt idx="174">
                  <c:v>14</c:v>
                </c:pt>
                <c:pt idx="175">
                  <c:v>14</c:v>
                </c:pt>
                <c:pt idx="176">
                  <c:v>15</c:v>
                </c:pt>
                <c:pt idx="177">
                  <c:v>15</c:v>
                </c:pt>
                <c:pt idx="178">
                  <c:v>15</c:v>
                </c:pt>
                <c:pt idx="179">
                  <c:v>15</c:v>
                </c:pt>
                <c:pt idx="180">
                  <c:v>15</c:v>
                </c:pt>
                <c:pt idx="181">
                  <c:v>16</c:v>
                </c:pt>
                <c:pt idx="182">
                  <c:v>17</c:v>
                </c:pt>
                <c:pt idx="183">
                  <c:v>18</c:v>
                </c:pt>
                <c:pt idx="184">
                  <c:v>19</c:v>
                </c:pt>
                <c:pt idx="185">
                  <c:v>20</c:v>
                </c:pt>
                <c:pt idx="186">
                  <c:v>20</c:v>
                </c:pt>
                <c:pt idx="187">
                  <c:v>21</c:v>
                </c:pt>
                <c:pt idx="188">
                  <c:v>21</c:v>
                </c:pt>
                <c:pt idx="189">
                  <c:v>21</c:v>
                </c:pt>
                <c:pt idx="190">
                  <c:v>21</c:v>
                </c:pt>
                <c:pt idx="191">
                  <c:v>21</c:v>
                </c:pt>
                <c:pt idx="192">
                  <c:v>21</c:v>
                </c:pt>
                <c:pt idx="193">
                  <c:v>21</c:v>
                </c:pt>
                <c:pt idx="194">
                  <c:v>21</c:v>
                </c:pt>
                <c:pt idx="195">
                  <c:v>21</c:v>
                </c:pt>
                <c:pt idx="196">
                  <c:v>21</c:v>
                </c:pt>
                <c:pt idx="197">
                  <c:v>21</c:v>
                </c:pt>
                <c:pt idx="198">
                  <c:v>22</c:v>
                </c:pt>
                <c:pt idx="199">
                  <c:v>23</c:v>
                </c:pt>
                <c:pt idx="200">
                  <c:v>23</c:v>
                </c:pt>
                <c:pt idx="201">
                  <c:v>23</c:v>
                </c:pt>
                <c:pt idx="202">
                  <c:v>23</c:v>
                </c:pt>
                <c:pt idx="203">
                  <c:v>23</c:v>
                </c:pt>
                <c:pt idx="204">
                  <c:v>24</c:v>
                </c:pt>
                <c:pt idx="205">
                  <c:v>24</c:v>
                </c:pt>
                <c:pt idx="206">
                  <c:v>24</c:v>
                </c:pt>
                <c:pt idx="207">
                  <c:v>24</c:v>
                </c:pt>
                <c:pt idx="208">
                  <c:v>24</c:v>
                </c:pt>
                <c:pt idx="209">
                  <c:v>24</c:v>
                </c:pt>
                <c:pt idx="210">
                  <c:v>24</c:v>
                </c:pt>
                <c:pt idx="211">
                  <c:v>24</c:v>
                </c:pt>
                <c:pt idx="212">
                  <c:v>24</c:v>
                </c:pt>
                <c:pt idx="213">
                  <c:v>24</c:v>
                </c:pt>
                <c:pt idx="214">
                  <c:v>25</c:v>
                </c:pt>
                <c:pt idx="215">
                  <c:v>25</c:v>
                </c:pt>
                <c:pt idx="216">
                  <c:v>25</c:v>
                </c:pt>
                <c:pt idx="217">
                  <c:v>25</c:v>
                </c:pt>
                <c:pt idx="218">
                  <c:v>25</c:v>
                </c:pt>
                <c:pt idx="219">
                  <c:v>25</c:v>
                </c:pt>
                <c:pt idx="220">
                  <c:v>25</c:v>
                </c:pt>
                <c:pt idx="221">
                  <c:v>25</c:v>
                </c:pt>
                <c:pt idx="222">
                  <c:v>26</c:v>
                </c:pt>
                <c:pt idx="223">
                  <c:v>26</c:v>
                </c:pt>
                <c:pt idx="224">
                  <c:v>26</c:v>
                </c:pt>
                <c:pt idx="225">
                  <c:v>26</c:v>
                </c:pt>
                <c:pt idx="226">
                  <c:v>26</c:v>
                </c:pt>
                <c:pt idx="227">
                  <c:v>26</c:v>
                </c:pt>
                <c:pt idx="228">
                  <c:v>26</c:v>
                </c:pt>
                <c:pt idx="229">
                  <c:v>27</c:v>
                </c:pt>
                <c:pt idx="230">
                  <c:v>27</c:v>
                </c:pt>
                <c:pt idx="231">
                  <c:v>27</c:v>
                </c:pt>
                <c:pt idx="232">
                  <c:v>27</c:v>
                </c:pt>
                <c:pt idx="233">
                  <c:v>27</c:v>
                </c:pt>
                <c:pt idx="234">
                  <c:v>27</c:v>
                </c:pt>
                <c:pt idx="235">
                  <c:v>27</c:v>
                </c:pt>
                <c:pt idx="236">
                  <c:v>27</c:v>
                </c:pt>
                <c:pt idx="237">
                  <c:v>28</c:v>
                </c:pt>
                <c:pt idx="238">
                  <c:v>29</c:v>
                </c:pt>
                <c:pt idx="239">
                  <c:v>29</c:v>
                </c:pt>
                <c:pt idx="240">
                  <c:v>29</c:v>
                </c:pt>
                <c:pt idx="241">
                  <c:v>29</c:v>
                </c:pt>
                <c:pt idx="242">
                  <c:v>29</c:v>
                </c:pt>
                <c:pt idx="243">
                  <c:v>29</c:v>
                </c:pt>
                <c:pt idx="244">
                  <c:v>29</c:v>
                </c:pt>
                <c:pt idx="245">
                  <c:v>29</c:v>
                </c:pt>
                <c:pt idx="246">
                  <c:v>29</c:v>
                </c:pt>
                <c:pt idx="247">
                  <c:v>29</c:v>
                </c:pt>
                <c:pt idx="248">
                  <c:v>29</c:v>
                </c:pt>
                <c:pt idx="249">
                  <c:v>29</c:v>
                </c:pt>
                <c:pt idx="250">
                  <c:v>29</c:v>
                </c:pt>
                <c:pt idx="251">
                  <c:v>29</c:v>
                </c:pt>
                <c:pt idx="252">
                  <c:v>29</c:v>
                </c:pt>
                <c:pt idx="253">
                  <c:v>29</c:v>
                </c:pt>
                <c:pt idx="254">
                  <c:v>29</c:v>
                </c:pt>
                <c:pt idx="255">
                  <c:v>29</c:v>
                </c:pt>
                <c:pt idx="256">
                  <c:v>29</c:v>
                </c:pt>
                <c:pt idx="257">
                  <c:v>29</c:v>
                </c:pt>
                <c:pt idx="258">
                  <c:v>29</c:v>
                </c:pt>
                <c:pt idx="259">
                  <c:v>29</c:v>
                </c:pt>
                <c:pt idx="260">
                  <c:v>29</c:v>
                </c:pt>
                <c:pt idx="261">
                  <c:v>29</c:v>
                </c:pt>
                <c:pt idx="262">
                  <c:v>29</c:v>
                </c:pt>
                <c:pt idx="263">
                  <c:v>29</c:v>
                </c:pt>
                <c:pt idx="264">
                  <c:v>29</c:v>
                </c:pt>
                <c:pt idx="265">
                  <c:v>29</c:v>
                </c:pt>
                <c:pt idx="266">
                  <c:v>29</c:v>
                </c:pt>
                <c:pt idx="267">
                  <c:v>29</c:v>
                </c:pt>
                <c:pt idx="268">
                  <c:v>29</c:v>
                </c:pt>
                <c:pt idx="269">
                  <c:v>29</c:v>
                </c:pt>
                <c:pt idx="270">
                  <c:v>29</c:v>
                </c:pt>
                <c:pt idx="271">
                  <c:v>29</c:v>
                </c:pt>
                <c:pt idx="272">
                  <c:v>29</c:v>
                </c:pt>
                <c:pt idx="273">
                  <c:v>29</c:v>
                </c:pt>
                <c:pt idx="274">
                  <c:v>29</c:v>
                </c:pt>
                <c:pt idx="275">
                  <c:v>29</c:v>
                </c:pt>
                <c:pt idx="276">
                  <c:v>29</c:v>
                </c:pt>
                <c:pt idx="277">
                  <c:v>29</c:v>
                </c:pt>
                <c:pt idx="278">
                  <c:v>29</c:v>
                </c:pt>
                <c:pt idx="279">
                  <c:v>29</c:v>
                </c:pt>
                <c:pt idx="280">
                  <c:v>29</c:v>
                </c:pt>
                <c:pt idx="281">
                  <c:v>29</c:v>
                </c:pt>
                <c:pt idx="282">
                  <c:v>29</c:v>
                </c:pt>
                <c:pt idx="283">
                  <c:v>29</c:v>
                </c:pt>
                <c:pt idx="284">
                  <c:v>29</c:v>
                </c:pt>
                <c:pt idx="285">
                  <c:v>29</c:v>
                </c:pt>
                <c:pt idx="286">
                  <c:v>29</c:v>
                </c:pt>
                <c:pt idx="287">
                  <c:v>29</c:v>
                </c:pt>
                <c:pt idx="288">
                  <c:v>29</c:v>
                </c:pt>
                <c:pt idx="289">
                  <c:v>29</c:v>
                </c:pt>
                <c:pt idx="290">
                  <c:v>29</c:v>
                </c:pt>
                <c:pt idx="291">
                  <c:v>29</c:v>
                </c:pt>
                <c:pt idx="292">
                  <c:v>29</c:v>
                </c:pt>
                <c:pt idx="293">
                  <c:v>29</c:v>
                </c:pt>
                <c:pt idx="294">
                  <c:v>29</c:v>
                </c:pt>
                <c:pt idx="295">
                  <c:v>29</c:v>
                </c:pt>
                <c:pt idx="296">
                  <c:v>29</c:v>
                </c:pt>
                <c:pt idx="297">
                  <c:v>29</c:v>
                </c:pt>
                <c:pt idx="298">
                  <c:v>29</c:v>
                </c:pt>
                <c:pt idx="299">
                  <c:v>29</c:v>
                </c:pt>
                <c:pt idx="300">
                  <c:v>29</c:v>
                </c:pt>
                <c:pt idx="301">
                  <c:v>29</c:v>
                </c:pt>
                <c:pt idx="302">
                  <c:v>29</c:v>
                </c:pt>
                <c:pt idx="303">
                  <c:v>29</c:v>
                </c:pt>
                <c:pt idx="304">
                  <c:v>29</c:v>
                </c:pt>
                <c:pt idx="305">
                  <c:v>29</c:v>
                </c:pt>
                <c:pt idx="306">
                  <c:v>29</c:v>
                </c:pt>
                <c:pt idx="307">
                  <c:v>29</c:v>
                </c:pt>
                <c:pt idx="308">
                  <c:v>29</c:v>
                </c:pt>
                <c:pt idx="309">
                  <c:v>29</c:v>
                </c:pt>
                <c:pt idx="310">
                  <c:v>29</c:v>
                </c:pt>
                <c:pt idx="311">
                  <c:v>29</c:v>
                </c:pt>
                <c:pt idx="312">
                  <c:v>29</c:v>
                </c:pt>
                <c:pt idx="313">
                  <c:v>29</c:v>
                </c:pt>
                <c:pt idx="314">
                  <c:v>29</c:v>
                </c:pt>
                <c:pt idx="315">
                  <c:v>29</c:v>
                </c:pt>
                <c:pt idx="316">
                  <c:v>29</c:v>
                </c:pt>
                <c:pt idx="317">
                  <c:v>29</c:v>
                </c:pt>
                <c:pt idx="318">
                  <c:v>29</c:v>
                </c:pt>
                <c:pt idx="319">
                  <c:v>29</c:v>
                </c:pt>
                <c:pt idx="320">
                  <c:v>29</c:v>
                </c:pt>
                <c:pt idx="321">
                  <c:v>29</c:v>
                </c:pt>
                <c:pt idx="322">
                  <c:v>29</c:v>
                </c:pt>
                <c:pt idx="323">
                  <c:v>29</c:v>
                </c:pt>
                <c:pt idx="324">
                  <c:v>29</c:v>
                </c:pt>
                <c:pt idx="325">
                  <c:v>29</c:v>
                </c:pt>
                <c:pt idx="326">
                  <c:v>29</c:v>
                </c:pt>
                <c:pt idx="327">
                  <c:v>29</c:v>
                </c:pt>
                <c:pt idx="328">
                  <c:v>29</c:v>
                </c:pt>
                <c:pt idx="329">
                  <c:v>29</c:v>
                </c:pt>
                <c:pt idx="330">
                  <c:v>29</c:v>
                </c:pt>
                <c:pt idx="331">
                  <c:v>29</c:v>
                </c:pt>
                <c:pt idx="332">
                  <c:v>29</c:v>
                </c:pt>
                <c:pt idx="333">
                  <c:v>29</c:v>
                </c:pt>
                <c:pt idx="334">
                  <c:v>29</c:v>
                </c:pt>
                <c:pt idx="335">
                  <c:v>29</c:v>
                </c:pt>
                <c:pt idx="336">
                  <c:v>29</c:v>
                </c:pt>
                <c:pt idx="337">
                  <c:v>29</c:v>
                </c:pt>
                <c:pt idx="338">
                  <c:v>29</c:v>
                </c:pt>
                <c:pt idx="339">
                  <c:v>29</c:v>
                </c:pt>
                <c:pt idx="340">
                  <c:v>29</c:v>
                </c:pt>
                <c:pt idx="341">
                  <c:v>29</c:v>
                </c:pt>
                <c:pt idx="342">
                  <c:v>29</c:v>
                </c:pt>
                <c:pt idx="343">
                  <c:v>29</c:v>
                </c:pt>
                <c:pt idx="344">
                  <c:v>29</c:v>
                </c:pt>
                <c:pt idx="345">
                  <c:v>29</c:v>
                </c:pt>
                <c:pt idx="346">
                  <c:v>29</c:v>
                </c:pt>
                <c:pt idx="347">
                  <c:v>29</c:v>
                </c:pt>
                <c:pt idx="348">
                  <c:v>29</c:v>
                </c:pt>
                <c:pt idx="349">
                  <c:v>29</c:v>
                </c:pt>
                <c:pt idx="350">
                  <c:v>29</c:v>
                </c:pt>
                <c:pt idx="351">
                  <c:v>29</c:v>
                </c:pt>
                <c:pt idx="352">
                  <c:v>29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29</c:v>
                </c:pt>
                <c:pt idx="357">
                  <c:v>29</c:v>
                </c:pt>
                <c:pt idx="358">
                  <c:v>29</c:v>
                </c:pt>
                <c:pt idx="359">
                  <c:v>29</c:v>
                </c:pt>
                <c:pt idx="360">
                  <c:v>29</c:v>
                </c:pt>
                <c:pt idx="361">
                  <c:v>29</c:v>
                </c:pt>
                <c:pt idx="362">
                  <c:v>29</c:v>
                </c:pt>
                <c:pt idx="363">
                  <c:v>29</c:v>
                </c:pt>
                <c:pt idx="364">
                  <c:v>29</c:v>
                </c:pt>
                <c:pt idx="365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3BE-9041-9B32-DA116BC247BB}"/>
            </c:ext>
          </c:extLst>
        </c:ser>
        <c:ser>
          <c:idx val="12"/>
          <c:order val="12"/>
          <c:tx>
            <c:strRef>
              <c:f>List1!$P$4</c:f>
              <c:strCache>
                <c:ptCount val="1"/>
                <c:pt idx="0">
                  <c:v>2010</c:v>
                </c:pt>
              </c:strCache>
            </c:strRef>
          </c:tx>
          <c:spPr>
            <a:ln w="28800">
              <a:solidFill>
                <a:srgbClr val="2A6099">
                  <a:alpha val="6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List1!$P$5:$P$370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5</c:v>
                </c:pt>
                <c:pt idx="145">
                  <c:v>5</c:v>
                </c:pt>
                <c:pt idx="146">
                  <c:v>5</c:v>
                </c:pt>
                <c:pt idx="147">
                  <c:v>5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6</c:v>
                </c:pt>
                <c:pt idx="155">
                  <c:v>6</c:v>
                </c:pt>
                <c:pt idx="156">
                  <c:v>6</c:v>
                </c:pt>
                <c:pt idx="157">
                  <c:v>6</c:v>
                </c:pt>
                <c:pt idx="158">
                  <c:v>6</c:v>
                </c:pt>
                <c:pt idx="159">
                  <c:v>7</c:v>
                </c:pt>
                <c:pt idx="160">
                  <c:v>8</c:v>
                </c:pt>
                <c:pt idx="161">
                  <c:v>8</c:v>
                </c:pt>
                <c:pt idx="162">
                  <c:v>8</c:v>
                </c:pt>
                <c:pt idx="163">
                  <c:v>8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9</c:v>
                </c:pt>
                <c:pt idx="182">
                  <c:v>10</c:v>
                </c:pt>
                <c:pt idx="183">
                  <c:v>10</c:v>
                </c:pt>
                <c:pt idx="184">
                  <c:v>10</c:v>
                </c:pt>
                <c:pt idx="185">
                  <c:v>10</c:v>
                </c:pt>
                <c:pt idx="186">
                  <c:v>11</c:v>
                </c:pt>
                <c:pt idx="187">
                  <c:v>11</c:v>
                </c:pt>
                <c:pt idx="188">
                  <c:v>11</c:v>
                </c:pt>
                <c:pt idx="189">
                  <c:v>11</c:v>
                </c:pt>
                <c:pt idx="190">
                  <c:v>11</c:v>
                </c:pt>
                <c:pt idx="191">
                  <c:v>11</c:v>
                </c:pt>
                <c:pt idx="192">
                  <c:v>11</c:v>
                </c:pt>
                <c:pt idx="193">
                  <c:v>11</c:v>
                </c:pt>
                <c:pt idx="194">
                  <c:v>11</c:v>
                </c:pt>
                <c:pt idx="195">
                  <c:v>11</c:v>
                </c:pt>
                <c:pt idx="196">
                  <c:v>12</c:v>
                </c:pt>
                <c:pt idx="197">
                  <c:v>12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14</c:v>
                </c:pt>
                <c:pt idx="204">
                  <c:v>15</c:v>
                </c:pt>
                <c:pt idx="205">
                  <c:v>15</c:v>
                </c:pt>
                <c:pt idx="206">
                  <c:v>15</c:v>
                </c:pt>
                <c:pt idx="207">
                  <c:v>15</c:v>
                </c:pt>
                <c:pt idx="208">
                  <c:v>15</c:v>
                </c:pt>
                <c:pt idx="209">
                  <c:v>15</c:v>
                </c:pt>
                <c:pt idx="210">
                  <c:v>16</c:v>
                </c:pt>
                <c:pt idx="211">
                  <c:v>16</c:v>
                </c:pt>
                <c:pt idx="212">
                  <c:v>16</c:v>
                </c:pt>
                <c:pt idx="213">
                  <c:v>16</c:v>
                </c:pt>
                <c:pt idx="214">
                  <c:v>16</c:v>
                </c:pt>
                <c:pt idx="215">
                  <c:v>16</c:v>
                </c:pt>
                <c:pt idx="216">
                  <c:v>16</c:v>
                </c:pt>
                <c:pt idx="217">
                  <c:v>16</c:v>
                </c:pt>
                <c:pt idx="218">
                  <c:v>16</c:v>
                </c:pt>
                <c:pt idx="219">
                  <c:v>16</c:v>
                </c:pt>
                <c:pt idx="220">
                  <c:v>16</c:v>
                </c:pt>
                <c:pt idx="221">
                  <c:v>16</c:v>
                </c:pt>
                <c:pt idx="222">
                  <c:v>16</c:v>
                </c:pt>
                <c:pt idx="223">
                  <c:v>16</c:v>
                </c:pt>
                <c:pt idx="224">
                  <c:v>17</c:v>
                </c:pt>
                <c:pt idx="225">
                  <c:v>17</c:v>
                </c:pt>
                <c:pt idx="226">
                  <c:v>17</c:v>
                </c:pt>
                <c:pt idx="227">
                  <c:v>18</c:v>
                </c:pt>
                <c:pt idx="228">
                  <c:v>19</c:v>
                </c:pt>
                <c:pt idx="229">
                  <c:v>19</c:v>
                </c:pt>
                <c:pt idx="230">
                  <c:v>19</c:v>
                </c:pt>
                <c:pt idx="231">
                  <c:v>19</c:v>
                </c:pt>
                <c:pt idx="232">
                  <c:v>19</c:v>
                </c:pt>
                <c:pt idx="233">
                  <c:v>19</c:v>
                </c:pt>
                <c:pt idx="234">
                  <c:v>20</c:v>
                </c:pt>
                <c:pt idx="235">
                  <c:v>20</c:v>
                </c:pt>
                <c:pt idx="236">
                  <c:v>20</c:v>
                </c:pt>
                <c:pt idx="237">
                  <c:v>20</c:v>
                </c:pt>
                <c:pt idx="238">
                  <c:v>20</c:v>
                </c:pt>
                <c:pt idx="239">
                  <c:v>20</c:v>
                </c:pt>
                <c:pt idx="240">
                  <c:v>20</c:v>
                </c:pt>
                <c:pt idx="241">
                  <c:v>20</c:v>
                </c:pt>
                <c:pt idx="242">
                  <c:v>20</c:v>
                </c:pt>
                <c:pt idx="243">
                  <c:v>20</c:v>
                </c:pt>
                <c:pt idx="244">
                  <c:v>20</c:v>
                </c:pt>
                <c:pt idx="245">
                  <c:v>20</c:v>
                </c:pt>
                <c:pt idx="246">
                  <c:v>20</c:v>
                </c:pt>
                <c:pt idx="247">
                  <c:v>20</c:v>
                </c:pt>
                <c:pt idx="248">
                  <c:v>20</c:v>
                </c:pt>
                <c:pt idx="249">
                  <c:v>20</c:v>
                </c:pt>
                <c:pt idx="250">
                  <c:v>20</c:v>
                </c:pt>
                <c:pt idx="251">
                  <c:v>20</c:v>
                </c:pt>
                <c:pt idx="252">
                  <c:v>20</c:v>
                </c:pt>
                <c:pt idx="253">
                  <c:v>20</c:v>
                </c:pt>
                <c:pt idx="254">
                  <c:v>20</c:v>
                </c:pt>
                <c:pt idx="255">
                  <c:v>20</c:v>
                </c:pt>
                <c:pt idx="256">
                  <c:v>20</c:v>
                </c:pt>
                <c:pt idx="257">
                  <c:v>20</c:v>
                </c:pt>
                <c:pt idx="258">
                  <c:v>20</c:v>
                </c:pt>
                <c:pt idx="259">
                  <c:v>20</c:v>
                </c:pt>
                <c:pt idx="260">
                  <c:v>20</c:v>
                </c:pt>
                <c:pt idx="261">
                  <c:v>20</c:v>
                </c:pt>
                <c:pt idx="262">
                  <c:v>20</c:v>
                </c:pt>
                <c:pt idx="263">
                  <c:v>20</c:v>
                </c:pt>
                <c:pt idx="264">
                  <c:v>20</c:v>
                </c:pt>
                <c:pt idx="265">
                  <c:v>20</c:v>
                </c:pt>
                <c:pt idx="266">
                  <c:v>20</c:v>
                </c:pt>
                <c:pt idx="267">
                  <c:v>20</c:v>
                </c:pt>
                <c:pt idx="268">
                  <c:v>20</c:v>
                </c:pt>
                <c:pt idx="269">
                  <c:v>20</c:v>
                </c:pt>
                <c:pt idx="270">
                  <c:v>20</c:v>
                </c:pt>
                <c:pt idx="271">
                  <c:v>20</c:v>
                </c:pt>
                <c:pt idx="272">
                  <c:v>20</c:v>
                </c:pt>
                <c:pt idx="273">
                  <c:v>20</c:v>
                </c:pt>
                <c:pt idx="274">
                  <c:v>20</c:v>
                </c:pt>
                <c:pt idx="275">
                  <c:v>20</c:v>
                </c:pt>
                <c:pt idx="276">
                  <c:v>20</c:v>
                </c:pt>
                <c:pt idx="277">
                  <c:v>20</c:v>
                </c:pt>
                <c:pt idx="278">
                  <c:v>20</c:v>
                </c:pt>
                <c:pt idx="279">
                  <c:v>20</c:v>
                </c:pt>
                <c:pt idx="280">
                  <c:v>20</c:v>
                </c:pt>
                <c:pt idx="281">
                  <c:v>20</c:v>
                </c:pt>
                <c:pt idx="282">
                  <c:v>20</c:v>
                </c:pt>
                <c:pt idx="283">
                  <c:v>20</c:v>
                </c:pt>
                <c:pt idx="284">
                  <c:v>20</c:v>
                </c:pt>
                <c:pt idx="285">
                  <c:v>20</c:v>
                </c:pt>
                <c:pt idx="286">
                  <c:v>20</c:v>
                </c:pt>
                <c:pt idx="287">
                  <c:v>20</c:v>
                </c:pt>
                <c:pt idx="288">
                  <c:v>20</c:v>
                </c:pt>
                <c:pt idx="289">
                  <c:v>20</c:v>
                </c:pt>
                <c:pt idx="290">
                  <c:v>20</c:v>
                </c:pt>
                <c:pt idx="291">
                  <c:v>20</c:v>
                </c:pt>
                <c:pt idx="292">
                  <c:v>20</c:v>
                </c:pt>
                <c:pt idx="293">
                  <c:v>20</c:v>
                </c:pt>
                <c:pt idx="294">
                  <c:v>20</c:v>
                </c:pt>
                <c:pt idx="295">
                  <c:v>20</c:v>
                </c:pt>
                <c:pt idx="296">
                  <c:v>20</c:v>
                </c:pt>
                <c:pt idx="297">
                  <c:v>20</c:v>
                </c:pt>
                <c:pt idx="298">
                  <c:v>20</c:v>
                </c:pt>
                <c:pt idx="299">
                  <c:v>20</c:v>
                </c:pt>
                <c:pt idx="300">
                  <c:v>20</c:v>
                </c:pt>
                <c:pt idx="301">
                  <c:v>20</c:v>
                </c:pt>
                <c:pt idx="302">
                  <c:v>20</c:v>
                </c:pt>
                <c:pt idx="303">
                  <c:v>20</c:v>
                </c:pt>
                <c:pt idx="304">
                  <c:v>20</c:v>
                </c:pt>
                <c:pt idx="305">
                  <c:v>20</c:v>
                </c:pt>
                <c:pt idx="306">
                  <c:v>20</c:v>
                </c:pt>
                <c:pt idx="307">
                  <c:v>20</c:v>
                </c:pt>
                <c:pt idx="308">
                  <c:v>20</c:v>
                </c:pt>
                <c:pt idx="309">
                  <c:v>20</c:v>
                </c:pt>
                <c:pt idx="310">
                  <c:v>20</c:v>
                </c:pt>
                <c:pt idx="311">
                  <c:v>20</c:v>
                </c:pt>
                <c:pt idx="312">
                  <c:v>20</c:v>
                </c:pt>
                <c:pt idx="313">
                  <c:v>20</c:v>
                </c:pt>
                <c:pt idx="314">
                  <c:v>20</c:v>
                </c:pt>
                <c:pt idx="315">
                  <c:v>20</c:v>
                </c:pt>
                <c:pt idx="316">
                  <c:v>20</c:v>
                </c:pt>
                <c:pt idx="317">
                  <c:v>20</c:v>
                </c:pt>
                <c:pt idx="318">
                  <c:v>20</c:v>
                </c:pt>
                <c:pt idx="319">
                  <c:v>20</c:v>
                </c:pt>
                <c:pt idx="320">
                  <c:v>20</c:v>
                </c:pt>
                <c:pt idx="321">
                  <c:v>20</c:v>
                </c:pt>
                <c:pt idx="322">
                  <c:v>20</c:v>
                </c:pt>
                <c:pt idx="323">
                  <c:v>20</c:v>
                </c:pt>
                <c:pt idx="324">
                  <c:v>20</c:v>
                </c:pt>
                <c:pt idx="325">
                  <c:v>20</c:v>
                </c:pt>
                <c:pt idx="326">
                  <c:v>20</c:v>
                </c:pt>
                <c:pt idx="327">
                  <c:v>20</c:v>
                </c:pt>
                <c:pt idx="328">
                  <c:v>20</c:v>
                </c:pt>
                <c:pt idx="329">
                  <c:v>20</c:v>
                </c:pt>
                <c:pt idx="330">
                  <c:v>20</c:v>
                </c:pt>
                <c:pt idx="331">
                  <c:v>20</c:v>
                </c:pt>
                <c:pt idx="332">
                  <c:v>20</c:v>
                </c:pt>
                <c:pt idx="333">
                  <c:v>20</c:v>
                </c:pt>
                <c:pt idx="334">
                  <c:v>20</c:v>
                </c:pt>
                <c:pt idx="335">
                  <c:v>20</c:v>
                </c:pt>
                <c:pt idx="336">
                  <c:v>20</c:v>
                </c:pt>
                <c:pt idx="337">
                  <c:v>20</c:v>
                </c:pt>
                <c:pt idx="338">
                  <c:v>20</c:v>
                </c:pt>
                <c:pt idx="339">
                  <c:v>20</c:v>
                </c:pt>
                <c:pt idx="340">
                  <c:v>20</c:v>
                </c:pt>
                <c:pt idx="341">
                  <c:v>20</c:v>
                </c:pt>
                <c:pt idx="342">
                  <c:v>20</c:v>
                </c:pt>
                <c:pt idx="343">
                  <c:v>20</c:v>
                </c:pt>
                <c:pt idx="344">
                  <c:v>20</c:v>
                </c:pt>
                <c:pt idx="345">
                  <c:v>20</c:v>
                </c:pt>
                <c:pt idx="346">
                  <c:v>20</c:v>
                </c:pt>
                <c:pt idx="347">
                  <c:v>20</c:v>
                </c:pt>
                <c:pt idx="348">
                  <c:v>20</c:v>
                </c:pt>
                <c:pt idx="349">
                  <c:v>20</c:v>
                </c:pt>
                <c:pt idx="350">
                  <c:v>20</c:v>
                </c:pt>
                <c:pt idx="351">
                  <c:v>20</c:v>
                </c:pt>
                <c:pt idx="352">
                  <c:v>20</c:v>
                </c:pt>
                <c:pt idx="353">
                  <c:v>20</c:v>
                </c:pt>
                <c:pt idx="354">
                  <c:v>20</c:v>
                </c:pt>
                <c:pt idx="355">
                  <c:v>20</c:v>
                </c:pt>
                <c:pt idx="356">
                  <c:v>20</c:v>
                </c:pt>
                <c:pt idx="357">
                  <c:v>20</c:v>
                </c:pt>
                <c:pt idx="358">
                  <c:v>20</c:v>
                </c:pt>
                <c:pt idx="359">
                  <c:v>20</c:v>
                </c:pt>
                <c:pt idx="360">
                  <c:v>20</c:v>
                </c:pt>
                <c:pt idx="361">
                  <c:v>20</c:v>
                </c:pt>
                <c:pt idx="362">
                  <c:v>20</c:v>
                </c:pt>
                <c:pt idx="363">
                  <c:v>20</c:v>
                </c:pt>
                <c:pt idx="364">
                  <c:v>20</c:v>
                </c:pt>
                <c:pt idx="365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3BE-9041-9B32-DA116BC247BB}"/>
            </c:ext>
          </c:extLst>
        </c:ser>
        <c:ser>
          <c:idx val="13"/>
          <c:order val="13"/>
          <c:tx>
            <c:strRef>
              <c:f>List1!$Q$4</c:f>
              <c:strCache>
                <c:ptCount val="1"/>
                <c:pt idx="0">
                  <c:v>2011</c:v>
                </c:pt>
              </c:strCache>
            </c:strRef>
          </c:tx>
          <c:spPr>
            <a:ln w="28800">
              <a:solidFill>
                <a:srgbClr val="158466">
                  <a:alpha val="6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List1!$Q$5:$Q$370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1</c:v>
                </c:pt>
                <c:pt idx="119">
                  <c:v>1</c:v>
                </c:pt>
                <c:pt idx="120">
                  <c:v>2</c:v>
                </c:pt>
                <c:pt idx="121">
                  <c:v>2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5</c:v>
                </c:pt>
                <c:pt idx="140">
                  <c:v>6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9</c:v>
                </c:pt>
                <c:pt idx="152">
                  <c:v>10</c:v>
                </c:pt>
                <c:pt idx="153">
                  <c:v>10</c:v>
                </c:pt>
                <c:pt idx="154">
                  <c:v>10</c:v>
                </c:pt>
                <c:pt idx="155">
                  <c:v>10</c:v>
                </c:pt>
                <c:pt idx="156">
                  <c:v>11</c:v>
                </c:pt>
                <c:pt idx="157">
                  <c:v>12</c:v>
                </c:pt>
                <c:pt idx="158">
                  <c:v>13</c:v>
                </c:pt>
                <c:pt idx="159">
                  <c:v>13</c:v>
                </c:pt>
                <c:pt idx="160">
                  <c:v>13</c:v>
                </c:pt>
                <c:pt idx="161">
                  <c:v>13</c:v>
                </c:pt>
                <c:pt idx="162">
                  <c:v>13</c:v>
                </c:pt>
                <c:pt idx="163">
                  <c:v>13</c:v>
                </c:pt>
                <c:pt idx="164">
                  <c:v>13</c:v>
                </c:pt>
                <c:pt idx="165">
                  <c:v>14</c:v>
                </c:pt>
                <c:pt idx="166">
                  <c:v>14</c:v>
                </c:pt>
                <c:pt idx="167">
                  <c:v>15</c:v>
                </c:pt>
                <c:pt idx="168">
                  <c:v>15</c:v>
                </c:pt>
                <c:pt idx="169">
                  <c:v>15</c:v>
                </c:pt>
                <c:pt idx="170">
                  <c:v>15</c:v>
                </c:pt>
                <c:pt idx="171">
                  <c:v>15</c:v>
                </c:pt>
                <c:pt idx="172">
                  <c:v>15</c:v>
                </c:pt>
                <c:pt idx="173">
                  <c:v>16</c:v>
                </c:pt>
                <c:pt idx="174">
                  <c:v>17</c:v>
                </c:pt>
                <c:pt idx="175">
                  <c:v>17</c:v>
                </c:pt>
                <c:pt idx="176">
                  <c:v>17</c:v>
                </c:pt>
                <c:pt idx="177">
                  <c:v>17</c:v>
                </c:pt>
                <c:pt idx="178">
                  <c:v>17</c:v>
                </c:pt>
                <c:pt idx="179">
                  <c:v>17</c:v>
                </c:pt>
                <c:pt idx="180">
                  <c:v>17</c:v>
                </c:pt>
                <c:pt idx="181">
                  <c:v>17</c:v>
                </c:pt>
                <c:pt idx="182">
                  <c:v>17</c:v>
                </c:pt>
                <c:pt idx="183">
                  <c:v>17</c:v>
                </c:pt>
                <c:pt idx="184">
                  <c:v>17</c:v>
                </c:pt>
                <c:pt idx="185">
                  <c:v>17</c:v>
                </c:pt>
                <c:pt idx="186">
                  <c:v>17</c:v>
                </c:pt>
                <c:pt idx="187">
                  <c:v>18</c:v>
                </c:pt>
                <c:pt idx="188">
                  <c:v>19</c:v>
                </c:pt>
                <c:pt idx="189">
                  <c:v>20</c:v>
                </c:pt>
                <c:pt idx="190">
                  <c:v>20</c:v>
                </c:pt>
                <c:pt idx="191">
                  <c:v>21</c:v>
                </c:pt>
                <c:pt idx="192">
                  <c:v>22</c:v>
                </c:pt>
                <c:pt idx="193">
                  <c:v>22</c:v>
                </c:pt>
                <c:pt idx="194">
                  <c:v>23</c:v>
                </c:pt>
                <c:pt idx="195">
                  <c:v>23</c:v>
                </c:pt>
                <c:pt idx="196">
                  <c:v>23</c:v>
                </c:pt>
                <c:pt idx="197">
                  <c:v>23</c:v>
                </c:pt>
                <c:pt idx="198">
                  <c:v>23</c:v>
                </c:pt>
                <c:pt idx="199">
                  <c:v>23</c:v>
                </c:pt>
                <c:pt idx="200">
                  <c:v>23</c:v>
                </c:pt>
                <c:pt idx="201">
                  <c:v>24</c:v>
                </c:pt>
                <c:pt idx="202">
                  <c:v>24</c:v>
                </c:pt>
                <c:pt idx="203">
                  <c:v>24</c:v>
                </c:pt>
                <c:pt idx="204">
                  <c:v>24</c:v>
                </c:pt>
                <c:pt idx="205">
                  <c:v>24</c:v>
                </c:pt>
                <c:pt idx="206">
                  <c:v>24</c:v>
                </c:pt>
                <c:pt idx="207">
                  <c:v>24</c:v>
                </c:pt>
                <c:pt idx="208">
                  <c:v>24</c:v>
                </c:pt>
                <c:pt idx="209">
                  <c:v>24</c:v>
                </c:pt>
                <c:pt idx="210">
                  <c:v>24</c:v>
                </c:pt>
                <c:pt idx="211">
                  <c:v>24</c:v>
                </c:pt>
                <c:pt idx="212">
                  <c:v>24</c:v>
                </c:pt>
                <c:pt idx="213">
                  <c:v>24</c:v>
                </c:pt>
                <c:pt idx="214">
                  <c:v>24</c:v>
                </c:pt>
                <c:pt idx="215">
                  <c:v>24</c:v>
                </c:pt>
                <c:pt idx="216">
                  <c:v>25</c:v>
                </c:pt>
                <c:pt idx="217">
                  <c:v>25</c:v>
                </c:pt>
                <c:pt idx="218">
                  <c:v>25</c:v>
                </c:pt>
                <c:pt idx="219">
                  <c:v>25</c:v>
                </c:pt>
                <c:pt idx="220">
                  <c:v>25</c:v>
                </c:pt>
                <c:pt idx="221">
                  <c:v>25</c:v>
                </c:pt>
                <c:pt idx="222">
                  <c:v>25</c:v>
                </c:pt>
                <c:pt idx="223">
                  <c:v>25</c:v>
                </c:pt>
                <c:pt idx="224">
                  <c:v>25</c:v>
                </c:pt>
                <c:pt idx="225">
                  <c:v>25</c:v>
                </c:pt>
                <c:pt idx="226">
                  <c:v>26</c:v>
                </c:pt>
                <c:pt idx="227">
                  <c:v>26</c:v>
                </c:pt>
                <c:pt idx="228">
                  <c:v>26</c:v>
                </c:pt>
                <c:pt idx="229">
                  <c:v>26</c:v>
                </c:pt>
                <c:pt idx="230">
                  <c:v>26</c:v>
                </c:pt>
                <c:pt idx="231">
                  <c:v>27</c:v>
                </c:pt>
                <c:pt idx="232">
                  <c:v>27</c:v>
                </c:pt>
                <c:pt idx="233">
                  <c:v>27</c:v>
                </c:pt>
                <c:pt idx="234">
                  <c:v>27</c:v>
                </c:pt>
                <c:pt idx="235">
                  <c:v>27</c:v>
                </c:pt>
                <c:pt idx="236">
                  <c:v>28</c:v>
                </c:pt>
                <c:pt idx="237">
                  <c:v>29</c:v>
                </c:pt>
                <c:pt idx="238">
                  <c:v>29</c:v>
                </c:pt>
                <c:pt idx="239">
                  <c:v>29</c:v>
                </c:pt>
                <c:pt idx="240">
                  <c:v>29</c:v>
                </c:pt>
                <c:pt idx="241">
                  <c:v>29</c:v>
                </c:pt>
                <c:pt idx="242">
                  <c:v>29</c:v>
                </c:pt>
                <c:pt idx="243">
                  <c:v>29</c:v>
                </c:pt>
                <c:pt idx="244">
                  <c:v>29</c:v>
                </c:pt>
                <c:pt idx="245">
                  <c:v>29</c:v>
                </c:pt>
                <c:pt idx="246">
                  <c:v>29</c:v>
                </c:pt>
                <c:pt idx="247">
                  <c:v>29</c:v>
                </c:pt>
                <c:pt idx="248">
                  <c:v>30</c:v>
                </c:pt>
                <c:pt idx="249">
                  <c:v>30</c:v>
                </c:pt>
                <c:pt idx="250">
                  <c:v>30</c:v>
                </c:pt>
                <c:pt idx="251">
                  <c:v>30</c:v>
                </c:pt>
                <c:pt idx="252">
                  <c:v>30</c:v>
                </c:pt>
                <c:pt idx="253">
                  <c:v>30</c:v>
                </c:pt>
                <c:pt idx="254">
                  <c:v>31</c:v>
                </c:pt>
                <c:pt idx="255">
                  <c:v>31</c:v>
                </c:pt>
                <c:pt idx="256">
                  <c:v>31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31</c:v>
                </c:pt>
                <c:pt idx="264">
                  <c:v>31</c:v>
                </c:pt>
                <c:pt idx="265">
                  <c:v>31</c:v>
                </c:pt>
                <c:pt idx="266">
                  <c:v>31</c:v>
                </c:pt>
                <c:pt idx="267">
                  <c:v>31</c:v>
                </c:pt>
                <c:pt idx="268">
                  <c:v>31</c:v>
                </c:pt>
                <c:pt idx="269">
                  <c:v>31</c:v>
                </c:pt>
                <c:pt idx="270">
                  <c:v>32</c:v>
                </c:pt>
                <c:pt idx="271">
                  <c:v>32</c:v>
                </c:pt>
                <c:pt idx="272">
                  <c:v>32</c:v>
                </c:pt>
                <c:pt idx="273">
                  <c:v>32</c:v>
                </c:pt>
                <c:pt idx="274">
                  <c:v>32</c:v>
                </c:pt>
                <c:pt idx="275">
                  <c:v>32</c:v>
                </c:pt>
                <c:pt idx="276">
                  <c:v>32</c:v>
                </c:pt>
                <c:pt idx="277">
                  <c:v>32</c:v>
                </c:pt>
                <c:pt idx="278">
                  <c:v>32</c:v>
                </c:pt>
                <c:pt idx="279">
                  <c:v>32</c:v>
                </c:pt>
                <c:pt idx="280">
                  <c:v>32</c:v>
                </c:pt>
                <c:pt idx="281">
                  <c:v>32</c:v>
                </c:pt>
                <c:pt idx="282">
                  <c:v>32</c:v>
                </c:pt>
                <c:pt idx="283">
                  <c:v>32</c:v>
                </c:pt>
                <c:pt idx="284">
                  <c:v>32</c:v>
                </c:pt>
                <c:pt idx="285">
                  <c:v>32</c:v>
                </c:pt>
                <c:pt idx="286">
                  <c:v>32</c:v>
                </c:pt>
                <c:pt idx="287">
                  <c:v>32</c:v>
                </c:pt>
                <c:pt idx="288">
                  <c:v>32</c:v>
                </c:pt>
                <c:pt idx="289">
                  <c:v>32</c:v>
                </c:pt>
                <c:pt idx="290">
                  <c:v>32</c:v>
                </c:pt>
                <c:pt idx="291">
                  <c:v>32</c:v>
                </c:pt>
                <c:pt idx="292">
                  <c:v>32</c:v>
                </c:pt>
                <c:pt idx="293">
                  <c:v>32</c:v>
                </c:pt>
                <c:pt idx="294">
                  <c:v>32</c:v>
                </c:pt>
                <c:pt idx="295">
                  <c:v>32</c:v>
                </c:pt>
                <c:pt idx="296">
                  <c:v>32</c:v>
                </c:pt>
                <c:pt idx="297">
                  <c:v>32</c:v>
                </c:pt>
                <c:pt idx="298">
                  <c:v>32</c:v>
                </c:pt>
                <c:pt idx="299">
                  <c:v>32</c:v>
                </c:pt>
                <c:pt idx="300">
                  <c:v>32</c:v>
                </c:pt>
                <c:pt idx="301">
                  <c:v>32</c:v>
                </c:pt>
                <c:pt idx="302">
                  <c:v>32</c:v>
                </c:pt>
                <c:pt idx="303">
                  <c:v>32</c:v>
                </c:pt>
                <c:pt idx="304">
                  <c:v>32</c:v>
                </c:pt>
                <c:pt idx="305">
                  <c:v>32</c:v>
                </c:pt>
                <c:pt idx="306">
                  <c:v>32</c:v>
                </c:pt>
                <c:pt idx="307">
                  <c:v>32</c:v>
                </c:pt>
                <c:pt idx="308">
                  <c:v>32</c:v>
                </c:pt>
                <c:pt idx="309">
                  <c:v>32</c:v>
                </c:pt>
                <c:pt idx="310">
                  <c:v>32</c:v>
                </c:pt>
                <c:pt idx="311">
                  <c:v>32</c:v>
                </c:pt>
                <c:pt idx="312">
                  <c:v>32</c:v>
                </c:pt>
                <c:pt idx="313">
                  <c:v>32</c:v>
                </c:pt>
                <c:pt idx="314">
                  <c:v>32</c:v>
                </c:pt>
                <c:pt idx="315">
                  <c:v>32</c:v>
                </c:pt>
                <c:pt idx="316">
                  <c:v>32</c:v>
                </c:pt>
                <c:pt idx="317">
                  <c:v>32</c:v>
                </c:pt>
                <c:pt idx="318">
                  <c:v>32</c:v>
                </c:pt>
                <c:pt idx="319">
                  <c:v>32</c:v>
                </c:pt>
                <c:pt idx="320">
                  <c:v>32</c:v>
                </c:pt>
                <c:pt idx="321">
                  <c:v>32</c:v>
                </c:pt>
                <c:pt idx="322">
                  <c:v>32</c:v>
                </c:pt>
                <c:pt idx="323">
                  <c:v>32</c:v>
                </c:pt>
                <c:pt idx="324">
                  <c:v>32</c:v>
                </c:pt>
                <c:pt idx="325">
                  <c:v>32</c:v>
                </c:pt>
                <c:pt idx="326">
                  <c:v>32</c:v>
                </c:pt>
                <c:pt idx="327">
                  <c:v>32</c:v>
                </c:pt>
                <c:pt idx="328">
                  <c:v>32</c:v>
                </c:pt>
                <c:pt idx="329">
                  <c:v>32</c:v>
                </c:pt>
                <c:pt idx="330">
                  <c:v>32</c:v>
                </c:pt>
                <c:pt idx="331">
                  <c:v>32</c:v>
                </c:pt>
                <c:pt idx="332">
                  <c:v>32</c:v>
                </c:pt>
                <c:pt idx="333">
                  <c:v>32</c:v>
                </c:pt>
                <c:pt idx="334">
                  <c:v>32</c:v>
                </c:pt>
                <c:pt idx="335">
                  <c:v>32</c:v>
                </c:pt>
                <c:pt idx="336">
                  <c:v>32</c:v>
                </c:pt>
                <c:pt idx="337">
                  <c:v>32</c:v>
                </c:pt>
                <c:pt idx="338">
                  <c:v>32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32</c:v>
                </c:pt>
                <c:pt idx="343">
                  <c:v>32</c:v>
                </c:pt>
                <c:pt idx="344">
                  <c:v>32</c:v>
                </c:pt>
                <c:pt idx="345">
                  <c:v>32</c:v>
                </c:pt>
                <c:pt idx="346">
                  <c:v>32</c:v>
                </c:pt>
                <c:pt idx="347">
                  <c:v>32</c:v>
                </c:pt>
                <c:pt idx="348">
                  <c:v>32</c:v>
                </c:pt>
                <c:pt idx="349">
                  <c:v>32</c:v>
                </c:pt>
                <c:pt idx="350">
                  <c:v>32</c:v>
                </c:pt>
                <c:pt idx="351">
                  <c:v>32</c:v>
                </c:pt>
                <c:pt idx="352">
                  <c:v>32</c:v>
                </c:pt>
                <c:pt idx="353">
                  <c:v>32</c:v>
                </c:pt>
                <c:pt idx="354">
                  <c:v>32</c:v>
                </c:pt>
                <c:pt idx="355">
                  <c:v>32</c:v>
                </c:pt>
                <c:pt idx="356">
                  <c:v>32</c:v>
                </c:pt>
                <c:pt idx="357">
                  <c:v>32</c:v>
                </c:pt>
                <c:pt idx="358">
                  <c:v>32</c:v>
                </c:pt>
                <c:pt idx="359">
                  <c:v>32</c:v>
                </c:pt>
                <c:pt idx="360">
                  <c:v>32</c:v>
                </c:pt>
                <c:pt idx="361">
                  <c:v>32</c:v>
                </c:pt>
                <c:pt idx="362">
                  <c:v>32</c:v>
                </c:pt>
                <c:pt idx="363">
                  <c:v>32</c:v>
                </c:pt>
                <c:pt idx="364">
                  <c:v>32</c:v>
                </c:pt>
                <c:pt idx="365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3BE-9041-9B32-DA116BC247BB}"/>
            </c:ext>
          </c:extLst>
        </c:ser>
        <c:ser>
          <c:idx val="14"/>
          <c:order val="14"/>
          <c:tx>
            <c:strRef>
              <c:f>List1!$R$4</c:f>
              <c:strCache>
                <c:ptCount val="1"/>
                <c:pt idx="0">
                  <c:v>2012</c:v>
                </c:pt>
              </c:strCache>
            </c:strRef>
          </c:tx>
          <c:spPr>
            <a:ln w="28800">
              <a:solidFill>
                <a:srgbClr val="00A933">
                  <a:alpha val="6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List1!$R$5:$R$370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5</c:v>
                </c:pt>
                <c:pt idx="129">
                  <c:v>5</c:v>
                </c:pt>
                <c:pt idx="130">
                  <c:v>5</c:v>
                </c:pt>
                <c:pt idx="131">
                  <c:v>6</c:v>
                </c:pt>
                <c:pt idx="132">
                  <c:v>7</c:v>
                </c:pt>
                <c:pt idx="133">
                  <c:v>7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7</c:v>
                </c:pt>
                <c:pt idx="141">
                  <c:v>7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8</c:v>
                </c:pt>
                <c:pt idx="148">
                  <c:v>8</c:v>
                </c:pt>
                <c:pt idx="149">
                  <c:v>8</c:v>
                </c:pt>
                <c:pt idx="150">
                  <c:v>8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9</c:v>
                </c:pt>
                <c:pt idx="156">
                  <c:v>9</c:v>
                </c:pt>
                <c:pt idx="157">
                  <c:v>9</c:v>
                </c:pt>
                <c:pt idx="158">
                  <c:v>9</c:v>
                </c:pt>
                <c:pt idx="159">
                  <c:v>9</c:v>
                </c:pt>
                <c:pt idx="160">
                  <c:v>9</c:v>
                </c:pt>
                <c:pt idx="161">
                  <c:v>9</c:v>
                </c:pt>
                <c:pt idx="162">
                  <c:v>9</c:v>
                </c:pt>
                <c:pt idx="163">
                  <c:v>9</c:v>
                </c:pt>
                <c:pt idx="164">
                  <c:v>9</c:v>
                </c:pt>
                <c:pt idx="165">
                  <c:v>9</c:v>
                </c:pt>
                <c:pt idx="166">
                  <c:v>9</c:v>
                </c:pt>
                <c:pt idx="167">
                  <c:v>10</c:v>
                </c:pt>
                <c:pt idx="168">
                  <c:v>11</c:v>
                </c:pt>
                <c:pt idx="169">
                  <c:v>12</c:v>
                </c:pt>
                <c:pt idx="170">
                  <c:v>12</c:v>
                </c:pt>
                <c:pt idx="171">
                  <c:v>13</c:v>
                </c:pt>
                <c:pt idx="172">
                  <c:v>14</c:v>
                </c:pt>
                <c:pt idx="173">
                  <c:v>14</c:v>
                </c:pt>
                <c:pt idx="174">
                  <c:v>14</c:v>
                </c:pt>
                <c:pt idx="175">
                  <c:v>14</c:v>
                </c:pt>
                <c:pt idx="176">
                  <c:v>14</c:v>
                </c:pt>
                <c:pt idx="177">
                  <c:v>14</c:v>
                </c:pt>
                <c:pt idx="178">
                  <c:v>14</c:v>
                </c:pt>
                <c:pt idx="179">
                  <c:v>14</c:v>
                </c:pt>
                <c:pt idx="180">
                  <c:v>14</c:v>
                </c:pt>
                <c:pt idx="181">
                  <c:v>15</c:v>
                </c:pt>
                <c:pt idx="182">
                  <c:v>16</c:v>
                </c:pt>
                <c:pt idx="183">
                  <c:v>17</c:v>
                </c:pt>
                <c:pt idx="184">
                  <c:v>18</c:v>
                </c:pt>
                <c:pt idx="185">
                  <c:v>18</c:v>
                </c:pt>
                <c:pt idx="186">
                  <c:v>19</c:v>
                </c:pt>
                <c:pt idx="187">
                  <c:v>20</c:v>
                </c:pt>
                <c:pt idx="188">
                  <c:v>20</c:v>
                </c:pt>
                <c:pt idx="189">
                  <c:v>20</c:v>
                </c:pt>
                <c:pt idx="190">
                  <c:v>20</c:v>
                </c:pt>
                <c:pt idx="191">
                  <c:v>21</c:v>
                </c:pt>
                <c:pt idx="192">
                  <c:v>21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23</c:v>
                </c:pt>
                <c:pt idx="197">
                  <c:v>23</c:v>
                </c:pt>
                <c:pt idx="198">
                  <c:v>23</c:v>
                </c:pt>
                <c:pt idx="199">
                  <c:v>23</c:v>
                </c:pt>
                <c:pt idx="200">
                  <c:v>23</c:v>
                </c:pt>
                <c:pt idx="201">
                  <c:v>23</c:v>
                </c:pt>
                <c:pt idx="202">
                  <c:v>24</c:v>
                </c:pt>
                <c:pt idx="203">
                  <c:v>24</c:v>
                </c:pt>
                <c:pt idx="204">
                  <c:v>24</c:v>
                </c:pt>
                <c:pt idx="205">
                  <c:v>24</c:v>
                </c:pt>
                <c:pt idx="206">
                  <c:v>24</c:v>
                </c:pt>
                <c:pt idx="207">
                  <c:v>24</c:v>
                </c:pt>
                <c:pt idx="208">
                  <c:v>24</c:v>
                </c:pt>
                <c:pt idx="209">
                  <c:v>25</c:v>
                </c:pt>
                <c:pt idx="210">
                  <c:v>25</c:v>
                </c:pt>
                <c:pt idx="211">
                  <c:v>25</c:v>
                </c:pt>
                <c:pt idx="212">
                  <c:v>25</c:v>
                </c:pt>
                <c:pt idx="213">
                  <c:v>25</c:v>
                </c:pt>
                <c:pt idx="214">
                  <c:v>26</c:v>
                </c:pt>
                <c:pt idx="215">
                  <c:v>27</c:v>
                </c:pt>
                <c:pt idx="216">
                  <c:v>27</c:v>
                </c:pt>
                <c:pt idx="217">
                  <c:v>28</c:v>
                </c:pt>
                <c:pt idx="218">
                  <c:v>28</c:v>
                </c:pt>
                <c:pt idx="219">
                  <c:v>28</c:v>
                </c:pt>
                <c:pt idx="220">
                  <c:v>28</c:v>
                </c:pt>
                <c:pt idx="221">
                  <c:v>28</c:v>
                </c:pt>
                <c:pt idx="222">
                  <c:v>28</c:v>
                </c:pt>
                <c:pt idx="223">
                  <c:v>28</c:v>
                </c:pt>
                <c:pt idx="224">
                  <c:v>28</c:v>
                </c:pt>
                <c:pt idx="225">
                  <c:v>28</c:v>
                </c:pt>
                <c:pt idx="226">
                  <c:v>28</c:v>
                </c:pt>
                <c:pt idx="227">
                  <c:v>28</c:v>
                </c:pt>
                <c:pt idx="228">
                  <c:v>28</c:v>
                </c:pt>
                <c:pt idx="229">
                  <c:v>28</c:v>
                </c:pt>
                <c:pt idx="230">
                  <c:v>28</c:v>
                </c:pt>
                <c:pt idx="231">
                  <c:v>28</c:v>
                </c:pt>
                <c:pt idx="232">
                  <c:v>28</c:v>
                </c:pt>
                <c:pt idx="233">
                  <c:v>29</c:v>
                </c:pt>
                <c:pt idx="234">
                  <c:v>30</c:v>
                </c:pt>
                <c:pt idx="235">
                  <c:v>30</c:v>
                </c:pt>
                <c:pt idx="236">
                  <c:v>30</c:v>
                </c:pt>
                <c:pt idx="237">
                  <c:v>30</c:v>
                </c:pt>
                <c:pt idx="238">
                  <c:v>30</c:v>
                </c:pt>
                <c:pt idx="239">
                  <c:v>30</c:v>
                </c:pt>
                <c:pt idx="240">
                  <c:v>30</c:v>
                </c:pt>
                <c:pt idx="241">
                  <c:v>30</c:v>
                </c:pt>
                <c:pt idx="242">
                  <c:v>31</c:v>
                </c:pt>
                <c:pt idx="243">
                  <c:v>31</c:v>
                </c:pt>
                <c:pt idx="244">
                  <c:v>31</c:v>
                </c:pt>
                <c:pt idx="245">
                  <c:v>31</c:v>
                </c:pt>
                <c:pt idx="246">
                  <c:v>31</c:v>
                </c:pt>
                <c:pt idx="247">
                  <c:v>31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31</c:v>
                </c:pt>
                <c:pt idx="252">
                  <c:v>31</c:v>
                </c:pt>
                <c:pt idx="253">
                  <c:v>32</c:v>
                </c:pt>
                <c:pt idx="254">
                  <c:v>33</c:v>
                </c:pt>
                <c:pt idx="255">
                  <c:v>33</c:v>
                </c:pt>
                <c:pt idx="256">
                  <c:v>33</c:v>
                </c:pt>
                <c:pt idx="257">
                  <c:v>33</c:v>
                </c:pt>
                <c:pt idx="258">
                  <c:v>33</c:v>
                </c:pt>
                <c:pt idx="259">
                  <c:v>33</c:v>
                </c:pt>
                <c:pt idx="260">
                  <c:v>33</c:v>
                </c:pt>
                <c:pt idx="261">
                  <c:v>33</c:v>
                </c:pt>
                <c:pt idx="262">
                  <c:v>33</c:v>
                </c:pt>
                <c:pt idx="263">
                  <c:v>33</c:v>
                </c:pt>
                <c:pt idx="264">
                  <c:v>33</c:v>
                </c:pt>
                <c:pt idx="265">
                  <c:v>33</c:v>
                </c:pt>
                <c:pt idx="266">
                  <c:v>33</c:v>
                </c:pt>
                <c:pt idx="267">
                  <c:v>33</c:v>
                </c:pt>
                <c:pt idx="268">
                  <c:v>33</c:v>
                </c:pt>
                <c:pt idx="269">
                  <c:v>33</c:v>
                </c:pt>
                <c:pt idx="270">
                  <c:v>33</c:v>
                </c:pt>
                <c:pt idx="271">
                  <c:v>33</c:v>
                </c:pt>
                <c:pt idx="272">
                  <c:v>33</c:v>
                </c:pt>
                <c:pt idx="273">
                  <c:v>33</c:v>
                </c:pt>
                <c:pt idx="274">
                  <c:v>33</c:v>
                </c:pt>
                <c:pt idx="275">
                  <c:v>33</c:v>
                </c:pt>
                <c:pt idx="276">
                  <c:v>33</c:v>
                </c:pt>
                <c:pt idx="277">
                  <c:v>33</c:v>
                </c:pt>
                <c:pt idx="278">
                  <c:v>33</c:v>
                </c:pt>
                <c:pt idx="279">
                  <c:v>33</c:v>
                </c:pt>
                <c:pt idx="280">
                  <c:v>33</c:v>
                </c:pt>
                <c:pt idx="281">
                  <c:v>33</c:v>
                </c:pt>
                <c:pt idx="282">
                  <c:v>33</c:v>
                </c:pt>
                <c:pt idx="283">
                  <c:v>33</c:v>
                </c:pt>
                <c:pt idx="284">
                  <c:v>33</c:v>
                </c:pt>
                <c:pt idx="285">
                  <c:v>33</c:v>
                </c:pt>
                <c:pt idx="286">
                  <c:v>33</c:v>
                </c:pt>
                <c:pt idx="287">
                  <c:v>33</c:v>
                </c:pt>
                <c:pt idx="288">
                  <c:v>33</c:v>
                </c:pt>
                <c:pt idx="289">
                  <c:v>33</c:v>
                </c:pt>
                <c:pt idx="290">
                  <c:v>33</c:v>
                </c:pt>
                <c:pt idx="291">
                  <c:v>33</c:v>
                </c:pt>
                <c:pt idx="292">
                  <c:v>33</c:v>
                </c:pt>
                <c:pt idx="293">
                  <c:v>33</c:v>
                </c:pt>
                <c:pt idx="294">
                  <c:v>33</c:v>
                </c:pt>
                <c:pt idx="295">
                  <c:v>33</c:v>
                </c:pt>
                <c:pt idx="296">
                  <c:v>33</c:v>
                </c:pt>
                <c:pt idx="297">
                  <c:v>33</c:v>
                </c:pt>
                <c:pt idx="298">
                  <c:v>33</c:v>
                </c:pt>
                <c:pt idx="299">
                  <c:v>33</c:v>
                </c:pt>
                <c:pt idx="300">
                  <c:v>33</c:v>
                </c:pt>
                <c:pt idx="301">
                  <c:v>33</c:v>
                </c:pt>
                <c:pt idx="302">
                  <c:v>33</c:v>
                </c:pt>
                <c:pt idx="303">
                  <c:v>33</c:v>
                </c:pt>
                <c:pt idx="304">
                  <c:v>33</c:v>
                </c:pt>
                <c:pt idx="305">
                  <c:v>33</c:v>
                </c:pt>
                <c:pt idx="306">
                  <c:v>33</c:v>
                </c:pt>
                <c:pt idx="307">
                  <c:v>33</c:v>
                </c:pt>
                <c:pt idx="308">
                  <c:v>33</c:v>
                </c:pt>
                <c:pt idx="309">
                  <c:v>33</c:v>
                </c:pt>
                <c:pt idx="310">
                  <c:v>33</c:v>
                </c:pt>
                <c:pt idx="311">
                  <c:v>33</c:v>
                </c:pt>
                <c:pt idx="312">
                  <c:v>33</c:v>
                </c:pt>
                <c:pt idx="313">
                  <c:v>33</c:v>
                </c:pt>
                <c:pt idx="314">
                  <c:v>33</c:v>
                </c:pt>
                <c:pt idx="315">
                  <c:v>33</c:v>
                </c:pt>
                <c:pt idx="316">
                  <c:v>33</c:v>
                </c:pt>
                <c:pt idx="317">
                  <c:v>33</c:v>
                </c:pt>
                <c:pt idx="318">
                  <c:v>33</c:v>
                </c:pt>
                <c:pt idx="319">
                  <c:v>33</c:v>
                </c:pt>
                <c:pt idx="320">
                  <c:v>33</c:v>
                </c:pt>
                <c:pt idx="321">
                  <c:v>33</c:v>
                </c:pt>
                <c:pt idx="322">
                  <c:v>33</c:v>
                </c:pt>
                <c:pt idx="323">
                  <c:v>33</c:v>
                </c:pt>
                <c:pt idx="324">
                  <c:v>33</c:v>
                </c:pt>
                <c:pt idx="325">
                  <c:v>33</c:v>
                </c:pt>
                <c:pt idx="326">
                  <c:v>33</c:v>
                </c:pt>
                <c:pt idx="327">
                  <c:v>33</c:v>
                </c:pt>
                <c:pt idx="328">
                  <c:v>33</c:v>
                </c:pt>
                <c:pt idx="329">
                  <c:v>33</c:v>
                </c:pt>
                <c:pt idx="330">
                  <c:v>33</c:v>
                </c:pt>
                <c:pt idx="331">
                  <c:v>33</c:v>
                </c:pt>
                <c:pt idx="332">
                  <c:v>33</c:v>
                </c:pt>
                <c:pt idx="333">
                  <c:v>33</c:v>
                </c:pt>
                <c:pt idx="334">
                  <c:v>33</c:v>
                </c:pt>
                <c:pt idx="335">
                  <c:v>33</c:v>
                </c:pt>
                <c:pt idx="336">
                  <c:v>33</c:v>
                </c:pt>
                <c:pt idx="337">
                  <c:v>33</c:v>
                </c:pt>
                <c:pt idx="338">
                  <c:v>33</c:v>
                </c:pt>
                <c:pt idx="339">
                  <c:v>33</c:v>
                </c:pt>
                <c:pt idx="340">
                  <c:v>33</c:v>
                </c:pt>
                <c:pt idx="341">
                  <c:v>33</c:v>
                </c:pt>
                <c:pt idx="342">
                  <c:v>33</c:v>
                </c:pt>
                <c:pt idx="343">
                  <c:v>33</c:v>
                </c:pt>
                <c:pt idx="344">
                  <c:v>33</c:v>
                </c:pt>
                <c:pt idx="345">
                  <c:v>33</c:v>
                </c:pt>
                <c:pt idx="346">
                  <c:v>33</c:v>
                </c:pt>
                <c:pt idx="347">
                  <c:v>33</c:v>
                </c:pt>
                <c:pt idx="348">
                  <c:v>33</c:v>
                </c:pt>
                <c:pt idx="349">
                  <c:v>33</c:v>
                </c:pt>
                <c:pt idx="350">
                  <c:v>33</c:v>
                </c:pt>
                <c:pt idx="351">
                  <c:v>33</c:v>
                </c:pt>
                <c:pt idx="352">
                  <c:v>33</c:v>
                </c:pt>
                <c:pt idx="353">
                  <c:v>33</c:v>
                </c:pt>
                <c:pt idx="354">
                  <c:v>33</c:v>
                </c:pt>
                <c:pt idx="355">
                  <c:v>33</c:v>
                </c:pt>
                <c:pt idx="356">
                  <c:v>33</c:v>
                </c:pt>
                <c:pt idx="357">
                  <c:v>33</c:v>
                </c:pt>
                <c:pt idx="358">
                  <c:v>33</c:v>
                </c:pt>
                <c:pt idx="359">
                  <c:v>33</c:v>
                </c:pt>
                <c:pt idx="360">
                  <c:v>33</c:v>
                </c:pt>
                <c:pt idx="361">
                  <c:v>33</c:v>
                </c:pt>
                <c:pt idx="362">
                  <c:v>33</c:v>
                </c:pt>
                <c:pt idx="363">
                  <c:v>33</c:v>
                </c:pt>
                <c:pt idx="364">
                  <c:v>33</c:v>
                </c:pt>
                <c:pt idx="365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3BE-9041-9B32-DA116BC247BB}"/>
            </c:ext>
          </c:extLst>
        </c:ser>
        <c:ser>
          <c:idx val="15"/>
          <c:order val="15"/>
          <c:tx>
            <c:strRef>
              <c:f>List1!$S$4</c:f>
              <c:strCache>
                <c:ptCount val="1"/>
                <c:pt idx="0">
                  <c:v>2013</c:v>
                </c:pt>
              </c:strCache>
            </c:strRef>
          </c:tx>
          <c:spPr>
            <a:ln w="28800">
              <a:solidFill>
                <a:srgbClr val="81D41A">
                  <a:alpha val="60000"/>
                </a:srgbClr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  <a:prstDash val="sysDot"/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List1!$S$5:$S$370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2</c:v>
                </c:pt>
                <c:pt idx="118">
                  <c:v>2</c:v>
                </c:pt>
                <c:pt idx="119">
                  <c:v>2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3</c:v>
                </c:pt>
                <c:pt idx="126">
                  <c:v>3</c:v>
                </c:pt>
                <c:pt idx="127">
                  <c:v>4</c:v>
                </c:pt>
                <c:pt idx="128">
                  <c:v>5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7</c:v>
                </c:pt>
                <c:pt idx="140">
                  <c:v>7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8</c:v>
                </c:pt>
                <c:pt idx="150">
                  <c:v>8</c:v>
                </c:pt>
                <c:pt idx="151">
                  <c:v>8</c:v>
                </c:pt>
                <c:pt idx="152">
                  <c:v>8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8</c:v>
                </c:pt>
                <c:pt idx="157">
                  <c:v>8</c:v>
                </c:pt>
                <c:pt idx="158">
                  <c:v>9</c:v>
                </c:pt>
                <c:pt idx="159">
                  <c:v>9</c:v>
                </c:pt>
                <c:pt idx="160">
                  <c:v>10</c:v>
                </c:pt>
                <c:pt idx="161">
                  <c:v>10</c:v>
                </c:pt>
                <c:pt idx="162">
                  <c:v>10</c:v>
                </c:pt>
                <c:pt idx="163">
                  <c:v>10</c:v>
                </c:pt>
                <c:pt idx="164">
                  <c:v>10</c:v>
                </c:pt>
                <c:pt idx="165">
                  <c:v>10</c:v>
                </c:pt>
                <c:pt idx="166">
                  <c:v>10</c:v>
                </c:pt>
                <c:pt idx="167">
                  <c:v>10</c:v>
                </c:pt>
                <c:pt idx="168">
                  <c:v>10</c:v>
                </c:pt>
                <c:pt idx="169">
                  <c:v>10</c:v>
                </c:pt>
                <c:pt idx="170">
                  <c:v>10</c:v>
                </c:pt>
                <c:pt idx="171">
                  <c:v>11</c:v>
                </c:pt>
                <c:pt idx="172">
                  <c:v>12</c:v>
                </c:pt>
                <c:pt idx="173">
                  <c:v>12</c:v>
                </c:pt>
                <c:pt idx="174">
                  <c:v>12</c:v>
                </c:pt>
                <c:pt idx="175">
                  <c:v>12</c:v>
                </c:pt>
                <c:pt idx="176">
                  <c:v>12</c:v>
                </c:pt>
                <c:pt idx="177">
                  <c:v>12</c:v>
                </c:pt>
                <c:pt idx="178">
                  <c:v>12</c:v>
                </c:pt>
                <c:pt idx="179">
                  <c:v>12</c:v>
                </c:pt>
                <c:pt idx="180">
                  <c:v>12</c:v>
                </c:pt>
                <c:pt idx="181">
                  <c:v>12</c:v>
                </c:pt>
                <c:pt idx="182">
                  <c:v>12</c:v>
                </c:pt>
                <c:pt idx="183">
                  <c:v>12</c:v>
                </c:pt>
                <c:pt idx="184">
                  <c:v>12</c:v>
                </c:pt>
                <c:pt idx="185">
                  <c:v>12</c:v>
                </c:pt>
                <c:pt idx="186">
                  <c:v>12</c:v>
                </c:pt>
                <c:pt idx="187">
                  <c:v>12</c:v>
                </c:pt>
                <c:pt idx="188">
                  <c:v>12</c:v>
                </c:pt>
                <c:pt idx="189">
                  <c:v>12</c:v>
                </c:pt>
                <c:pt idx="190">
                  <c:v>12</c:v>
                </c:pt>
                <c:pt idx="191">
                  <c:v>12</c:v>
                </c:pt>
                <c:pt idx="192">
                  <c:v>12</c:v>
                </c:pt>
                <c:pt idx="193">
                  <c:v>12</c:v>
                </c:pt>
                <c:pt idx="194">
                  <c:v>12</c:v>
                </c:pt>
                <c:pt idx="195">
                  <c:v>12</c:v>
                </c:pt>
                <c:pt idx="196">
                  <c:v>12</c:v>
                </c:pt>
                <c:pt idx="197">
                  <c:v>12</c:v>
                </c:pt>
                <c:pt idx="198">
                  <c:v>12</c:v>
                </c:pt>
                <c:pt idx="199">
                  <c:v>12</c:v>
                </c:pt>
                <c:pt idx="200">
                  <c:v>12</c:v>
                </c:pt>
                <c:pt idx="201">
                  <c:v>12</c:v>
                </c:pt>
                <c:pt idx="202">
                  <c:v>12</c:v>
                </c:pt>
                <c:pt idx="203">
                  <c:v>12</c:v>
                </c:pt>
                <c:pt idx="204">
                  <c:v>12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14</c:v>
                </c:pt>
                <c:pt idx="210">
                  <c:v>15</c:v>
                </c:pt>
                <c:pt idx="211">
                  <c:v>15</c:v>
                </c:pt>
                <c:pt idx="212">
                  <c:v>15</c:v>
                </c:pt>
                <c:pt idx="213">
                  <c:v>15</c:v>
                </c:pt>
                <c:pt idx="214">
                  <c:v>15</c:v>
                </c:pt>
                <c:pt idx="215">
                  <c:v>16</c:v>
                </c:pt>
                <c:pt idx="216">
                  <c:v>17</c:v>
                </c:pt>
                <c:pt idx="217">
                  <c:v>17</c:v>
                </c:pt>
                <c:pt idx="218">
                  <c:v>18</c:v>
                </c:pt>
                <c:pt idx="219">
                  <c:v>18</c:v>
                </c:pt>
                <c:pt idx="220">
                  <c:v>18</c:v>
                </c:pt>
                <c:pt idx="221">
                  <c:v>18</c:v>
                </c:pt>
                <c:pt idx="222">
                  <c:v>19</c:v>
                </c:pt>
                <c:pt idx="223">
                  <c:v>19</c:v>
                </c:pt>
                <c:pt idx="224">
                  <c:v>19</c:v>
                </c:pt>
                <c:pt idx="225">
                  <c:v>19</c:v>
                </c:pt>
                <c:pt idx="226">
                  <c:v>19</c:v>
                </c:pt>
                <c:pt idx="227">
                  <c:v>19</c:v>
                </c:pt>
                <c:pt idx="228">
                  <c:v>19</c:v>
                </c:pt>
                <c:pt idx="229">
                  <c:v>19</c:v>
                </c:pt>
                <c:pt idx="230">
                  <c:v>19</c:v>
                </c:pt>
                <c:pt idx="231">
                  <c:v>19</c:v>
                </c:pt>
                <c:pt idx="232">
                  <c:v>19</c:v>
                </c:pt>
                <c:pt idx="233">
                  <c:v>19</c:v>
                </c:pt>
                <c:pt idx="234">
                  <c:v>19</c:v>
                </c:pt>
                <c:pt idx="235">
                  <c:v>19</c:v>
                </c:pt>
                <c:pt idx="236">
                  <c:v>19</c:v>
                </c:pt>
                <c:pt idx="237">
                  <c:v>19</c:v>
                </c:pt>
                <c:pt idx="238">
                  <c:v>19</c:v>
                </c:pt>
                <c:pt idx="239">
                  <c:v>19</c:v>
                </c:pt>
                <c:pt idx="240">
                  <c:v>19</c:v>
                </c:pt>
                <c:pt idx="241">
                  <c:v>19</c:v>
                </c:pt>
                <c:pt idx="242">
                  <c:v>19</c:v>
                </c:pt>
                <c:pt idx="243">
                  <c:v>19</c:v>
                </c:pt>
                <c:pt idx="244">
                  <c:v>19</c:v>
                </c:pt>
                <c:pt idx="245">
                  <c:v>19</c:v>
                </c:pt>
                <c:pt idx="246">
                  <c:v>19</c:v>
                </c:pt>
                <c:pt idx="247">
                  <c:v>19</c:v>
                </c:pt>
                <c:pt idx="248">
                  <c:v>19</c:v>
                </c:pt>
                <c:pt idx="249">
                  <c:v>19</c:v>
                </c:pt>
                <c:pt idx="250">
                  <c:v>19</c:v>
                </c:pt>
                <c:pt idx="251">
                  <c:v>19</c:v>
                </c:pt>
                <c:pt idx="252">
                  <c:v>20</c:v>
                </c:pt>
                <c:pt idx="253">
                  <c:v>20</c:v>
                </c:pt>
                <c:pt idx="254">
                  <c:v>20</c:v>
                </c:pt>
                <c:pt idx="255">
                  <c:v>20</c:v>
                </c:pt>
                <c:pt idx="256">
                  <c:v>20</c:v>
                </c:pt>
                <c:pt idx="257">
                  <c:v>20</c:v>
                </c:pt>
                <c:pt idx="258">
                  <c:v>20</c:v>
                </c:pt>
                <c:pt idx="259">
                  <c:v>20</c:v>
                </c:pt>
                <c:pt idx="260">
                  <c:v>20</c:v>
                </c:pt>
                <c:pt idx="261">
                  <c:v>20</c:v>
                </c:pt>
                <c:pt idx="262">
                  <c:v>20</c:v>
                </c:pt>
                <c:pt idx="263">
                  <c:v>20</c:v>
                </c:pt>
                <c:pt idx="264">
                  <c:v>20</c:v>
                </c:pt>
                <c:pt idx="265">
                  <c:v>20</c:v>
                </c:pt>
                <c:pt idx="266">
                  <c:v>20</c:v>
                </c:pt>
                <c:pt idx="267">
                  <c:v>20</c:v>
                </c:pt>
                <c:pt idx="268">
                  <c:v>20</c:v>
                </c:pt>
                <c:pt idx="269">
                  <c:v>20</c:v>
                </c:pt>
                <c:pt idx="270">
                  <c:v>20</c:v>
                </c:pt>
                <c:pt idx="271">
                  <c:v>20</c:v>
                </c:pt>
                <c:pt idx="272">
                  <c:v>20</c:v>
                </c:pt>
                <c:pt idx="273">
                  <c:v>20</c:v>
                </c:pt>
                <c:pt idx="274">
                  <c:v>20</c:v>
                </c:pt>
                <c:pt idx="275">
                  <c:v>20</c:v>
                </c:pt>
                <c:pt idx="276">
                  <c:v>20</c:v>
                </c:pt>
                <c:pt idx="277">
                  <c:v>20</c:v>
                </c:pt>
                <c:pt idx="278">
                  <c:v>20</c:v>
                </c:pt>
                <c:pt idx="279">
                  <c:v>20</c:v>
                </c:pt>
                <c:pt idx="280">
                  <c:v>20</c:v>
                </c:pt>
                <c:pt idx="281">
                  <c:v>20</c:v>
                </c:pt>
                <c:pt idx="282">
                  <c:v>20</c:v>
                </c:pt>
                <c:pt idx="283">
                  <c:v>20</c:v>
                </c:pt>
                <c:pt idx="284">
                  <c:v>20</c:v>
                </c:pt>
                <c:pt idx="285">
                  <c:v>20</c:v>
                </c:pt>
                <c:pt idx="286">
                  <c:v>20</c:v>
                </c:pt>
                <c:pt idx="287">
                  <c:v>20</c:v>
                </c:pt>
                <c:pt idx="288">
                  <c:v>20</c:v>
                </c:pt>
                <c:pt idx="289">
                  <c:v>20</c:v>
                </c:pt>
                <c:pt idx="290">
                  <c:v>20</c:v>
                </c:pt>
                <c:pt idx="291">
                  <c:v>20</c:v>
                </c:pt>
                <c:pt idx="292">
                  <c:v>20</c:v>
                </c:pt>
                <c:pt idx="293">
                  <c:v>20</c:v>
                </c:pt>
                <c:pt idx="294">
                  <c:v>20</c:v>
                </c:pt>
                <c:pt idx="295">
                  <c:v>20</c:v>
                </c:pt>
                <c:pt idx="296">
                  <c:v>20</c:v>
                </c:pt>
                <c:pt idx="297">
                  <c:v>20</c:v>
                </c:pt>
                <c:pt idx="298">
                  <c:v>20</c:v>
                </c:pt>
                <c:pt idx="299">
                  <c:v>20</c:v>
                </c:pt>
                <c:pt idx="300">
                  <c:v>20</c:v>
                </c:pt>
                <c:pt idx="301">
                  <c:v>20</c:v>
                </c:pt>
                <c:pt idx="302">
                  <c:v>20</c:v>
                </c:pt>
                <c:pt idx="303">
                  <c:v>20</c:v>
                </c:pt>
                <c:pt idx="304">
                  <c:v>20</c:v>
                </c:pt>
                <c:pt idx="305">
                  <c:v>20</c:v>
                </c:pt>
                <c:pt idx="306">
                  <c:v>20</c:v>
                </c:pt>
                <c:pt idx="307">
                  <c:v>20</c:v>
                </c:pt>
                <c:pt idx="308">
                  <c:v>20</c:v>
                </c:pt>
                <c:pt idx="309">
                  <c:v>20</c:v>
                </c:pt>
                <c:pt idx="310">
                  <c:v>20</c:v>
                </c:pt>
                <c:pt idx="311">
                  <c:v>20</c:v>
                </c:pt>
                <c:pt idx="312">
                  <c:v>20</c:v>
                </c:pt>
                <c:pt idx="313">
                  <c:v>20</c:v>
                </c:pt>
                <c:pt idx="314">
                  <c:v>20</c:v>
                </c:pt>
                <c:pt idx="315">
                  <c:v>20</c:v>
                </c:pt>
                <c:pt idx="316">
                  <c:v>20</c:v>
                </c:pt>
                <c:pt idx="317">
                  <c:v>20</c:v>
                </c:pt>
                <c:pt idx="318">
                  <c:v>20</c:v>
                </c:pt>
                <c:pt idx="319">
                  <c:v>20</c:v>
                </c:pt>
                <c:pt idx="320">
                  <c:v>20</c:v>
                </c:pt>
                <c:pt idx="321">
                  <c:v>20</c:v>
                </c:pt>
                <c:pt idx="322">
                  <c:v>20</c:v>
                </c:pt>
                <c:pt idx="323">
                  <c:v>20</c:v>
                </c:pt>
                <c:pt idx="324">
                  <c:v>20</c:v>
                </c:pt>
                <c:pt idx="325">
                  <c:v>20</c:v>
                </c:pt>
                <c:pt idx="326">
                  <c:v>20</c:v>
                </c:pt>
                <c:pt idx="327">
                  <c:v>20</c:v>
                </c:pt>
                <c:pt idx="328">
                  <c:v>20</c:v>
                </c:pt>
                <c:pt idx="329">
                  <c:v>20</c:v>
                </c:pt>
                <c:pt idx="330">
                  <c:v>20</c:v>
                </c:pt>
                <c:pt idx="331">
                  <c:v>20</c:v>
                </c:pt>
                <c:pt idx="332">
                  <c:v>20</c:v>
                </c:pt>
                <c:pt idx="333">
                  <c:v>20</c:v>
                </c:pt>
                <c:pt idx="334">
                  <c:v>20</c:v>
                </c:pt>
                <c:pt idx="335">
                  <c:v>20</c:v>
                </c:pt>
                <c:pt idx="336">
                  <c:v>20</c:v>
                </c:pt>
                <c:pt idx="337">
                  <c:v>20</c:v>
                </c:pt>
                <c:pt idx="338">
                  <c:v>20</c:v>
                </c:pt>
                <c:pt idx="339">
                  <c:v>20</c:v>
                </c:pt>
                <c:pt idx="340">
                  <c:v>20</c:v>
                </c:pt>
                <c:pt idx="341">
                  <c:v>20</c:v>
                </c:pt>
                <c:pt idx="342">
                  <c:v>20</c:v>
                </c:pt>
                <c:pt idx="343">
                  <c:v>20</c:v>
                </c:pt>
                <c:pt idx="344">
                  <c:v>20</c:v>
                </c:pt>
                <c:pt idx="345">
                  <c:v>20</c:v>
                </c:pt>
                <c:pt idx="346">
                  <c:v>20</c:v>
                </c:pt>
                <c:pt idx="347">
                  <c:v>20</c:v>
                </c:pt>
                <c:pt idx="348">
                  <c:v>20</c:v>
                </c:pt>
                <c:pt idx="349">
                  <c:v>20</c:v>
                </c:pt>
                <c:pt idx="350">
                  <c:v>20</c:v>
                </c:pt>
                <c:pt idx="351">
                  <c:v>20</c:v>
                </c:pt>
                <c:pt idx="352">
                  <c:v>20</c:v>
                </c:pt>
                <c:pt idx="353">
                  <c:v>20</c:v>
                </c:pt>
                <c:pt idx="354">
                  <c:v>20</c:v>
                </c:pt>
                <c:pt idx="355">
                  <c:v>20</c:v>
                </c:pt>
                <c:pt idx="356">
                  <c:v>20</c:v>
                </c:pt>
                <c:pt idx="357">
                  <c:v>20</c:v>
                </c:pt>
                <c:pt idx="358">
                  <c:v>20</c:v>
                </c:pt>
                <c:pt idx="359">
                  <c:v>20</c:v>
                </c:pt>
                <c:pt idx="360">
                  <c:v>20</c:v>
                </c:pt>
                <c:pt idx="361">
                  <c:v>20</c:v>
                </c:pt>
                <c:pt idx="362">
                  <c:v>20</c:v>
                </c:pt>
                <c:pt idx="363">
                  <c:v>20</c:v>
                </c:pt>
                <c:pt idx="364">
                  <c:v>20</c:v>
                </c:pt>
                <c:pt idx="365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3BE-9041-9B32-DA116BC247BB}"/>
            </c:ext>
          </c:extLst>
        </c:ser>
        <c:ser>
          <c:idx val="16"/>
          <c:order val="16"/>
          <c:tx>
            <c:strRef>
              <c:f>List1!$T$4</c:f>
              <c:strCache>
                <c:ptCount val="1"/>
                <c:pt idx="0">
                  <c:v>2014</c:v>
                </c:pt>
              </c:strCache>
            </c:strRef>
          </c:tx>
          <c:spPr>
            <a:ln w="28800" cap="rnd">
              <a:solidFill>
                <a:srgbClr val="FFFF00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List1!$T$5:$T$370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3</c:v>
                </c:pt>
                <c:pt idx="113">
                  <c:v>3</c:v>
                </c:pt>
                <c:pt idx="114">
                  <c:v>4</c:v>
                </c:pt>
                <c:pt idx="115">
                  <c:v>4</c:v>
                </c:pt>
                <c:pt idx="116">
                  <c:v>5</c:v>
                </c:pt>
                <c:pt idx="117">
                  <c:v>5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7</c:v>
                </c:pt>
                <c:pt idx="122">
                  <c:v>8</c:v>
                </c:pt>
                <c:pt idx="123">
                  <c:v>8</c:v>
                </c:pt>
                <c:pt idx="124">
                  <c:v>8</c:v>
                </c:pt>
                <c:pt idx="125">
                  <c:v>8</c:v>
                </c:pt>
                <c:pt idx="126">
                  <c:v>9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10</c:v>
                </c:pt>
                <c:pt idx="140">
                  <c:v>10</c:v>
                </c:pt>
                <c:pt idx="141">
                  <c:v>10</c:v>
                </c:pt>
                <c:pt idx="142">
                  <c:v>10</c:v>
                </c:pt>
                <c:pt idx="143">
                  <c:v>11</c:v>
                </c:pt>
                <c:pt idx="144">
                  <c:v>12</c:v>
                </c:pt>
                <c:pt idx="145">
                  <c:v>12</c:v>
                </c:pt>
                <c:pt idx="146">
                  <c:v>12</c:v>
                </c:pt>
                <c:pt idx="147">
                  <c:v>13</c:v>
                </c:pt>
                <c:pt idx="148">
                  <c:v>13</c:v>
                </c:pt>
                <c:pt idx="149">
                  <c:v>13</c:v>
                </c:pt>
                <c:pt idx="150">
                  <c:v>13</c:v>
                </c:pt>
                <c:pt idx="151">
                  <c:v>13</c:v>
                </c:pt>
                <c:pt idx="152">
                  <c:v>13</c:v>
                </c:pt>
                <c:pt idx="153">
                  <c:v>13</c:v>
                </c:pt>
                <c:pt idx="154">
                  <c:v>13</c:v>
                </c:pt>
                <c:pt idx="155">
                  <c:v>13</c:v>
                </c:pt>
                <c:pt idx="156">
                  <c:v>13</c:v>
                </c:pt>
                <c:pt idx="157">
                  <c:v>13</c:v>
                </c:pt>
                <c:pt idx="158">
                  <c:v>13</c:v>
                </c:pt>
                <c:pt idx="159">
                  <c:v>13</c:v>
                </c:pt>
                <c:pt idx="160">
                  <c:v>13</c:v>
                </c:pt>
                <c:pt idx="161">
                  <c:v>13</c:v>
                </c:pt>
                <c:pt idx="162">
                  <c:v>14</c:v>
                </c:pt>
                <c:pt idx="163">
                  <c:v>14</c:v>
                </c:pt>
                <c:pt idx="164">
                  <c:v>14</c:v>
                </c:pt>
                <c:pt idx="165">
                  <c:v>14</c:v>
                </c:pt>
                <c:pt idx="166">
                  <c:v>14</c:v>
                </c:pt>
                <c:pt idx="167">
                  <c:v>14</c:v>
                </c:pt>
                <c:pt idx="168">
                  <c:v>14</c:v>
                </c:pt>
                <c:pt idx="169">
                  <c:v>14</c:v>
                </c:pt>
                <c:pt idx="170">
                  <c:v>14</c:v>
                </c:pt>
                <c:pt idx="171">
                  <c:v>14</c:v>
                </c:pt>
                <c:pt idx="172">
                  <c:v>14</c:v>
                </c:pt>
                <c:pt idx="173">
                  <c:v>14</c:v>
                </c:pt>
                <c:pt idx="174">
                  <c:v>14</c:v>
                </c:pt>
                <c:pt idx="175">
                  <c:v>15</c:v>
                </c:pt>
                <c:pt idx="176">
                  <c:v>16</c:v>
                </c:pt>
                <c:pt idx="177">
                  <c:v>16</c:v>
                </c:pt>
                <c:pt idx="178">
                  <c:v>16</c:v>
                </c:pt>
                <c:pt idx="179">
                  <c:v>16</c:v>
                </c:pt>
                <c:pt idx="180">
                  <c:v>16</c:v>
                </c:pt>
                <c:pt idx="181">
                  <c:v>16</c:v>
                </c:pt>
                <c:pt idx="182">
                  <c:v>16</c:v>
                </c:pt>
                <c:pt idx="183">
                  <c:v>16</c:v>
                </c:pt>
                <c:pt idx="184">
                  <c:v>16</c:v>
                </c:pt>
                <c:pt idx="185">
                  <c:v>16</c:v>
                </c:pt>
                <c:pt idx="186">
                  <c:v>17</c:v>
                </c:pt>
                <c:pt idx="187">
                  <c:v>17</c:v>
                </c:pt>
                <c:pt idx="188">
                  <c:v>18</c:v>
                </c:pt>
                <c:pt idx="189">
                  <c:v>19</c:v>
                </c:pt>
                <c:pt idx="190">
                  <c:v>19</c:v>
                </c:pt>
                <c:pt idx="191">
                  <c:v>19</c:v>
                </c:pt>
                <c:pt idx="192">
                  <c:v>20</c:v>
                </c:pt>
                <c:pt idx="193">
                  <c:v>20</c:v>
                </c:pt>
                <c:pt idx="194">
                  <c:v>20</c:v>
                </c:pt>
                <c:pt idx="195">
                  <c:v>21</c:v>
                </c:pt>
                <c:pt idx="196">
                  <c:v>21</c:v>
                </c:pt>
                <c:pt idx="197">
                  <c:v>21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23</c:v>
                </c:pt>
                <c:pt idx="203">
                  <c:v>23</c:v>
                </c:pt>
                <c:pt idx="204">
                  <c:v>23</c:v>
                </c:pt>
                <c:pt idx="205">
                  <c:v>23</c:v>
                </c:pt>
                <c:pt idx="206">
                  <c:v>24</c:v>
                </c:pt>
                <c:pt idx="207">
                  <c:v>25</c:v>
                </c:pt>
                <c:pt idx="208">
                  <c:v>26</c:v>
                </c:pt>
                <c:pt idx="209">
                  <c:v>27</c:v>
                </c:pt>
                <c:pt idx="210">
                  <c:v>28</c:v>
                </c:pt>
                <c:pt idx="211">
                  <c:v>29</c:v>
                </c:pt>
                <c:pt idx="212">
                  <c:v>29</c:v>
                </c:pt>
                <c:pt idx="213">
                  <c:v>29</c:v>
                </c:pt>
                <c:pt idx="214">
                  <c:v>30</c:v>
                </c:pt>
                <c:pt idx="215">
                  <c:v>31</c:v>
                </c:pt>
                <c:pt idx="216">
                  <c:v>32</c:v>
                </c:pt>
                <c:pt idx="217">
                  <c:v>33</c:v>
                </c:pt>
                <c:pt idx="218">
                  <c:v>33</c:v>
                </c:pt>
                <c:pt idx="219">
                  <c:v>33</c:v>
                </c:pt>
                <c:pt idx="220">
                  <c:v>33</c:v>
                </c:pt>
                <c:pt idx="221">
                  <c:v>33</c:v>
                </c:pt>
                <c:pt idx="222">
                  <c:v>33</c:v>
                </c:pt>
                <c:pt idx="223">
                  <c:v>33</c:v>
                </c:pt>
                <c:pt idx="224">
                  <c:v>33</c:v>
                </c:pt>
                <c:pt idx="225">
                  <c:v>33</c:v>
                </c:pt>
                <c:pt idx="226">
                  <c:v>33</c:v>
                </c:pt>
                <c:pt idx="227">
                  <c:v>33</c:v>
                </c:pt>
                <c:pt idx="228">
                  <c:v>33</c:v>
                </c:pt>
                <c:pt idx="229">
                  <c:v>33</c:v>
                </c:pt>
                <c:pt idx="230">
                  <c:v>33</c:v>
                </c:pt>
                <c:pt idx="231">
                  <c:v>33</c:v>
                </c:pt>
                <c:pt idx="232">
                  <c:v>33</c:v>
                </c:pt>
                <c:pt idx="233">
                  <c:v>33</c:v>
                </c:pt>
                <c:pt idx="234">
                  <c:v>33</c:v>
                </c:pt>
                <c:pt idx="235">
                  <c:v>33</c:v>
                </c:pt>
                <c:pt idx="236">
                  <c:v>33</c:v>
                </c:pt>
                <c:pt idx="237">
                  <c:v>33</c:v>
                </c:pt>
                <c:pt idx="238">
                  <c:v>33</c:v>
                </c:pt>
                <c:pt idx="239">
                  <c:v>33</c:v>
                </c:pt>
                <c:pt idx="240">
                  <c:v>33</c:v>
                </c:pt>
                <c:pt idx="241">
                  <c:v>33</c:v>
                </c:pt>
                <c:pt idx="242">
                  <c:v>34</c:v>
                </c:pt>
                <c:pt idx="243">
                  <c:v>34</c:v>
                </c:pt>
                <c:pt idx="244">
                  <c:v>34</c:v>
                </c:pt>
                <c:pt idx="245">
                  <c:v>34</c:v>
                </c:pt>
                <c:pt idx="246">
                  <c:v>34</c:v>
                </c:pt>
                <c:pt idx="247">
                  <c:v>34</c:v>
                </c:pt>
                <c:pt idx="248">
                  <c:v>34</c:v>
                </c:pt>
                <c:pt idx="249">
                  <c:v>35</c:v>
                </c:pt>
                <c:pt idx="250">
                  <c:v>36</c:v>
                </c:pt>
                <c:pt idx="251">
                  <c:v>37</c:v>
                </c:pt>
                <c:pt idx="252">
                  <c:v>37</c:v>
                </c:pt>
                <c:pt idx="253">
                  <c:v>37</c:v>
                </c:pt>
                <c:pt idx="254">
                  <c:v>37</c:v>
                </c:pt>
                <c:pt idx="255">
                  <c:v>37</c:v>
                </c:pt>
                <c:pt idx="256">
                  <c:v>37</c:v>
                </c:pt>
                <c:pt idx="257">
                  <c:v>37</c:v>
                </c:pt>
                <c:pt idx="258">
                  <c:v>37</c:v>
                </c:pt>
                <c:pt idx="259">
                  <c:v>37</c:v>
                </c:pt>
                <c:pt idx="260">
                  <c:v>37</c:v>
                </c:pt>
                <c:pt idx="261">
                  <c:v>37</c:v>
                </c:pt>
                <c:pt idx="262">
                  <c:v>38</c:v>
                </c:pt>
                <c:pt idx="263">
                  <c:v>39</c:v>
                </c:pt>
                <c:pt idx="264">
                  <c:v>39</c:v>
                </c:pt>
                <c:pt idx="265">
                  <c:v>39</c:v>
                </c:pt>
                <c:pt idx="266">
                  <c:v>39</c:v>
                </c:pt>
                <c:pt idx="267">
                  <c:v>39</c:v>
                </c:pt>
                <c:pt idx="268">
                  <c:v>39</c:v>
                </c:pt>
                <c:pt idx="269">
                  <c:v>39</c:v>
                </c:pt>
                <c:pt idx="270">
                  <c:v>39</c:v>
                </c:pt>
                <c:pt idx="271">
                  <c:v>39</c:v>
                </c:pt>
                <c:pt idx="272">
                  <c:v>39</c:v>
                </c:pt>
                <c:pt idx="273">
                  <c:v>39</c:v>
                </c:pt>
                <c:pt idx="274">
                  <c:v>40</c:v>
                </c:pt>
                <c:pt idx="275">
                  <c:v>40</c:v>
                </c:pt>
                <c:pt idx="276">
                  <c:v>40</c:v>
                </c:pt>
                <c:pt idx="277">
                  <c:v>40</c:v>
                </c:pt>
                <c:pt idx="278">
                  <c:v>40</c:v>
                </c:pt>
                <c:pt idx="279">
                  <c:v>40</c:v>
                </c:pt>
                <c:pt idx="280">
                  <c:v>40</c:v>
                </c:pt>
                <c:pt idx="281">
                  <c:v>40</c:v>
                </c:pt>
                <c:pt idx="282">
                  <c:v>40</c:v>
                </c:pt>
                <c:pt idx="283">
                  <c:v>40</c:v>
                </c:pt>
                <c:pt idx="284">
                  <c:v>40</c:v>
                </c:pt>
                <c:pt idx="285">
                  <c:v>40</c:v>
                </c:pt>
                <c:pt idx="286">
                  <c:v>40</c:v>
                </c:pt>
                <c:pt idx="287">
                  <c:v>40</c:v>
                </c:pt>
                <c:pt idx="288">
                  <c:v>40</c:v>
                </c:pt>
                <c:pt idx="289">
                  <c:v>40</c:v>
                </c:pt>
                <c:pt idx="290">
                  <c:v>40</c:v>
                </c:pt>
                <c:pt idx="291">
                  <c:v>40</c:v>
                </c:pt>
                <c:pt idx="292">
                  <c:v>40</c:v>
                </c:pt>
                <c:pt idx="293">
                  <c:v>40</c:v>
                </c:pt>
                <c:pt idx="294">
                  <c:v>40</c:v>
                </c:pt>
                <c:pt idx="295">
                  <c:v>40</c:v>
                </c:pt>
                <c:pt idx="296">
                  <c:v>40</c:v>
                </c:pt>
                <c:pt idx="297">
                  <c:v>40</c:v>
                </c:pt>
                <c:pt idx="298">
                  <c:v>40</c:v>
                </c:pt>
                <c:pt idx="299">
                  <c:v>40</c:v>
                </c:pt>
                <c:pt idx="300">
                  <c:v>40</c:v>
                </c:pt>
                <c:pt idx="301">
                  <c:v>40</c:v>
                </c:pt>
                <c:pt idx="302">
                  <c:v>40</c:v>
                </c:pt>
                <c:pt idx="303">
                  <c:v>40</c:v>
                </c:pt>
                <c:pt idx="304">
                  <c:v>40</c:v>
                </c:pt>
                <c:pt idx="305">
                  <c:v>40</c:v>
                </c:pt>
                <c:pt idx="306">
                  <c:v>40</c:v>
                </c:pt>
                <c:pt idx="307">
                  <c:v>40</c:v>
                </c:pt>
                <c:pt idx="308">
                  <c:v>40</c:v>
                </c:pt>
                <c:pt idx="309">
                  <c:v>40</c:v>
                </c:pt>
                <c:pt idx="310">
                  <c:v>40</c:v>
                </c:pt>
                <c:pt idx="311">
                  <c:v>40</c:v>
                </c:pt>
                <c:pt idx="312">
                  <c:v>40</c:v>
                </c:pt>
                <c:pt idx="313">
                  <c:v>40</c:v>
                </c:pt>
                <c:pt idx="314">
                  <c:v>40</c:v>
                </c:pt>
                <c:pt idx="315">
                  <c:v>40</c:v>
                </c:pt>
                <c:pt idx="316">
                  <c:v>40</c:v>
                </c:pt>
                <c:pt idx="317">
                  <c:v>40</c:v>
                </c:pt>
                <c:pt idx="318">
                  <c:v>40</c:v>
                </c:pt>
                <c:pt idx="319">
                  <c:v>40</c:v>
                </c:pt>
                <c:pt idx="320">
                  <c:v>40</c:v>
                </c:pt>
                <c:pt idx="321">
                  <c:v>40</c:v>
                </c:pt>
                <c:pt idx="322">
                  <c:v>40</c:v>
                </c:pt>
                <c:pt idx="323">
                  <c:v>40</c:v>
                </c:pt>
                <c:pt idx="324">
                  <c:v>40</c:v>
                </c:pt>
                <c:pt idx="325">
                  <c:v>40</c:v>
                </c:pt>
                <c:pt idx="326">
                  <c:v>40</c:v>
                </c:pt>
                <c:pt idx="327">
                  <c:v>40</c:v>
                </c:pt>
                <c:pt idx="328">
                  <c:v>40</c:v>
                </c:pt>
                <c:pt idx="329">
                  <c:v>40</c:v>
                </c:pt>
                <c:pt idx="330">
                  <c:v>40</c:v>
                </c:pt>
                <c:pt idx="331">
                  <c:v>40</c:v>
                </c:pt>
                <c:pt idx="332">
                  <c:v>40</c:v>
                </c:pt>
                <c:pt idx="333">
                  <c:v>40</c:v>
                </c:pt>
                <c:pt idx="334">
                  <c:v>40</c:v>
                </c:pt>
                <c:pt idx="335">
                  <c:v>40</c:v>
                </c:pt>
                <c:pt idx="336">
                  <c:v>40</c:v>
                </c:pt>
                <c:pt idx="337">
                  <c:v>40</c:v>
                </c:pt>
                <c:pt idx="338">
                  <c:v>40</c:v>
                </c:pt>
                <c:pt idx="339">
                  <c:v>40</c:v>
                </c:pt>
                <c:pt idx="340">
                  <c:v>40</c:v>
                </c:pt>
                <c:pt idx="341">
                  <c:v>40</c:v>
                </c:pt>
                <c:pt idx="342">
                  <c:v>40</c:v>
                </c:pt>
                <c:pt idx="343">
                  <c:v>40</c:v>
                </c:pt>
                <c:pt idx="344">
                  <c:v>40</c:v>
                </c:pt>
                <c:pt idx="345">
                  <c:v>40</c:v>
                </c:pt>
                <c:pt idx="346">
                  <c:v>40</c:v>
                </c:pt>
                <c:pt idx="347">
                  <c:v>40</c:v>
                </c:pt>
                <c:pt idx="348">
                  <c:v>40</c:v>
                </c:pt>
                <c:pt idx="349">
                  <c:v>40</c:v>
                </c:pt>
                <c:pt idx="350">
                  <c:v>40</c:v>
                </c:pt>
                <c:pt idx="351">
                  <c:v>40</c:v>
                </c:pt>
                <c:pt idx="352">
                  <c:v>40</c:v>
                </c:pt>
                <c:pt idx="353">
                  <c:v>40</c:v>
                </c:pt>
                <c:pt idx="354">
                  <c:v>40</c:v>
                </c:pt>
                <c:pt idx="355">
                  <c:v>40</c:v>
                </c:pt>
                <c:pt idx="356">
                  <c:v>40</c:v>
                </c:pt>
                <c:pt idx="357">
                  <c:v>40</c:v>
                </c:pt>
                <c:pt idx="358">
                  <c:v>40</c:v>
                </c:pt>
                <c:pt idx="359">
                  <c:v>40</c:v>
                </c:pt>
                <c:pt idx="360">
                  <c:v>40</c:v>
                </c:pt>
                <c:pt idx="361">
                  <c:v>40</c:v>
                </c:pt>
                <c:pt idx="362">
                  <c:v>40</c:v>
                </c:pt>
                <c:pt idx="363">
                  <c:v>40</c:v>
                </c:pt>
                <c:pt idx="364">
                  <c:v>40</c:v>
                </c:pt>
                <c:pt idx="365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3BE-9041-9B32-DA116BC247BB}"/>
            </c:ext>
          </c:extLst>
        </c:ser>
        <c:ser>
          <c:idx val="17"/>
          <c:order val="17"/>
          <c:tx>
            <c:strRef>
              <c:f>List1!$U$4</c:f>
              <c:strCache>
                <c:ptCount val="1"/>
                <c:pt idx="0">
                  <c:v>2015</c:v>
                </c:pt>
              </c:strCache>
            </c:strRef>
          </c:tx>
          <c:spPr>
            <a:ln w="28800" cap="rnd">
              <a:solidFill>
                <a:srgbClr val="FFBF00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List1!$U$5:$U$370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3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5</c:v>
                </c:pt>
                <c:pt idx="130">
                  <c:v>5</c:v>
                </c:pt>
                <c:pt idx="131">
                  <c:v>5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6</c:v>
                </c:pt>
                <c:pt idx="145">
                  <c:v>6</c:v>
                </c:pt>
                <c:pt idx="146">
                  <c:v>6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8</c:v>
                </c:pt>
                <c:pt idx="159">
                  <c:v>9</c:v>
                </c:pt>
                <c:pt idx="160">
                  <c:v>9</c:v>
                </c:pt>
                <c:pt idx="161">
                  <c:v>9</c:v>
                </c:pt>
                <c:pt idx="162">
                  <c:v>9</c:v>
                </c:pt>
                <c:pt idx="163">
                  <c:v>9</c:v>
                </c:pt>
                <c:pt idx="164">
                  <c:v>10</c:v>
                </c:pt>
                <c:pt idx="165">
                  <c:v>11</c:v>
                </c:pt>
                <c:pt idx="166">
                  <c:v>11</c:v>
                </c:pt>
                <c:pt idx="167">
                  <c:v>11</c:v>
                </c:pt>
                <c:pt idx="168">
                  <c:v>11</c:v>
                </c:pt>
                <c:pt idx="169">
                  <c:v>11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12</c:v>
                </c:pt>
                <c:pt idx="174">
                  <c:v>13</c:v>
                </c:pt>
                <c:pt idx="175">
                  <c:v>13</c:v>
                </c:pt>
                <c:pt idx="176">
                  <c:v>13</c:v>
                </c:pt>
                <c:pt idx="177">
                  <c:v>13</c:v>
                </c:pt>
                <c:pt idx="178">
                  <c:v>13</c:v>
                </c:pt>
                <c:pt idx="179">
                  <c:v>13</c:v>
                </c:pt>
                <c:pt idx="180">
                  <c:v>13</c:v>
                </c:pt>
                <c:pt idx="181">
                  <c:v>13</c:v>
                </c:pt>
                <c:pt idx="182">
                  <c:v>13</c:v>
                </c:pt>
                <c:pt idx="183">
                  <c:v>13</c:v>
                </c:pt>
                <c:pt idx="184">
                  <c:v>13</c:v>
                </c:pt>
                <c:pt idx="185">
                  <c:v>13</c:v>
                </c:pt>
                <c:pt idx="186">
                  <c:v>14</c:v>
                </c:pt>
                <c:pt idx="187">
                  <c:v>15</c:v>
                </c:pt>
                <c:pt idx="188">
                  <c:v>16</c:v>
                </c:pt>
                <c:pt idx="189">
                  <c:v>17</c:v>
                </c:pt>
                <c:pt idx="190">
                  <c:v>17</c:v>
                </c:pt>
                <c:pt idx="191">
                  <c:v>17</c:v>
                </c:pt>
                <c:pt idx="192">
                  <c:v>17</c:v>
                </c:pt>
                <c:pt idx="193">
                  <c:v>17</c:v>
                </c:pt>
                <c:pt idx="194">
                  <c:v>17</c:v>
                </c:pt>
                <c:pt idx="195">
                  <c:v>17</c:v>
                </c:pt>
                <c:pt idx="196">
                  <c:v>17</c:v>
                </c:pt>
                <c:pt idx="197">
                  <c:v>17</c:v>
                </c:pt>
                <c:pt idx="198">
                  <c:v>17</c:v>
                </c:pt>
                <c:pt idx="199">
                  <c:v>18</c:v>
                </c:pt>
                <c:pt idx="200">
                  <c:v>19</c:v>
                </c:pt>
                <c:pt idx="201">
                  <c:v>19</c:v>
                </c:pt>
                <c:pt idx="202">
                  <c:v>19</c:v>
                </c:pt>
                <c:pt idx="203">
                  <c:v>20</c:v>
                </c:pt>
                <c:pt idx="204">
                  <c:v>20</c:v>
                </c:pt>
                <c:pt idx="205">
                  <c:v>20</c:v>
                </c:pt>
                <c:pt idx="206">
                  <c:v>21</c:v>
                </c:pt>
                <c:pt idx="207">
                  <c:v>21</c:v>
                </c:pt>
                <c:pt idx="208">
                  <c:v>22</c:v>
                </c:pt>
                <c:pt idx="209">
                  <c:v>22</c:v>
                </c:pt>
                <c:pt idx="210">
                  <c:v>22</c:v>
                </c:pt>
                <c:pt idx="211">
                  <c:v>22</c:v>
                </c:pt>
                <c:pt idx="212">
                  <c:v>22</c:v>
                </c:pt>
                <c:pt idx="213">
                  <c:v>22</c:v>
                </c:pt>
                <c:pt idx="214">
                  <c:v>22</c:v>
                </c:pt>
                <c:pt idx="215">
                  <c:v>22</c:v>
                </c:pt>
                <c:pt idx="216">
                  <c:v>22</c:v>
                </c:pt>
                <c:pt idx="217">
                  <c:v>22</c:v>
                </c:pt>
                <c:pt idx="218">
                  <c:v>22</c:v>
                </c:pt>
                <c:pt idx="219">
                  <c:v>22</c:v>
                </c:pt>
                <c:pt idx="220">
                  <c:v>22</c:v>
                </c:pt>
                <c:pt idx="221">
                  <c:v>22</c:v>
                </c:pt>
                <c:pt idx="222">
                  <c:v>22</c:v>
                </c:pt>
                <c:pt idx="223">
                  <c:v>22</c:v>
                </c:pt>
                <c:pt idx="224">
                  <c:v>22</c:v>
                </c:pt>
                <c:pt idx="225">
                  <c:v>22</c:v>
                </c:pt>
                <c:pt idx="226">
                  <c:v>23</c:v>
                </c:pt>
                <c:pt idx="227">
                  <c:v>24</c:v>
                </c:pt>
                <c:pt idx="228">
                  <c:v>25</c:v>
                </c:pt>
                <c:pt idx="229">
                  <c:v>25</c:v>
                </c:pt>
                <c:pt idx="230">
                  <c:v>25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25</c:v>
                </c:pt>
                <c:pt idx="235">
                  <c:v>25</c:v>
                </c:pt>
                <c:pt idx="236">
                  <c:v>25</c:v>
                </c:pt>
                <c:pt idx="237">
                  <c:v>26</c:v>
                </c:pt>
                <c:pt idx="238">
                  <c:v>26</c:v>
                </c:pt>
                <c:pt idx="239">
                  <c:v>26</c:v>
                </c:pt>
                <c:pt idx="240">
                  <c:v>26</c:v>
                </c:pt>
                <c:pt idx="241">
                  <c:v>26</c:v>
                </c:pt>
                <c:pt idx="242">
                  <c:v>26</c:v>
                </c:pt>
                <c:pt idx="243">
                  <c:v>26</c:v>
                </c:pt>
                <c:pt idx="244">
                  <c:v>27</c:v>
                </c:pt>
                <c:pt idx="245">
                  <c:v>27</c:v>
                </c:pt>
                <c:pt idx="246">
                  <c:v>27</c:v>
                </c:pt>
                <c:pt idx="247">
                  <c:v>27</c:v>
                </c:pt>
                <c:pt idx="248">
                  <c:v>27</c:v>
                </c:pt>
                <c:pt idx="249">
                  <c:v>27</c:v>
                </c:pt>
                <c:pt idx="250">
                  <c:v>27</c:v>
                </c:pt>
                <c:pt idx="251">
                  <c:v>27</c:v>
                </c:pt>
                <c:pt idx="252">
                  <c:v>27</c:v>
                </c:pt>
                <c:pt idx="253">
                  <c:v>27</c:v>
                </c:pt>
                <c:pt idx="254">
                  <c:v>27</c:v>
                </c:pt>
                <c:pt idx="255">
                  <c:v>27</c:v>
                </c:pt>
                <c:pt idx="256">
                  <c:v>27</c:v>
                </c:pt>
                <c:pt idx="257">
                  <c:v>27</c:v>
                </c:pt>
                <c:pt idx="258">
                  <c:v>27</c:v>
                </c:pt>
                <c:pt idx="259">
                  <c:v>27</c:v>
                </c:pt>
                <c:pt idx="260">
                  <c:v>28</c:v>
                </c:pt>
                <c:pt idx="261">
                  <c:v>28</c:v>
                </c:pt>
                <c:pt idx="262">
                  <c:v>28</c:v>
                </c:pt>
                <c:pt idx="263">
                  <c:v>28</c:v>
                </c:pt>
                <c:pt idx="264">
                  <c:v>28</c:v>
                </c:pt>
                <c:pt idx="265">
                  <c:v>28</c:v>
                </c:pt>
                <c:pt idx="266">
                  <c:v>28</c:v>
                </c:pt>
                <c:pt idx="267">
                  <c:v>28</c:v>
                </c:pt>
                <c:pt idx="268">
                  <c:v>28</c:v>
                </c:pt>
                <c:pt idx="269">
                  <c:v>28</c:v>
                </c:pt>
                <c:pt idx="270">
                  <c:v>28</c:v>
                </c:pt>
                <c:pt idx="271">
                  <c:v>28</c:v>
                </c:pt>
                <c:pt idx="272">
                  <c:v>28</c:v>
                </c:pt>
                <c:pt idx="273">
                  <c:v>28</c:v>
                </c:pt>
                <c:pt idx="274">
                  <c:v>28</c:v>
                </c:pt>
                <c:pt idx="275">
                  <c:v>28</c:v>
                </c:pt>
                <c:pt idx="276">
                  <c:v>28</c:v>
                </c:pt>
                <c:pt idx="277">
                  <c:v>28</c:v>
                </c:pt>
                <c:pt idx="278">
                  <c:v>28</c:v>
                </c:pt>
                <c:pt idx="279">
                  <c:v>28</c:v>
                </c:pt>
                <c:pt idx="280">
                  <c:v>28</c:v>
                </c:pt>
                <c:pt idx="281">
                  <c:v>28</c:v>
                </c:pt>
                <c:pt idx="282">
                  <c:v>28</c:v>
                </c:pt>
                <c:pt idx="283">
                  <c:v>28</c:v>
                </c:pt>
                <c:pt idx="284">
                  <c:v>28</c:v>
                </c:pt>
                <c:pt idx="285">
                  <c:v>28</c:v>
                </c:pt>
                <c:pt idx="286">
                  <c:v>28</c:v>
                </c:pt>
                <c:pt idx="287">
                  <c:v>28</c:v>
                </c:pt>
                <c:pt idx="288">
                  <c:v>28</c:v>
                </c:pt>
                <c:pt idx="289">
                  <c:v>28</c:v>
                </c:pt>
                <c:pt idx="290">
                  <c:v>28</c:v>
                </c:pt>
                <c:pt idx="291">
                  <c:v>28</c:v>
                </c:pt>
                <c:pt idx="292">
                  <c:v>28</c:v>
                </c:pt>
                <c:pt idx="293">
                  <c:v>28</c:v>
                </c:pt>
                <c:pt idx="294">
                  <c:v>28</c:v>
                </c:pt>
                <c:pt idx="295">
                  <c:v>28</c:v>
                </c:pt>
                <c:pt idx="296">
                  <c:v>28</c:v>
                </c:pt>
                <c:pt idx="297">
                  <c:v>28</c:v>
                </c:pt>
                <c:pt idx="298">
                  <c:v>28</c:v>
                </c:pt>
                <c:pt idx="299">
                  <c:v>28</c:v>
                </c:pt>
                <c:pt idx="300">
                  <c:v>28</c:v>
                </c:pt>
                <c:pt idx="301">
                  <c:v>28</c:v>
                </c:pt>
                <c:pt idx="302">
                  <c:v>28</c:v>
                </c:pt>
                <c:pt idx="303">
                  <c:v>28</c:v>
                </c:pt>
                <c:pt idx="304">
                  <c:v>28</c:v>
                </c:pt>
                <c:pt idx="305">
                  <c:v>28</c:v>
                </c:pt>
                <c:pt idx="306">
                  <c:v>28</c:v>
                </c:pt>
                <c:pt idx="307">
                  <c:v>28</c:v>
                </c:pt>
                <c:pt idx="308">
                  <c:v>28</c:v>
                </c:pt>
                <c:pt idx="309">
                  <c:v>28</c:v>
                </c:pt>
                <c:pt idx="310">
                  <c:v>28</c:v>
                </c:pt>
                <c:pt idx="311">
                  <c:v>28</c:v>
                </c:pt>
                <c:pt idx="312">
                  <c:v>28</c:v>
                </c:pt>
                <c:pt idx="313">
                  <c:v>28</c:v>
                </c:pt>
                <c:pt idx="314">
                  <c:v>28</c:v>
                </c:pt>
                <c:pt idx="315">
                  <c:v>28</c:v>
                </c:pt>
                <c:pt idx="316">
                  <c:v>28</c:v>
                </c:pt>
                <c:pt idx="317">
                  <c:v>28</c:v>
                </c:pt>
                <c:pt idx="318">
                  <c:v>28</c:v>
                </c:pt>
                <c:pt idx="319">
                  <c:v>28</c:v>
                </c:pt>
                <c:pt idx="320">
                  <c:v>28</c:v>
                </c:pt>
                <c:pt idx="321">
                  <c:v>28</c:v>
                </c:pt>
                <c:pt idx="322">
                  <c:v>28</c:v>
                </c:pt>
                <c:pt idx="323">
                  <c:v>28</c:v>
                </c:pt>
                <c:pt idx="324">
                  <c:v>28</c:v>
                </c:pt>
                <c:pt idx="325">
                  <c:v>28</c:v>
                </c:pt>
                <c:pt idx="326">
                  <c:v>28</c:v>
                </c:pt>
                <c:pt idx="327">
                  <c:v>28</c:v>
                </c:pt>
                <c:pt idx="328">
                  <c:v>28</c:v>
                </c:pt>
                <c:pt idx="329">
                  <c:v>28</c:v>
                </c:pt>
                <c:pt idx="330">
                  <c:v>28</c:v>
                </c:pt>
                <c:pt idx="331">
                  <c:v>28</c:v>
                </c:pt>
                <c:pt idx="332">
                  <c:v>28</c:v>
                </c:pt>
                <c:pt idx="333">
                  <c:v>28</c:v>
                </c:pt>
                <c:pt idx="334">
                  <c:v>28</c:v>
                </c:pt>
                <c:pt idx="335">
                  <c:v>28</c:v>
                </c:pt>
                <c:pt idx="336">
                  <c:v>28</c:v>
                </c:pt>
                <c:pt idx="337">
                  <c:v>28</c:v>
                </c:pt>
                <c:pt idx="338">
                  <c:v>28</c:v>
                </c:pt>
                <c:pt idx="339">
                  <c:v>28</c:v>
                </c:pt>
                <c:pt idx="340">
                  <c:v>28</c:v>
                </c:pt>
                <c:pt idx="341">
                  <c:v>28</c:v>
                </c:pt>
                <c:pt idx="342">
                  <c:v>28</c:v>
                </c:pt>
                <c:pt idx="343">
                  <c:v>28</c:v>
                </c:pt>
                <c:pt idx="344">
                  <c:v>28</c:v>
                </c:pt>
                <c:pt idx="345">
                  <c:v>28</c:v>
                </c:pt>
                <c:pt idx="346">
                  <c:v>28</c:v>
                </c:pt>
                <c:pt idx="347">
                  <c:v>28</c:v>
                </c:pt>
                <c:pt idx="348">
                  <c:v>28</c:v>
                </c:pt>
                <c:pt idx="349">
                  <c:v>28</c:v>
                </c:pt>
                <c:pt idx="350">
                  <c:v>28</c:v>
                </c:pt>
                <c:pt idx="351">
                  <c:v>28</c:v>
                </c:pt>
                <c:pt idx="352">
                  <c:v>28</c:v>
                </c:pt>
                <c:pt idx="353">
                  <c:v>28</c:v>
                </c:pt>
                <c:pt idx="354">
                  <c:v>28</c:v>
                </c:pt>
                <c:pt idx="355">
                  <c:v>28</c:v>
                </c:pt>
                <c:pt idx="356">
                  <c:v>28</c:v>
                </c:pt>
                <c:pt idx="357">
                  <c:v>28</c:v>
                </c:pt>
                <c:pt idx="358">
                  <c:v>28</c:v>
                </c:pt>
                <c:pt idx="359">
                  <c:v>28</c:v>
                </c:pt>
                <c:pt idx="360">
                  <c:v>28</c:v>
                </c:pt>
                <c:pt idx="361">
                  <c:v>28</c:v>
                </c:pt>
                <c:pt idx="362">
                  <c:v>28</c:v>
                </c:pt>
                <c:pt idx="363">
                  <c:v>28</c:v>
                </c:pt>
                <c:pt idx="364">
                  <c:v>28</c:v>
                </c:pt>
                <c:pt idx="365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3BE-9041-9B32-DA116BC247BB}"/>
            </c:ext>
          </c:extLst>
        </c:ser>
        <c:ser>
          <c:idx val="18"/>
          <c:order val="18"/>
          <c:tx>
            <c:strRef>
              <c:f>List1!$V$4</c:f>
              <c:strCache>
                <c:ptCount val="1"/>
                <c:pt idx="0">
                  <c:v>2016</c:v>
                </c:pt>
              </c:strCache>
            </c:strRef>
          </c:tx>
          <c:spPr>
            <a:ln w="28800" cap="rnd">
              <a:solidFill>
                <a:srgbClr val="FF8000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List1!$V$5:$V$370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2</c:v>
                </c:pt>
                <c:pt idx="137">
                  <c:v>2</c:v>
                </c:pt>
                <c:pt idx="138">
                  <c:v>2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3</c:v>
                </c:pt>
                <c:pt idx="144">
                  <c:v>3</c:v>
                </c:pt>
                <c:pt idx="145">
                  <c:v>3</c:v>
                </c:pt>
                <c:pt idx="146">
                  <c:v>3</c:v>
                </c:pt>
                <c:pt idx="147">
                  <c:v>3</c:v>
                </c:pt>
                <c:pt idx="148">
                  <c:v>4</c:v>
                </c:pt>
                <c:pt idx="149">
                  <c:v>4</c:v>
                </c:pt>
                <c:pt idx="150">
                  <c:v>5</c:v>
                </c:pt>
                <c:pt idx="151">
                  <c:v>6</c:v>
                </c:pt>
                <c:pt idx="152">
                  <c:v>7</c:v>
                </c:pt>
                <c:pt idx="153">
                  <c:v>8</c:v>
                </c:pt>
                <c:pt idx="154">
                  <c:v>8</c:v>
                </c:pt>
                <c:pt idx="155">
                  <c:v>8</c:v>
                </c:pt>
                <c:pt idx="156">
                  <c:v>9</c:v>
                </c:pt>
                <c:pt idx="157">
                  <c:v>10</c:v>
                </c:pt>
                <c:pt idx="158">
                  <c:v>10</c:v>
                </c:pt>
                <c:pt idx="159">
                  <c:v>11</c:v>
                </c:pt>
                <c:pt idx="160">
                  <c:v>11</c:v>
                </c:pt>
                <c:pt idx="161">
                  <c:v>11</c:v>
                </c:pt>
                <c:pt idx="162">
                  <c:v>11</c:v>
                </c:pt>
                <c:pt idx="163">
                  <c:v>12</c:v>
                </c:pt>
                <c:pt idx="164">
                  <c:v>13</c:v>
                </c:pt>
                <c:pt idx="165">
                  <c:v>13</c:v>
                </c:pt>
                <c:pt idx="166">
                  <c:v>14</c:v>
                </c:pt>
                <c:pt idx="167">
                  <c:v>15</c:v>
                </c:pt>
                <c:pt idx="168">
                  <c:v>15</c:v>
                </c:pt>
                <c:pt idx="169">
                  <c:v>16</c:v>
                </c:pt>
                <c:pt idx="170">
                  <c:v>16</c:v>
                </c:pt>
                <c:pt idx="171">
                  <c:v>16</c:v>
                </c:pt>
                <c:pt idx="172">
                  <c:v>16</c:v>
                </c:pt>
                <c:pt idx="173">
                  <c:v>16</c:v>
                </c:pt>
                <c:pt idx="174">
                  <c:v>16</c:v>
                </c:pt>
                <c:pt idx="175">
                  <c:v>16</c:v>
                </c:pt>
                <c:pt idx="176">
                  <c:v>17</c:v>
                </c:pt>
                <c:pt idx="177">
                  <c:v>17</c:v>
                </c:pt>
                <c:pt idx="178">
                  <c:v>17</c:v>
                </c:pt>
                <c:pt idx="179">
                  <c:v>18</c:v>
                </c:pt>
                <c:pt idx="180">
                  <c:v>18</c:v>
                </c:pt>
                <c:pt idx="181">
                  <c:v>19</c:v>
                </c:pt>
                <c:pt idx="182">
                  <c:v>19</c:v>
                </c:pt>
                <c:pt idx="183">
                  <c:v>20</c:v>
                </c:pt>
                <c:pt idx="184">
                  <c:v>21</c:v>
                </c:pt>
                <c:pt idx="185">
                  <c:v>21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23</c:v>
                </c:pt>
                <c:pt idx="195">
                  <c:v>23</c:v>
                </c:pt>
                <c:pt idx="196">
                  <c:v>23</c:v>
                </c:pt>
                <c:pt idx="197">
                  <c:v>23</c:v>
                </c:pt>
                <c:pt idx="198">
                  <c:v>24</c:v>
                </c:pt>
                <c:pt idx="199">
                  <c:v>24</c:v>
                </c:pt>
                <c:pt idx="200">
                  <c:v>24</c:v>
                </c:pt>
                <c:pt idx="201">
                  <c:v>24</c:v>
                </c:pt>
                <c:pt idx="202">
                  <c:v>24</c:v>
                </c:pt>
                <c:pt idx="203">
                  <c:v>24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26</c:v>
                </c:pt>
                <c:pt idx="208">
                  <c:v>27</c:v>
                </c:pt>
                <c:pt idx="209">
                  <c:v>28</c:v>
                </c:pt>
                <c:pt idx="210">
                  <c:v>29</c:v>
                </c:pt>
                <c:pt idx="211">
                  <c:v>29</c:v>
                </c:pt>
                <c:pt idx="212">
                  <c:v>30</c:v>
                </c:pt>
                <c:pt idx="213">
                  <c:v>30</c:v>
                </c:pt>
                <c:pt idx="214">
                  <c:v>30</c:v>
                </c:pt>
                <c:pt idx="215">
                  <c:v>30</c:v>
                </c:pt>
                <c:pt idx="216">
                  <c:v>30</c:v>
                </c:pt>
                <c:pt idx="217">
                  <c:v>31</c:v>
                </c:pt>
                <c:pt idx="218">
                  <c:v>31</c:v>
                </c:pt>
                <c:pt idx="219">
                  <c:v>31</c:v>
                </c:pt>
                <c:pt idx="220">
                  <c:v>31</c:v>
                </c:pt>
                <c:pt idx="221">
                  <c:v>31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</c:v>
                </c:pt>
                <c:pt idx="230">
                  <c:v>32</c:v>
                </c:pt>
                <c:pt idx="231">
                  <c:v>32</c:v>
                </c:pt>
                <c:pt idx="232">
                  <c:v>32</c:v>
                </c:pt>
                <c:pt idx="233">
                  <c:v>32</c:v>
                </c:pt>
                <c:pt idx="234">
                  <c:v>32</c:v>
                </c:pt>
                <c:pt idx="235">
                  <c:v>32</c:v>
                </c:pt>
                <c:pt idx="236">
                  <c:v>32</c:v>
                </c:pt>
                <c:pt idx="237">
                  <c:v>32</c:v>
                </c:pt>
                <c:pt idx="238">
                  <c:v>32</c:v>
                </c:pt>
                <c:pt idx="239">
                  <c:v>32</c:v>
                </c:pt>
                <c:pt idx="240">
                  <c:v>32</c:v>
                </c:pt>
                <c:pt idx="241">
                  <c:v>32</c:v>
                </c:pt>
                <c:pt idx="242">
                  <c:v>32</c:v>
                </c:pt>
                <c:pt idx="243">
                  <c:v>32</c:v>
                </c:pt>
                <c:pt idx="244">
                  <c:v>32</c:v>
                </c:pt>
                <c:pt idx="245">
                  <c:v>32</c:v>
                </c:pt>
                <c:pt idx="246">
                  <c:v>32</c:v>
                </c:pt>
                <c:pt idx="247">
                  <c:v>33</c:v>
                </c:pt>
                <c:pt idx="248">
                  <c:v>33</c:v>
                </c:pt>
                <c:pt idx="249">
                  <c:v>33</c:v>
                </c:pt>
                <c:pt idx="250">
                  <c:v>33</c:v>
                </c:pt>
                <c:pt idx="251">
                  <c:v>33</c:v>
                </c:pt>
                <c:pt idx="252">
                  <c:v>33</c:v>
                </c:pt>
                <c:pt idx="253">
                  <c:v>33</c:v>
                </c:pt>
                <c:pt idx="254">
                  <c:v>33</c:v>
                </c:pt>
                <c:pt idx="255">
                  <c:v>33</c:v>
                </c:pt>
                <c:pt idx="256">
                  <c:v>33</c:v>
                </c:pt>
                <c:pt idx="257">
                  <c:v>33</c:v>
                </c:pt>
                <c:pt idx="258">
                  <c:v>33</c:v>
                </c:pt>
                <c:pt idx="259">
                  <c:v>33</c:v>
                </c:pt>
                <c:pt idx="260">
                  <c:v>33</c:v>
                </c:pt>
                <c:pt idx="261">
                  <c:v>33</c:v>
                </c:pt>
                <c:pt idx="262">
                  <c:v>33</c:v>
                </c:pt>
                <c:pt idx="263">
                  <c:v>33</c:v>
                </c:pt>
                <c:pt idx="264">
                  <c:v>33</c:v>
                </c:pt>
                <c:pt idx="265">
                  <c:v>33</c:v>
                </c:pt>
                <c:pt idx="266">
                  <c:v>33</c:v>
                </c:pt>
                <c:pt idx="267">
                  <c:v>33</c:v>
                </c:pt>
                <c:pt idx="268">
                  <c:v>33</c:v>
                </c:pt>
                <c:pt idx="269">
                  <c:v>33</c:v>
                </c:pt>
                <c:pt idx="270">
                  <c:v>33</c:v>
                </c:pt>
                <c:pt idx="271">
                  <c:v>33</c:v>
                </c:pt>
                <c:pt idx="272">
                  <c:v>33</c:v>
                </c:pt>
                <c:pt idx="273">
                  <c:v>33</c:v>
                </c:pt>
                <c:pt idx="274">
                  <c:v>33</c:v>
                </c:pt>
                <c:pt idx="275">
                  <c:v>33</c:v>
                </c:pt>
                <c:pt idx="276">
                  <c:v>33</c:v>
                </c:pt>
                <c:pt idx="277">
                  <c:v>33</c:v>
                </c:pt>
                <c:pt idx="278">
                  <c:v>33</c:v>
                </c:pt>
                <c:pt idx="279">
                  <c:v>33</c:v>
                </c:pt>
                <c:pt idx="280">
                  <c:v>33</c:v>
                </c:pt>
                <c:pt idx="281">
                  <c:v>33</c:v>
                </c:pt>
                <c:pt idx="282">
                  <c:v>33</c:v>
                </c:pt>
                <c:pt idx="283">
                  <c:v>33</c:v>
                </c:pt>
                <c:pt idx="284">
                  <c:v>33</c:v>
                </c:pt>
                <c:pt idx="285">
                  <c:v>33</c:v>
                </c:pt>
                <c:pt idx="286">
                  <c:v>33</c:v>
                </c:pt>
                <c:pt idx="287">
                  <c:v>33</c:v>
                </c:pt>
                <c:pt idx="288">
                  <c:v>33</c:v>
                </c:pt>
                <c:pt idx="289">
                  <c:v>33</c:v>
                </c:pt>
                <c:pt idx="290">
                  <c:v>33</c:v>
                </c:pt>
                <c:pt idx="291">
                  <c:v>33</c:v>
                </c:pt>
                <c:pt idx="292">
                  <c:v>33</c:v>
                </c:pt>
                <c:pt idx="293">
                  <c:v>33</c:v>
                </c:pt>
                <c:pt idx="294">
                  <c:v>33</c:v>
                </c:pt>
                <c:pt idx="295">
                  <c:v>33</c:v>
                </c:pt>
                <c:pt idx="296">
                  <c:v>33</c:v>
                </c:pt>
                <c:pt idx="297">
                  <c:v>33</c:v>
                </c:pt>
                <c:pt idx="298">
                  <c:v>33</c:v>
                </c:pt>
                <c:pt idx="299">
                  <c:v>33</c:v>
                </c:pt>
                <c:pt idx="300">
                  <c:v>33</c:v>
                </c:pt>
                <c:pt idx="301">
                  <c:v>33</c:v>
                </c:pt>
                <c:pt idx="302">
                  <c:v>33</c:v>
                </c:pt>
                <c:pt idx="303">
                  <c:v>33</c:v>
                </c:pt>
                <c:pt idx="304">
                  <c:v>33</c:v>
                </c:pt>
                <c:pt idx="305">
                  <c:v>33</c:v>
                </c:pt>
                <c:pt idx="306">
                  <c:v>33</c:v>
                </c:pt>
                <c:pt idx="307">
                  <c:v>33</c:v>
                </c:pt>
                <c:pt idx="308">
                  <c:v>33</c:v>
                </c:pt>
                <c:pt idx="309">
                  <c:v>33</c:v>
                </c:pt>
                <c:pt idx="310">
                  <c:v>33</c:v>
                </c:pt>
                <c:pt idx="311">
                  <c:v>33</c:v>
                </c:pt>
                <c:pt idx="312">
                  <c:v>33</c:v>
                </c:pt>
                <c:pt idx="313">
                  <c:v>33</c:v>
                </c:pt>
                <c:pt idx="314">
                  <c:v>33</c:v>
                </c:pt>
                <c:pt idx="315">
                  <c:v>33</c:v>
                </c:pt>
                <c:pt idx="316">
                  <c:v>33</c:v>
                </c:pt>
                <c:pt idx="317">
                  <c:v>33</c:v>
                </c:pt>
                <c:pt idx="318">
                  <c:v>33</c:v>
                </c:pt>
                <c:pt idx="319">
                  <c:v>33</c:v>
                </c:pt>
                <c:pt idx="320">
                  <c:v>33</c:v>
                </c:pt>
                <c:pt idx="321">
                  <c:v>33</c:v>
                </c:pt>
                <c:pt idx="322">
                  <c:v>33</c:v>
                </c:pt>
                <c:pt idx="323">
                  <c:v>33</c:v>
                </c:pt>
                <c:pt idx="324">
                  <c:v>33</c:v>
                </c:pt>
                <c:pt idx="325">
                  <c:v>33</c:v>
                </c:pt>
                <c:pt idx="326">
                  <c:v>33</c:v>
                </c:pt>
                <c:pt idx="327">
                  <c:v>33</c:v>
                </c:pt>
                <c:pt idx="328">
                  <c:v>33</c:v>
                </c:pt>
                <c:pt idx="329">
                  <c:v>33</c:v>
                </c:pt>
                <c:pt idx="330">
                  <c:v>33</c:v>
                </c:pt>
                <c:pt idx="331">
                  <c:v>33</c:v>
                </c:pt>
                <c:pt idx="332">
                  <c:v>33</c:v>
                </c:pt>
                <c:pt idx="333">
                  <c:v>33</c:v>
                </c:pt>
                <c:pt idx="334">
                  <c:v>33</c:v>
                </c:pt>
                <c:pt idx="335">
                  <c:v>33</c:v>
                </c:pt>
                <c:pt idx="336">
                  <c:v>33</c:v>
                </c:pt>
                <c:pt idx="337">
                  <c:v>33</c:v>
                </c:pt>
                <c:pt idx="338">
                  <c:v>33</c:v>
                </c:pt>
                <c:pt idx="339">
                  <c:v>33</c:v>
                </c:pt>
                <c:pt idx="340">
                  <c:v>33</c:v>
                </c:pt>
                <c:pt idx="341">
                  <c:v>33</c:v>
                </c:pt>
                <c:pt idx="342">
                  <c:v>33</c:v>
                </c:pt>
                <c:pt idx="343">
                  <c:v>33</c:v>
                </c:pt>
                <c:pt idx="344">
                  <c:v>33</c:v>
                </c:pt>
                <c:pt idx="345">
                  <c:v>33</c:v>
                </c:pt>
                <c:pt idx="346">
                  <c:v>33</c:v>
                </c:pt>
                <c:pt idx="347">
                  <c:v>33</c:v>
                </c:pt>
                <c:pt idx="348">
                  <c:v>33</c:v>
                </c:pt>
                <c:pt idx="349">
                  <c:v>33</c:v>
                </c:pt>
                <c:pt idx="350">
                  <c:v>33</c:v>
                </c:pt>
                <c:pt idx="351">
                  <c:v>33</c:v>
                </c:pt>
                <c:pt idx="352">
                  <c:v>33</c:v>
                </c:pt>
                <c:pt idx="353">
                  <c:v>33</c:v>
                </c:pt>
                <c:pt idx="354">
                  <c:v>33</c:v>
                </c:pt>
                <c:pt idx="355">
                  <c:v>33</c:v>
                </c:pt>
                <c:pt idx="356">
                  <c:v>33</c:v>
                </c:pt>
                <c:pt idx="357">
                  <c:v>33</c:v>
                </c:pt>
                <c:pt idx="358">
                  <c:v>33</c:v>
                </c:pt>
                <c:pt idx="359">
                  <c:v>33</c:v>
                </c:pt>
                <c:pt idx="360">
                  <c:v>33</c:v>
                </c:pt>
                <c:pt idx="361">
                  <c:v>33</c:v>
                </c:pt>
                <c:pt idx="362">
                  <c:v>33</c:v>
                </c:pt>
                <c:pt idx="363">
                  <c:v>33</c:v>
                </c:pt>
                <c:pt idx="364">
                  <c:v>33</c:v>
                </c:pt>
                <c:pt idx="365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3BE-9041-9B32-DA116BC247BB}"/>
            </c:ext>
          </c:extLst>
        </c:ser>
        <c:ser>
          <c:idx val="19"/>
          <c:order val="19"/>
          <c:tx>
            <c:strRef>
              <c:f>List1!$W$4</c:f>
              <c:strCache>
                <c:ptCount val="1"/>
                <c:pt idx="0">
                  <c:v>2017</c:v>
                </c:pt>
              </c:strCache>
            </c:strRef>
          </c:tx>
          <c:spPr>
            <a:ln w="28800" cap="rnd">
              <a:solidFill>
                <a:srgbClr val="FF4000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List1!$W$5:$W$370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2</c:v>
                </c:pt>
                <c:pt idx="133">
                  <c:v>3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5</c:v>
                </c:pt>
                <c:pt idx="144">
                  <c:v>5</c:v>
                </c:pt>
                <c:pt idx="145">
                  <c:v>5</c:v>
                </c:pt>
                <c:pt idx="146">
                  <c:v>5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8</c:v>
                </c:pt>
                <c:pt idx="159">
                  <c:v>8</c:v>
                </c:pt>
                <c:pt idx="160">
                  <c:v>9</c:v>
                </c:pt>
                <c:pt idx="161">
                  <c:v>9</c:v>
                </c:pt>
                <c:pt idx="162">
                  <c:v>9</c:v>
                </c:pt>
                <c:pt idx="163">
                  <c:v>9</c:v>
                </c:pt>
                <c:pt idx="164">
                  <c:v>9</c:v>
                </c:pt>
                <c:pt idx="165">
                  <c:v>9</c:v>
                </c:pt>
                <c:pt idx="166">
                  <c:v>9</c:v>
                </c:pt>
                <c:pt idx="167">
                  <c:v>10</c:v>
                </c:pt>
                <c:pt idx="168">
                  <c:v>10</c:v>
                </c:pt>
                <c:pt idx="169">
                  <c:v>10</c:v>
                </c:pt>
                <c:pt idx="170">
                  <c:v>10</c:v>
                </c:pt>
                <c:pt idx="171">
                  <c:v>10</c:v>
                </c:pt>
                <c:pt idx="172">
                  <c:v>10</c:v>
                </c:pt>
                <c:pt idx="173">
                  <c:v>11</c:v>
                </c:pt>
                <c:pt idx="174">
                  <c:v>12</c:v>
                </c:pt>
                <c:pt idx="175">
                  <c:v>12</c:v>
                </c:pt>
                <c:pt idx="176">
                  <c:v>12</c:v>
                </c:pt>
                <c:pt idx="177">
                  <c:v>12</c:v>
                </c:pt>
                <c:pt idx="178">
                  <c:v>12</c:v>
                </c:pt>
                <c:pt idx="179">
                  <c:v>13</c:v>
                </c:pt>
                <c:pt idx="180">
                  <c:v>13</c:v>
                </c:pt>
                <c:pt idx="181">
                  <c:v>14</c:v>
                </c:pt>
                <c:pt idx="182">
                  <c:v>14</c:v>
                </c:pt>
                <c:pt idx="183">
                  <c:v>14</c:v>
                </c:pt>
                <c:pt idx="184">
                  <c:v>14</c:v>
                </c:pt>
                <c:pt idx="185">
                  <c:v>14</c:v>
                </c:pt>
                <c:pt idx="186">
                  <c:v>15</c:v>
                </c:pt>
                <c:pt idx="187">
                  <c:v>16</c:v>
                </c:pt>
                <c:pt idx="188">
                  <c:v>17</c:v>
                </c:pt>
                <c:pt idx="189">
                  <c:v>17</c:v>
                </c:pt>
                <c:pt idx="190">
                  <c:v>18</c:v>
                </c:pt>
                <c:pt idx="191">
                  <c:v>18</c:v>
                </c:pt>
                <c:pt idx="192">
                  <c:v>19</c:v>
                </c:pt>
                <c:pt idx="193">
                  <c:v>19</c:v>
                </c:pt>
                <c:pt idx="194">
                  <c:v>19</c:v>
                </c:pt>
                <c:pt idx="195">
                  <c:v>19</c:v>
                </c:pt>
                <c:pt idx="196">
                  <c:v>19</c:v>
                </c:pt>
                <c:pt idx="197">
                  <c:v>19</c:v>
                </c:pt>
                <c:pt idx="198">
                  <c:v>20</c:v>
                </c:pt>
                <c:pt idx="199">
                  <c:v>20</c:v>
                </c:pt>
                <c:pt idx="200">
                  <c:v>20</c:v>
                </c:pt>
                <c:pt idx="201">
                  <c:v>21</c:v>
                </c:pt>
                <c:pt idx="202">
                  <c:v>21</c:v>
                </c:pt>
                <c:pt idx="203">
                  <c:v>22</c:v>
                </c:pt>
                <c:pt idx="204">
                  <c:v>23</c:v>
                </c:pt>
                <c:pt idx="205">
                  <c:v>23</c:v>
                </c:pt>
                <c:pt idx="206">
                  <c:v>23</c:v>
                </c:pt>
                <c:pt idx="207">
                  <c:v>23</c:v>
                </c:pt>
                <c:pt idx="208">
                  <c:v>23</c:v>
                </c:pt>
                <c:pt idx="209">
                  <c:v>24</c:v>
                </c:pt>
                <c:pt idx="210">
                  <c:v>24</c:v>
                </c:pt>
                <c:pt idx="211">
                  <c:v>24</c:v>
                </c:pt>
                <c:pt idx="212">
                  <c:v>24</c:v>
                </c:pt>
                <c:pt idx="213">
                  <c:v>25</c:v>
                </c:pt>
                <c:pt idx="214">
                  <c:v>25</c:v>
                </c:pt>
                <c:pt idx="215">
                  <c:v>25</c:v>
                </c:pt>
                <c:pt idx="216">
                  <c:v>25</c:v>
                </c:pt>
                <c:pt idx="217">
                  <c:v>25</c:v>
                </c:pt>
                <c:pt idx="218">
                  <c:v>25</c:v>
                </c:pt>
                <c:pt idx="219">
                  <c:v>25</c:v>
                </c:pt>
                <c:pt idx="220">
                  <c:v>26</c:v>
                </c:pt>
                <c:pt idx="221">
                  <c:v>27</c:v>
                </c:pt>
                <c:pt idx="222">
                  <c:v>28</c:v>
                </c:pt>
                <c:pt idx="223">
                  <c:v>29</c:v>
                </c:pt>
                <c:pt idx="224">
                  <c:v>29</c:v>
                </c:pt>
                <c:pt idx="225">
                  <c:v>29</c:v>
                </c:pt>
                <c:pt idx="226">
                  <c:v>29</c:v>
                </c:pt>
                <c:pt idx="227">
                  <c:v>29</c:v>
                </c:pt>
                <c:pt idx="228">
                  <c:v>29</c:v>
                </c:pt>
                <c:pt idx="229">
                  <c:v>29</c:v>
                </c:pt>
                <c:pt idx="230">
                  <c:v>30</c:v>
                </c:pt>
                <c:pt idx="231">
                  <c:v>30</c:v>
                </c:pt>
                <c:pt idx="232">
                  <c:v>30</c:v>
                </c:pt>
                <c:pt idx="233">
                  <c:v>30</c:v>
                </c:pt>
                <c:pt idx="234">
                  <c:v>30</c:v>
                </c:pt>
                <c:pt idx="235">
                  <c:v>30</c:v>
                </c:pt>
                <c:pt idx="236">
                  <c:v>30</c:v>
                </c:pt>
                <c:pt idx="237">
                  <c:v>30</c:v>
                </c:pt>
                <c:pt idx="238">
                  <c:v>31</c:v>
                </c:pt>
                <c:pt idx="239">
                  <c:v>31</c:v>
                </c:pt>
                <c:pt idx="240">
                  <c:v>31</c:v>
                </c:pt>
                <c:pt idx="241">
                  <c:v>31</c:v>
                </c:pt>
                <c:pt idx="242">
                  <c:v>31</c:v>
                </c:pt>
                <c:pt idx="243">
                  <c:v>31</c:v>
                </c:pt>
                <c:pt idx="244">
                  <c:v>31</c:v>
                </c:pt>
                <c:pt idx="245">
                  <c:v>31</c:v>
                </c:pt>
                <c:pt idx="246">
                  <c:v>31</c:v>
                </c:pt>
                <c:pt idx="247">
                  <c:v>31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31</c:v>
                </c:pt>
                <c:pt idx="252">
                  <c:v>31</c:v>
                </c:pt>
                <c:pt idx="253">
                  <c:v>31</c:v>
                </c:pt>
                <c:pt idx="254">
                  <c:v>31</c:v>
                </c:pt>
                <c:pt idx="255">
                  <c:v>31</c:v>
                </c:pt>
                <c:pt idx="256">
                  <c:v>31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32</c:v>
                </c:pt>
                <c:pt idx="261">
                  <c:v>32</c:v>
                </c:pt>
                <c:pt idx="262">
                  <c:v>32</c:v>
                </c:pt>
                <c:pt idx="263">
                  <c:v>32</c:v>
                </c:pt>
                <c:pt idx="264">
                  <c:v>32</c:v>
                </c:pt>
                <c:pt idx="265">
                  <c:v>32</c:v>
                </c:pt>
                <c:pt idx="266">
                  <c:v>32</c:v>
                </c:pt>
                <c:pt idx="267">
                  <c:v>32</c:v>
                </c:pt>
                <c:pt idx="268">
                  <c:v>32</c:v>
                </c:pt>
                <c:pt idx="269">
                  <c:v>32</c:v>
                </c:pt>
                <c:pt idx="270">
                  <c:v>32</c:v>
                </c:pt>
                <c:pt idx="271">
                  <c:v>32</c:v>
                </c:pt>
                <c:pt idx="272">
                  <c:v>32</c:v>
                </c:pt>
                <c:pt idx="273">
                  <c:v>32</c:v>
                </c:pt>
                <c:pt idx="274">
                  <c:v>32</c:v>
                </c:pt>
                <c:pt idx="275">
                  <c:v>32</c:v>
                </c:pt>
                <c:pt idx="276">
                  <c:v>32</c:v>
                </c:pt>
                <c:pt idx="277">
                  <c:v>32</c:v>
                </c:pt>
                <c:pt idx="278">
                  <c:v>32</c:v>
                </c:pt>
                <c:pt idx="279">
                  <c:v>32</c:v>
                </c:pt>
                <c:pt idx="280">
                  <c:v>32</c:v>
                </c:pt>
                <c:pt idx="281">
                  <c:v>32</c:v>
                </c:pt>
                <c:pt idx="282">
                  <c:v>32</c:v>
                </c:pt>
                <c:pt idx="283">
                  <c:v>32</c:v>
                </c:pt>
                <c:pt idx="284">
                  <c:v>32</c:v>
                </c:pt>
                <c:pt idx="285">
                  <c:v>32</c:v>
                </c:pt>
                <c:pt idx="286">
                  <c:v>32</c:v>
                </c:pt>
                <c:pt idx="287">
                  <c:v>32</c:v>
                </c:pt>
                <c:pt idx="288">
                  <c:v>32</c:v>
                </c:pt>
                <c:pt idx="289">
                  <c:v>32</c:v>
                </c:pt>
                <c:pt idx="290">
                  <c:v>32</c:v>
                </c:pt>
                <c:pt idx="291">
                  <c:v>32</c:v>
                </c:pt>
                <c:pt idx="292">
                  <c:v>32</c:v>
                </c:pt>
                <c:pt idx="293">
                  <c:v>32</c:v>
                </c:pt>
                <c:pt idx="294">
                  <c:v>32</c:v>
                </c:pt>
                <c:pt idx="295">
                  <c:v>32</c:v>
                </c:pt>
                <c:pt idx="296">
                  <c:v>32</c:v>
                </c:pt>
                <c:pt idx="297">
                  <c:v>32</c:v>
                </c:pt>
                <c:pt idx="298">
                  <c:v>32</c:v>
                </c:pt>
                <c:pt idx="299">
                  <c:v>32</c:v>
                </c:pt>
                <c:pt idx="300">
                  <c:v>32</c:v>
                </c:pt>
                <c:pt idx="301">
                  <c:v>32</c:v>
                </c:pt>
                <c:pt idx="302">
                  <c:v>33</c:v>
                </c:pt>
                <c:pt idx="303">
                  <c:v>33</c:v>
                </c:pt>
                <c:pt idx="304">
                  <c:v>33</c:v>
                </c:pt>
                <c:pt idx="305">
                  <c:v>33</c:v>
                </c:pt>
                <c:pt idx="306">
                  <c:v>33</c:v>
                </c:pt>
                <c:pt idx="307">
                  <c:v>33</c:v>
                </c:pt>
                <c:pt idx="308">
                  <c:v>33</c:v>
                </c:pt>
                <c:pt idx="309">
                  <c:v>33</c:v>
                </c:pt>
                <c:pt idx="310">
                  <c:v>33</c:v>
                </c:pt>
                <c:pt idx="311">
                  <c:v>33</c:v>
                </c:pt>
                <c:pt idx="312">
                  <c:v>33</c:v>
                </c:pt>
                <c:pt idx="313">
                  <c:v>33</c:v>
                </c:pt>
                <c:pt idx="314">
                  <c:v>33</c:v>
                </c:pt>
                <c:pt idx="315">
                  <c:v>33</c:v>
                </c:pt>
                <c:pt idx="316">
                  <c:v>33</c:v>
                </c:pt>
                <c:pt idx="317">
                  <c:v>33</c:v>
                </c:pt>
                <c:pt idx="318">
                  <c:v>33</c:v>
                </c:pt>
                <c:pt idx="319">
                  <c:v>33</c:v>
                </c:pt>
                <c:pt idx="320">
                  <c:v>33</c:v>
                </c:pt>
                <c:pt idx="321">
                  <c:v>33</c:v>
                </c:pt>
                <c:pt idx="322">
                  <c:v>33</c:v>
                </c:pt>
                <c:pt idx="323">
                  <c:v>33</c:v>
                </c:pt>
                <c:pt idx="324">
                  <c:v>33</c:v>
                </c:pt>
                <c:pt idx="325">
                  <c:v>33</c:v>
                </c:pt>
                <c:pt idx="326">
                  <c:v>33</c:v>
                </c:pt>
                <c:pt idx="327">
                  <c:v>33</c:v>
                </c:pt>
                <c:pt idx="328">
                  <c:v>33</c:v>
                </c:pt>
                <c:pt idx="329">
                  <c:v>33</c:v>
                </c:pt>
                <c:pt idx="330">
                  <c:v>33</c:v>
                </c:pt>
                <c:pt idx="331">
                  <c:v>33</c:v>
                </c:pt>
                <c:pt idx="332">
                  <c:v>33</c:v>
                </c:pt>
                <c:pt idx="333">
                  <c:v>33</c:v>
                </c:pt>
                <c:pt idx="334">
                  <c:v>33</c:v>
                </c:pt>
                <c:pt idx="335">
                  <c:v>33</c:v>
                </c:pt>
                <c:pt idx="336">
                  <c:v>33</c:v>
                </c:pt>
                <c:pt idx="337">
                  <c:v>33</c:v>
                </c:pt>
                <c:pt idx="338">
                  <c:v>33</c:v>
                </c:pt>
                <c:pt idx="339">
                  <c:v>33</c:v>
                </c:pt>
                <c:pt idx="340">
                  <c:v>33</c:v>
                </c:pt>
                <c:pt idx="341">
                  <c:v>33</c:v>
                </c:pt>
                <c:pt idx="342">
                  <c:v>33</c:v>
                </c:pt>
                <c:pt idx="343">
                  <c:v>33</c:v>
                </c:pt>
                <c:pt idx="344">
                  <c:v>33</c:v>
                </c:pt>
                <c:pt idx="345">
                  <c:v>33</c:v>
                </c:pt>
                <c:pt idx="346">
                  <c:v>33</c:v>
                </c:pt>
                <c:pt idx="347">
                  <c:v>33</c:v>
                </c:pt>
                <c:pt idx="348">
                  <c:v>33</c:v>
                </c:pt>
                <c:pt idx="349">
                  <c:v>33</c:v>
                </c:pt>
                <c:pt idx="350">
                  <c:v>33</c:v>
                </c:pt>
                <c:pt idx="351">
                  <c:v>33</c:v>
                </c:pt>
                <c:pt idx="352">
                  <c:v>33</c:v>
                </c:pt>
                <c:pt idx="353">
                  <c:v>33</c:v>
                </c:pt>
                <c:pt idx="354">
                  <c:v>33</c:v>
                </c:pt>
                <c:pt idx="355">
                  <c:v>33</c:v>
                </c:pt>
                <c:pt idx="356">
                  <c:v>33</c:v>
                </c:pt>
                <c:pt idx="357">
                  <c:v>33</c:v>
                </c:pt>
                <c:pt idx="358">
                  <c:v>33</c:v>
                </c:pt>
                <c:pt idx="359">
                  <c:v>33</c:v>
                </c:pt>
                <c:pt idx="360">
                  <c:v>33</c:v>
                </c:pt>
                <c:pt idx="361">
                  <c:v>33</c:v>
                </c:pt>
                <c:pt idx="362">
                  <c:v>33</c:v>
                </c:pt>
                <c:pt idx="363">
                  <c:v>33</c:v>
                </c:pt>
                <c:pt idx="364">
                  <c:v>33</c:v>
                </c:pt>
                <c:pt idx="365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3BE-9041-9B32-DA116BC247BB}"/>
            </c:ext>
          </c:extLst>
        </c:ser>
        <c:ser>
          <c:idx val="20"/>
          <c:order val="20"/>
          <c:tx>
            <c:strRef>
              <c:f>List1!$X$4</c:f>
              <c:strCache>
                <c:ptCount val="1"/>
                <c:pt idx="0">
                  <c:v>2018</c:v>
                </c:pt>
              </c:strCache>
            </c:strRef>
          </c:tx>
          <c:spPr>
            <a:ln w="28800" cap="rnd">
              <a:solidFill>
                <a:srgbClr val="FF0000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List1!$X$5:$X$370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3</c:v>
                </c:pt>
                <c:pt idx="106">
                  <c:v>3</c:v>
                </c:pt>
                <c:pt idx="107">
                  <c:v>3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5</c:v>
                </c:pt>
                <c:pt idx="129">
                  <c:v>5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7</c:v>
                </c:pt>
                <c:pt idx="141">
                  <c:v>7</c:v>
                </c:pt>
                <c:pt idx="142">
                  <c:v>7</c:v>
                </c:pt>
                <c:pt idx="143">
                  <c:v>8</c:v>
                </c:pt>
                <c:pt idx="144">
                  <c:v>9</c:v>
                </c:pt>
                <c:pt idx="145">
                  <c:v>9</c:v>
                </c:pt>
                <c:pt idx="146">
                  <c:v>9</c:v>
                </c:pt>
                <c:pt idx="147">
                  <c:v>9</c:v>
                </c:pt>
                <c:pt idx="148">
                  <c:v>9</c:v>
                </c:pt>
                <c:pt idx="149">
                  <c:v>10</c:v>
                </c:pt>
                <c:pt idx="150">
                  <c:v>10</c:v>
                </c:pt>
                <c:pt idx="151">
                  <c:v>10</c:v>
                </c:pt>
                <c:pt idx="152">
                  <c:v>11</c:v>
                </c:pt>
                <c:pt idx="153">
                  <c:v>11</c:v>
                </c:pt>
                <c:pt idx="154">
                  <c:v>11</c:v>
                </c:pt>
                <c:pt idx="155">
                  <c:v>11</c:v>
                </c:pt>
                <c:pt idx="156">
                  <c:v>11</c:v>
                </c:pt>
                <c:pt idx="157">
                  <c:v>11</c:v>
                </c:pt>
                <c:pt idx="158">
                  <c:v>11</c:v>
                </c:pt>
                <c:pt idx="159">
                  <c:v>11</c:v>
                </c:pt>
                <c:pt idx="160">
                  <c:v>12</c:v>
                </c:pt>
                <c:pt idx="161">
                  <c:v>13</c:v>
                </c:pt>
                <c:pt idx="162">
                  <c:v>13</c:v>
                </c:pt>
                <c:pt idx="163">
                  <c:v>13</c:v>
                </c:pt>
                <c:pt idx="164">
                  <c:v>13</c:v>
                </c:pt>
                <c:pt idx="165">
                  <c:v>13</c:v>
                </c:pt>
                <c:pt idx="166">
                  <c:v>13</c:v>
                </c:pt>
                <c:pt idx="167">
                  <c:v>13</c:v>
                </c:pt>
                <c:pt idx="168">
                  <c:v>13</c:v>
                </c:pt>
                <c:pt idx="169">
                  <c:v>13</c:v>
                </c:pt>
                <c:pt idx="170">
                  <c:v>13</c:v>
                </c:pt>
                <c:pt idx="171">
                  <c:v>13</c:v>
                </c:pt>
                <c:pt idx="172">
                  <c:v>13</c:v>
                </c:pt>
                <c:pt idx="173">
                  <c:v>13</c:v>
                </c:pt>
                <c:pt idx="174">
                  <c:v>13</c:v>
                </c:pt>
                <c:pt idx="175">
                  <c:v>13</c:v>
                </c:pt>
                <c:pt idx="176">
                  <c:v>13</c:v>
                </c:pt>
                <c:pt idx="177">
                  <c:v>13</c:v>
                </c:pt>
                <c:pt idx="178">
                  <c:v>13</c:v>
                </c:pt>
                <c:pt idx="179">
                  <c:v>13</c:v>
                </c:pt>
                <c:pt idx="180">
                  <c:v>13</c:v>
                </c:pt>
                <c:pt idx="181">
                  <c:v>13</c:v>
                </c:pt>
                <c:pt idx="182">
                  <c:v>13</c:v>
                </c:pt>
                <c:pt idx="183">
                  <c:v>13</c:v>
                </c:pt>
                <c:pt idx="184">
                  <c:v>13</c:v>
                </c:pt>
                <c:pt idx="185">
                  <c:v>13</c:v>
                </c:pt>
                <c:pt idx="186">
                  <c:v>14</c:v>
                </c:pt>
                <c:pt idx="187">
                  <c:v>14</c:v>
                </c:pt>
                <c:pt idx="188">
                  <c:v>14</c:v>
                </c:pt>
                <c:pt idx="189">
                  <c:v>14</c:v>
                </c:pt>
                <c:pt idx="190">
                  <c:v>14</c:v>
                </c:pt>
                <c:pt idx="191">
                  <c:v>14</c:v>
                </c:pt>
                <c:pt idx="192">
                  <c:v>15</c:v>
                </c:pt>
                <c:pt idx="193">
                  <c:v>15</c:v>
                </c:pt>
                <c:pt idx="194">
                  <c:v>15</c:v>
                </c:pt>
                <c:pt idx="195">
                  <c:v>15</c:v>
                </c:pt>
                <c:pt idx="196">
                  <c:v>16</c:v>
                </c:pt>
                <c:pt idx="197">
                  <c:v>16</c:v>
                </c:pt>
                <c:pt idx="198">
                  <c:v>16</c:v>
                </c:pt>
                <c:pt idx="199">
                  <c:v>16</c:v>
                </c:pt>
                <c:pt idx="200">
                  <c:v>16</c:v>
                </c:pt>
                <c:pt idx="201">
                  <c:v>16</c:v>
                </c:pt>
                <c:pt idx="202">
                  <c:v>16</c:v>
                </c:pt>
                <c:pt idx="203">
                  <c:v>16</c:v>
                </c:pt>
                <c:pt idx="204">
                  <c:v>16</c:v>
                </c:pt>
                <c:pt idx="205">
                  <c:v>16</c:v>
                </c:pt>
                <c:pt idx="206">
                  <c:v>17</c:v>
                </c:pt>
                <c:pt idx="207">
                  <c:v>17</c:v>
                </c:pt>
                <c:pt idx="208">
                  <c:v>17</c:v>
                </c:pt>
                <c:pt idx="209">
                  <c:v>17</c:v>
                </c:pt>
                <c:pt idx="210">
                  <c:v>17</c:v>
                </c:pt>
                <c:pt idx="211">
                  <c:v>17</c:v>
                </c:pt>
                <c:pt idx="212">
                  <c:v>17</c:v>
                </c:pt>
                <c:pt idx="213">
                  <c:v>17</c:v>
                </c:pt>
                <c:pt idx="214">
                  <c:v>18</c:v>
                </c:pt>
                <c:pt idx="215">
                  <c:v>19</c:v>
                </c:pt>
                <c:pt idx="216">
                  <c:v>20</c:v>
                </c:pt>
                <c:pt idx="217">
                  <c:v>21</c:v>
                </c:pt>
                <c:pt idx="218">
                  <c:v>21</c:v>
                </c:pt>
                <c:pt idx="219">
                  <c:v>21</c:v>
                </c:pt>
                <c:pt idx="220">
                  <c:v>22</c:v>
                </c:pt>
                <c:pt idx="221">
                  <c:v>23</c:v>
                </c:pt>
                <c:pt idx="222">
                  <c:v>23</c:v>
                </c:pt>
                <c:pt idx="223">
                  <c:v>23</c:v>
                </c:pt>
                <c:pt idx="224">
                  <c:v>23</c:v>
                </c:pt>
                <c:pt idx="225">
                  <c:v>24</c:v>
                </c:pt>
                <c:pt idx="226">
                  <c:v>24</c:v>
                </c:pt>
                <c:pt idx="227">
                  <c:v>24</c:v>
                </c:pt>
                <c:pt idx="228">
                  <c:v>24</c:v>
                </c:pt>
                <c:pt idx="229">
                  <c:v>25</c:v>
                </c:pt>
                <c:pt idx="230">
                  <c:v>26</c:v>
                </c:pt>
                <c:pt idx="231">
                  <c:v>26</c:v>
                </c:pt>
                <c:pt idx="232">
                  <c:v>26</c:v>
                </c:pt>
                <c:pt idx="233">
                  <c:v>26</c:v>
                </c:pt>
                <c:pt idx="234">
                  <c:v>26</c:v>
                </c:pt>
                <c:pt idx="235">
                  <c:v>26</c:v>
                </c:pt>
                <c:pt idx="236">
                  <c:v>26</c:v>
                </c:pt>
                <c:pt idx="237">
                  <c:v>26</c:v>
                </c:pt>
                <c:pt idx="238">
                  <c:v>26</c:v>
                </c:pt>
                <c:pt idx="239">
                  <c:v>26</c:v>
                </c:pt>
                <c:pt idx="240">
                  <c:v>26</c:v>
                </c:pt>
                <c:pt idx="241">
                  <c:v>26</c:v>
                </c:pt>
                <c:pt idx="242">
                  <c:v>26</c:v>
                </c:pt>
                <c:pt idx="243">
                  <c:v>26</c:v>
                </c:pt>
                <c:pt idx="244">
                  <c:v>26</c:v>
                </c:pt>
                <c:pt idx="245">
                  <c:v>26</c:v>
                </c:pt>
                <c:pt idx="246">
                  <c:v>26</c:v>
                </c:pt>
                <c:pt idx="247">
                  <c:v>26</c:v>
                </c:pt>
                <c:pt idx="248">
                  <c:v>26</c:v>
                </c:pt>
                <c:pt idx="249">
                  <c:v>26</c:v>
                </c:pt>
                <c:pt idx="250">
                  <c:v>26</c:v>
                </c:pt>
                <c:pt idx="251">
                  <c:v>26</c:v>
                </c:pt>
                <c:pt idx="252">
                  <c:v>26</c:v>
                </c:pt>
                <c:pt idx="253">
                  <c:v>26</c:v>
                </c:pt>
                <c:pt idx="254">
                  <c:v>26</c:v>
                </c:pt>
                <c:pt idx="255">
                  <c:v>26</c:v>
                </c:pt>
                <c:pt idx="256">
                  <c:v>26</c:v>
                </c:pt>
                <c:pt idx="257">
                  <c:v>26</c:v>
                </c:pt>
                <c:pt idx="258">
                  <c:v>26</c:v>
                </c:pt>
                <c:pt idx="259">
                  <c:v>26</c:v>
                </c:pt>
                <c:pt idx="260">
                  <c:v>26</c:v>
                </c:pt>
                <c:pt idx="261">
                  <c:v>26</c:v>
                </c:pt>
                <c:pt idx="262">
                  <c:v>27</c:v>
                </c:pt>
                <c:pt idx="263">
                  <c:v>27</c:v>
                </c:pt>
                <c:pt idx="264">
                  <c:v>28</c:v>
                </c:pt>
                <c:pt idx="265">
                  <c:v>28</c:v>
                </c:pt>
                <c:pt idx="266">
                  <c:v>29</c:v>
                </c:pt>
                <c:pt idx="267">
                  <c:v>29</c:v>
                </c:pt>
                <c:pt idx="268">
                  <c:v>29</c:v>
                </c:pt>
                <c:pt idx="269">
                  <c:v>29</c:v>
                </c:pt>
                <c:pt idx="270">
                  <c:v>29</c:v>
                </c:pt>
                <c:pt idx="271">
                  <c:v>29</c:v>
                </c:pt>
                <c:pt idx="272">
                  <c:v>29</c:v>
                </c:pt>
                <c:pt idx="273">
                  <c:v>29</c:v>
                </c:pt>
                <c:pt idx="274">
                  <c:v>29</c:v>
                </c:pt>
                <c:pt idx="275">
                  <c:v>29</c:v>
                </c:pt>
                <c:pt idx="276">
                  <c:v>29</c:v>
                </c:pt>
                <c:pt idx="277">
                  <c:v>29</c:v>
                </c:pt>
                <c:pt idx="278">
                  <c:v>29</c:v>
                </c:pt>
                <c:pt idx="279">
                  <c:v>29</c:v>
                </c:pt>
                <c:pt idx="280">
                  <c:v>29</c:v>
                </c:pt>
                <c:pt idx="281">
                  <c:v>29</c:v>
                </c:pt>
                <c:pt idx="282">
                  <c:v>29</c:v>
                </c:pt>
                <c:pt idx="283">
                  <c:v>29</c:v>
                </c:pt>
                <c:pt idx="284">
                  <c:v>29</c:v>
                </c:pt>
                <c:pt idx="285">
                  <c:v>29</c:v>
                </c:pt>
                <c:pt idx="286">
                  <c:v>29</c:v>
                </c:pt>
                <c:pt idx="287">
                  <c:v>29</c:v>
                </c:pt>
                <c:pt idx="288">
                  <c:v>29</c:v>
                </c:pt>
                <c:pt idx="289">
                  <c:v>29</c:v>
                </c:pt>
                <c:pt idx="290">
                  <c:v>29</c:v>
                </c:pt>
                <c:pt idx="291">
                  <c:v>29</c:v>
                </c:pt>
                <c:pt idx="292">
                  <c:v>29</c:v>
                </c:pt>
                <c:pt idx="293">
                  <c:v>29</c:v>
                </c:pt>
                <c:pt idx="294">
                  <c:v>29</c:v>
                </c:pt>
                <c:pt idx="295">
                  <c:v>29</c:v>
                </c:pt>
                <c:pt idx="296">
                  <c:v>29</c:v>
                </c:pt>
                <c:pt idx="297">
                  <c:v>29</c:v>
                </c:pt>
                <c:pt idx="298">
                  <c:v>29</c:v>
                </c:pt>
                <c:pt idx="299">
                  <c:v>29</c:v>
                </c:pt>
                <c:pt idx="300">
                  <c:v>29</c:v>
                </c:pt>
                <c:pt idx="301">
                  <c:v>29</c:v>
                </c:pt>
                <c:pt idx="302">
                  <c:v>29</c:v>
                </c:pt>
                <c:pt idx="303">
                  <c:v>29</c:v>
                </c:pt>
                <c:pt idx="304">
                  <c:v>29</c:v>
                </c:pt>
                <c:pt idx="305">
                  <c:v>29</c:v>
                </c:pt>
                <c:pt idx="306">
                  <c:v>29</c:v>
                </c:pt>
                <c:pt idx="307">
                  <c:v>29</c:v>
                </c:pt>
                <c:pt idx="308">
                  <c:v>29</c:v>
                </c:pt>
                <c:pt idx="309">
                  <c:v>29</c:v>
                </c:pt>
                <c:pt idx="310">
                  <c:v>29</c:v>
                </c:pt>
                <c:pt idx="311">
                  <c:v>29</c:v>
                </c:pt>
                <c:pt idx="312">
                  <c:v>29</c:v>
                </c:pt>
                <c:pt idx="313">
                  <c:v>29</c:v>
                </c:pt>
                <c:pt idx="314">
                  <c:v>29</c:v>
                </c:pt>
                <c:pt idx="315">
                  <c:v>29</c:v>
                </c:pt>
                <c:pt idx="316">
                  <c:v>29</c:v>
                </c:pt>
                <c:pt idx="317">
                  <c:v>29</c:v>
                </c:pt>
                <c:pt idx="318">
                  <c:v>29</c:v>
                </c:pt>
                <c:pt idx="319">
                  <c:v>29</c:v>
                </c:pt>
                <c:pt idx="320">
                  <c:v>29</c:v>
                </c:pt>
                <c:pt idx="321">
                  <c:v>29</c:v>
                </c:pt>
                <c:pt idx="322">
                  <c:v>29</c:v>
                </c:pt>
                <c:pt idx="323">
                  <c:v>29</c:v>
                </c:pt>
                <c:pt idx="324">
                  <c:v>29</c:v>
                </c:pt>
                <c:pt idx="325">
                  <c:v>29</c:v>
                </c:pt>
                <c:pt idx="326">
                  <c:v>29</c:v>
                </c:pt>
                <c:pt idx="327">
                  <c:v>29</c:v>
                </c:pt>
                <c:pt idx="328">
                  <c:v>29</c:v>
                </c:pt>
                <c:pt idx="329">
                  <c:v>29</c:v>
                </c:pt>
                <c:pt idx="330">
                  <c:v>29</c:v>
                </c:pt>
                <c:pt idx="331">
                  <c:v>29</c:v>
                </c:pt>
                <c:pt idx="332">
                  <c:v>29</c:v>
                </c:pt>
                <c:pt idx="333">
                  <c:v>29</c:v>
                </c:pt>
                <c:pt idx="334">
                  <c:v>29</c:v>
                </c:pt>
                <c:pt idx="335">
                  <c:v>29</c:v>
                </c:pt>
                <c:pt idx="336">
                  <c:v>29</c:v>
                </c:pt>
                <c:pt idx="337">
                  <c:v>29</c:v>
                </c:pt>
                <c:pt idx="338">
                  <c:v>29</c:v>
                </c:pt>
                <c:pt idx="339">
                  <c:v>29</c:v>
                </c:pt>
                <c:pt idx="340">
                  <c:v>29</c:v>
                </c:pt>
                <c:pt idx="341">
                  <c:v>29</c:v>
                </c:pt>
                <c:pt idx="342">
                  <c:v>29</c:v>
                </c:pt>
                <c:pt idx="343">
                  <c:v>29</c:v>
                </c:pt>
                <c:pt idx="344">
                  <c:v>29</c:v>
                </c:pt>
                <c:pt idx="345">
                  <c:v>29</c:v>
                </c:pt>
                <c:pt idx="346">
                  <c:v>29</c:v>
                </c:pt>
                <c:pt idx="347">
                  <c:v>29</c:v>
                </c:pt>
                <c:pt idx="348">
                  <c:v>29</c:v>
                </c:pt>
                <c:pt idx="349">
                  <c:v>29</c:v>
                </c:pt>
                <c:pt idx="350">
                  <c:v>29</c:v>
                </c:pt>
                <c:pt idx="351">
                  <c:v>29</c:v>
                </c:pt>
                <c:pt idx="352">
                  <c:v>29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29</c:v>
                </c:pt>
                <c:pt idx="357">
                  <c:v>29</c:v>
                </c:pt>
                <c:pt idx="358">
                  <c:v>29</c:v>
                </c:pt>
                <c:pt idx="359">
                  <c:v>29</c:v>
                </c:pt>
                <c:pt idx="360">
                  <c:v>29</c:v>
                </c:pt>
                <c:pt idx="361">
                  <c:v>29</c:v>
                </c:pt>
                <c:pt idx="362">
                  <c:v>29</c:v>
                </c:pt>
                <c:pt idx="363">
                  <c:v>29</c:v>
                </c:pt>
                <c:pt idx="364">
                  <c:v>29</c:v>
                </c:pt>
                <c:pt idx="365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3BE-9041-9B32-DA116BC247BB}"/>
            </c:ext>
          </c:extLst>
        </c:ser>
        <c:ser>
          <c:idx val="21"/>
          <c:order val="21"/>
          <c:tx>
            <c:strRef>
              <c:f>List1!$Y$4</c:f>
              <c:strCache>
                <c:ptCount val="1"/>
                <c:pt idx="0">
                  <c:v>2019</c:v>
                </c:pt>
              </c:strCache>
            </c:strRef>
          </c:tx>
          <c:spPr>
            <a:ln w="28800" cap="rnd">
              <a:solidFill>
                <a:srgbClr val="BF0041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List1!$Y$5:$Y$370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4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5</c:v>
                </c:pt>
                <c:pt idx="158">
                  <c:v>5</c:v>
                </c:pt>
                <c:pt idx="159">
                  <c:v>5</c:v>
                </c:pt>
                <c:pt idx="160">
                  <c:v>5</c:v>
                </c:pt>
                <c:pt idx="161">
                  <c:v>6</c:v>
                </c:pt>
                <c:pt idx="162">
                  <c:v>7</c:v>
                </c:pt>
                <c:pt idx="163">
                  <c:v>8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9</c:v>
                </c:pt>
                <c:pt idx="172">
                  <c:v>9</c:v>
                </c:pt>
                <c:pt idx="173">
                  <c:v>9</c:v>
                </c:pt>
                <c:pt idx="174">
                  <c:v>9</c:v>
                </c:pt>
                <c:pt idx="175">
                  <c:v>9</c:v>
                </c:pt>
                <c:pt idx="176">
                  <c:v>9</c:v>
                </c:pt>
                <c:pt idx="177">
                  <c:v>9</c:v>
                </c:pt>
                <c:pt idx="178">
                  <c:v>9</c:v>
                </c:pt>
                <c:pt idx="179">
                  <c:v>9</c:v>
                </c:pt>
                <c:pt idx="180">
                  <c:v>9</c:v>
                </c:pt>
                <c:pt idx="181">
                  <c:v>9</c:v>
                </c:pt>
                <c:pt idx="182">
                  <c:v>9</c:v>
                </c:pt>
                <c:pt idx="183">
                  <c:v>9</c:v>
                </c:pt>
                <c:pt idx="184">
                  <c:v>9</c:v>
                </c:pt>
                <c:pt idx="185">
                  <c:v>9</c:v>
                </c:pt>
                <c:pt idx="186">
                  <c:v>9</c:v>
                </c:pt>
                <c:pt idx="187">
                  <c:v>9</c:v>
                </c:pt>
                <c:pt idx="188">
                  <c:v>9</c:v>
                </c:pt>
                <c:pt idx="189">
                  <c:v>9</c:v>
                </c:pt>
                <c:pt idx="190">
                  <c:v>9</c:v>
                </c:pt>
                <c:pt idx="191">
                  <c:v>9</c:v>
                </c:pt>
                <c:pt idx="192">
                  <c:v>9</c:v>
                </c:pt>
                <c:pt idx="193">
                  <c:v>10</c:v>
                </c:pt>
                <c:pt idx="194">
                  <c:v>10</c:v>
                </c:pt>
                <c:pt idx="195">
                  <c:v>10</c:v>
                </c:pt>
                <c:pt idx="196">
                  <c:v>10</c:v>
                </c:pt>
                <c:pt idx="197">
                  <c:v>10</c:v>
                </c:pt>
                <c:pt idx="198">
                  <c:v>10</c:v>
                </c:pt>
                <c:pt idx="199">
                  <c:v>10</c:v>
                </c:pt>
                <c:pt idx="200">
                  <c:v>10</c:v>
                </c:pt>
                <c:pt idx="201">
                  <c:v>10</c:v>
                </c:pt>
                <c:pt idx="202">
                  <c:v>11</c:v>
                </c:pt>
                <c:pt idx="203">
                  <c:v>11</c:v>
                </c:pt>
                <c:pt idx="204">
                  <c:v>11</c:v>
                </c:pt>
                <c:pt idx="205">
                  <c:v>11</c:v>
                </c:pt>
                <c:pt idx="206">
                  <c:v>11</c:v>
                </c:pt>
                <c:pt idx="207">
                  <c:v>11</c:v>
                </c:pt>
                <c:pt idx="208">
                  <c:v>12</c:v>
                </c:pt>
                <c:pt idx="209">
                  <c:v>12</c:v>
                </c:pt>
                <c:pt idx="210">
                  <c:v>13</c:v>
                </c:pt>
                <c:pt idx="211">
                  <c:v>14</c:v>
                </c:pt>
                <c:pt idx="212">
                  <c:v>15</c:v>
                </c:pt>
                <c:pt idx="213">
                  <c:v>15</c:v>
                </c:pt>
                <c:pt idx="214">
                  <c:v>16</c:v>
                </c:pt>
                <c:pt idx="215">
                  <c:v>17</c:v>
                </c:pt>
                <c:pt idx="216">
                  <c:v>18</c:v>
                </c:pt>
                <c:pt idx="217">
                  <c:v>18</c:v>
                </c:pt>
                <c:pt idx="218">
                  <c:v>19</c:v>
                </c:pt>
                <c:pt idx="219">
                  <c:v>20</c:v>
                </c:pt>
                <c:pt idx="220">
                  <c:v>20</c:v>
                </c:pt>
                <c:pt idx="221">
                  <c:v>20</c:v>
                </c:pt>
                <c:pt idx="222">
                  <c:v>20</c:v>
                </c:pt>
                <c:pt idx="223">
                  <c:v>21</c:v>
                </c:pt>
                <c:pt idx="224">
                  <c:v>22</c:v>
                </c:pt>
                <c:pt idx="225">
                  <c:v>22</c:v>
                </c:pt>
                <c:pt idx="226">
                  <c:v>22</c:v>
                </c:pt>
                <c:pt idx="227">
                  <c:v>22</c:v>
                </c:pt>
                <c:pt idx="228">
                  <c:v>22</c:v>
                </c:pt>
                <c:pt idx="229">
                  <c:v>22</c:v>
                </c:pt>
                <c:pt idx="230">
                  <c:v>22</c:v>
                </c:pt>
                <c:pt idx="231">
                  <c:v>22</c:v>
                </c:pt>
                <c:pt idx="232">
                  <c:v>22</c:v>
                </c:pt>
                <c:pt idx="233">
                  <c:v>22</c:v>
                </c:pt>
                <c:pt idx="234">
                  <c:v>22</c:v>
                </c:pt>
                <c:pt idx="235">
                  <c:v>22</c:v>
                </c:pt>
                <c:pt idx="236">
                  <c:v>22</c:v>
                </c:pt>
                <c:pt idx="237">
                  <c:v>22</c:v>
                </c:pt>
                <c:pt idx="238">
                  <c:v>22</c:v>
                </c:pt>
                <c:pt idx="239">
                  <c:v>22</c:v>
                </c:pt>
                <c:pt idx="240">
                  <c:v>23</c:v>
                </c:pt>
                <c:pt idx="241">
                  <c:v>24</c:v>
                </c:pt>
                <c:pt idx="242">
                  <c:v>24</c:v>
                </c:pt>
                <c:pt idx="243">
                  <c:v>24</c:v>
                </c:pt>
                <c:pt idx="244">
                  <c:v>25</c:v>
                </c:pt>
                <c:pt idx="245">
                  <c:v>25</c:v>
                </c:pt>
                <c:pt idx="246">
                  <c:v>25</c:v>
                </c:pt>
                <c:pt idx="247">
                  <c:v>25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25</c:v>
                </c:pt>
                <c:pt idx="252">
                  <c:v>25</c:v>
                </c:pt>
                <c:pt idx="253">
                  <c:v>25</c:v>
                </c:pt>
                <c:pt idx="254">
                  <c:v>25</c:v>
                </c:pt>
                <c:pt idx="255">
                  <c:v>25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25</c:v>
                </c:pt>
                <c:pt idx="260">
                  <c:v>25</c:v>
                </c:pt>
                <c:pt idx="261">
                  <c:v>25</c:v>
                </c:pt>
                <c:pt idx="262">
                  <c:v>25</c:v>
                </c:pt>
                <c:pt idx="263">
                  <c:v>25</c:v>
                </c:pt>
                <c:pt idx="264">
                  <c:v>25</c:v>
                </c:pt>
                <c:pt idx="265">
                  <c:v>25</c:v>
                </c:pt>
                <c:pt idx="266">
                  <c:v>25</c:v>
                </c:pt>
                <c:pt idx="267">
                  <c:v>25</c:v>
                </c:pt>
                <c:pt idx="268">
                  <c:v>25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25</c:v>
                </c:pt>
                <c:pt idx="273">
                  <c:v>25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25</c:v>
                </c:pt>
                <c:pt idx="288">
                  <c:v>25</c:v>
                </c:pt>
                <c:pt idx="289">
                  <c:v>25</c:v>
                </c:pt>
                <c:pt idx="290">
                  <c:v>25</c:v>
                </c:pt>
                <c:pt idx="291">
                  <c:v>25</c:v>
                </c:pt>
                <c:pt idx="292">
                  <c:v>25</c:v>
                </c:pt>
                <c:pt idx="293">
                  <c:v>25</c:v>
                </c:pt>
                <c:pt idx="294">
                  <c:v>25</c:v>
                </c:pt>
                <c:pt idx="295">
                  <c:v>25</c:v>
                </c:pt>
                <c:pt idx="296">
                  <c:v>25</c:v>
                </c:pt>
                <c:pt idx="297">
                  <c:v>25</c:v>
                </c:pt>
                <c:pt idx="298">
                  <c:v>25</c:v>
                </c:pt>
                <c:pt idx="299">
                  <c:v>25</c:v>
                </c:pt>
                <c:pt idx="300">
                  <c:v>25</c:v>
                </c:pt>
                <c:pt idx="301">
                  <c:v>25</c:v>
                </c:pt>
                <c:pt idx="302">
                  <c:v>25</c:v>
                </c:pt>
                <c:pt idx="303">
                  <c:v>25</c:v>
                </c:pt>
                <c:pt idx="304">
                  <c:v>25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25</c:v>
                </c:pt>
                <c:pt idx="312">
                  <c:v>25</c:v>
                </c:pt>
                <c:pt idx="313">
                  <c:v>25</c:v>
                </c:pt>
                <c:pt idx="314">
                  <c:v>25</c:v>
                </c:pt>
                <c:pt idx="315">
                  <c:v>25</c:v>
                </c:pt>
                <c:pt idx="316">
                  <c:v>25</c:v>
                </c:pt>
                <c:pt idx="317">
                  <c:v>25</c:v>
                </c:pt>
                <c:pt idx="318">
                  <c:v>25</c:v>
                </c:pt>
                <c:pt idx="319">
                  <c:v>25</c:v>
                </c:pt>
                <c:pt idx="320">
                  <c:v>25</c:v>
                </c:pt>
                <c:pt idx="321">
                  <c:v>25</c:v>
                </c:pt>
                <c:pt idx="322">
                  <c:v>25</c:v>
                </c:pt>
                <c:pt idx="323">
                  <c:v>25</c:v>
                </c:pt>
                <c:pt idx="324">
                  <c:v>25</c:v>
                </c:pt>
                <c:pt idx="325">
                  <c:v>25</c:v>
                </c:pt>
                <c:pt idx="326">
                  <c:v>25</c:v>
                </c:pt>
                <c:pt idx="327">
                  <c:v>25</c:v>
                </c:pt>
                <c:pt idx="328">
                  <c:v>25</c:v>
                </c:pt>
                <c:pt idx="329">
                  <c:v>25</c:v>
                </c:pt>
                <c:pt idx="330">
                  <c:v>25</c:v>
                </c:pt>
                <c:pt idx="331">
                  <c:v>25</c:v>
                </c:pt>
                <c:pt idx="332">
                  <c:v>25</c:v>
                </c:pt>
                <c:pt idx="333">
                  <c:v>25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25</c:v>
                </c:pt>
                <c:pt idx="338">
                  <c:v>25</c:v>
                </c:pt>
                <c:pt idx="339">
                  <c:v>25</c:v>
                </c:pt>
                <c:pt idx="340">
                  <c:v>25</c:v>
                </c:pt>
                <c:pt idx="341">
                  <c:v>25</c:v>
                </c:pt>
                <c:pt idx="342">
                  <c:v>25</c:v>
                </c:pt>
                <c:pt idx="343">
                  <c:v>25</c:v>
                </c:pt>
                <c:pt idx="344">
                  <c:v>25</c:v>
                </c:pt>
                <c:pt idx="345">
                  <c:v>25</c:v>
                </c:pt>
                <c:pt idx="346">
                  <c:v>25</c:v>
                </c:pt>
                <c:pt idx="347">
                  <c:v>25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25</c:v>
                </c:pt>
                <c:pt idx="352">
                  <c:v>25</c:v>
                </c:pt>
                <c:pt idx="353">
                  <c:v>25</c:v>
                </c:pt>
                <c:pt idx="354">
                  <c:v>25</c:v>
                </c:pt>
                <c:pt idx="355">
                  <c:v>25</c:v>
                </c:pt>
                <c:pt idx="356">
                  <c:v>25</c:v>
                </c:pt>
                <c:pt idx="357">
                  <c:v>25</c:v>
                </c:pt>
                <c:pt idx="358">
                  <c:v>25</c:v>
                </c:pt>
                <c:pt idx="359">
                  <c:v>25</c:v>
                </c:pt>
                <c:pt idx="360">
                  <c:v>25</c:v>
                </c:pt>
                <c:pt idx="361">
                  <c:v>25</c:v>
                </c:pt>
                <c:pt idx="362">
                  <c:v>25</c:v>
                </c:pt>
                <c:pt idx="363">
                  <c:v>25</c:v>
                </c:pt>
                <c:pt idx="364">
                  <c:v>25</c:v>
                </c:pt>
                <c:pt idx="365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3BE-9041-9B32-DA116BC247BB}"/>
            </c:ext>
          </c:extLst>
        </c:ser>
        <c:ser>
          <c:idx val="22"/>
          <c:order val="22"/>
          <c:tx>
            <c:strRef>
              <c:f>List1!$Z$4</c:f>
              <c:strCache>
                <c:ptCount val="1"/>
                <c:pt idx="0">
                  <c:v>2020</c:v>
                </c:pt>
              </c:strCache>
            </c:strRef>
          </c:tx>
          <c:spPr>
            <a:ln w="28800" cap="rnd">
              <a:solidFill>
                <a:srgbClr val="800080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List1!$Z$5:$Z$370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2</c:v>
                </c:pt>
                <c:pt idx="117">
                  <c:v>2</c:v>
                </c:pt>
                <c:pt idx="118">
                  <c:v>2</c:v>
                </c:pt>
                <c:pt idx="119">
                  <c:v>2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2</c:v>
                </c:pt>
                <c:pt idx="137">
                  <c:v>2</c:v>
                </c:pt>
                <c:pt idx="138">
                  <c:v>2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2</c:v>
                </c:pt>
                <c:pt idx="149">
                  <c:v>2</c:v>
                </c:pt>
                <c:pt idx="150">
                  <c:v>2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4</c:v>
                </c:pt>
                <c:pt idx="155">
                  <c:v>5</c:v>
                </c:pt>
                <c:pt idx="156">
                  <c:v>5</c:v>
                </c:pt>
                <c:pt idx="157">
                  <c:v>5</c:v>
                </c:pt>
                <c:pt idx="158">
                  <c:v>5</c:v>
                </c:pt>
                <c:pt idx="159">
                  <c:v>5</c:v>
                </c:pt>
                <c:pt idx="160">
                  <c:v>5</c:v>
                </c:pt>
                <c:pt idx="161">
                  <c:v>5</c:v>
                </c:pt>
                <c:pt idx="162">
                  <c:v>5</c:v>
                </c:pt>
                <c:pt idx="163">
                  <c:v>5</c:v>
                </c:pt>
                <c:pt idx="164">
                  <c:v>6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7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9</c:v>
                </c:pt>
                <c:pt idx="179">
                  <c:v>10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11</c:v>
                </c:pt>
                <c:pt idx="187">
                  <c:v>11</c:v>
                </c:pt>
                <c:pt idx="188">
                  <c:v>11</c:v>
                </c:pt>
                <c:pt idx="189">
                  <c:v>11</c:v>
                </c:pt>
                <c:pt idx="190">
                  <c:v>11</c:v>
                </c:pt>
                <c:pt idx="191">
                  <c:v>11</c:v>
                </c:pt>
                <c:pt idx="192">
                  <c:v>11</c:v>
                </c:pt>
                <c:pt idx="193">
                  <c:v>11</c:v>
                </c:pt>
                <c:pt idx="194">
                  <c:v>11</c:v>
                </c:pt>
                <c:pt idx="195">
                  <c:v>11</c:v>
                </c:pt>
                <c:pt idx="196">
                  <c:v>11</c:v>
                </c:pt>
                <c:pt idx="197">
                  <c:v>12</c:v>
                </c:pt>
                <c:pt idx="198">
                  <c:v>12</c:v>
                </c:pt>
                <c:pt idx="199">
                  <c:v>12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14</c:v>
                </c:pt>
                <c:pt idx="208">
                  <c:v>14</c:v>
                </c:pt>
                <c:pt idx="209">
                  <c:v>14</c:v>
                </c:pt>
                <c:pt idx="210">
                  <c:v>14</c:v>
                </c:pt>
                <c:pt idx="211">
                  <c:v>14</c:v>
                </c:pt>
                <c:pt idx="212">
                  <c:v>14</c:v>
                </c:pt>
                <c:pt idx="213">
                  <c:v>14</c:v>
                </c:pt>
                <c:pt idx="214">
                  <c:v>14</c:v>
                </c:pt>
                <c:pt idx="215">
                  <c:v>14</c:v>
                </c:pt>
                <c:pt idx="216">
                  <c:v>14</c:v>
                </c:pt>
                <c:pt idx="217">
                  <c:v>14</c:v>
                </c:pt>
                <c:pt idx="218">
                  <c:v>14</c:v>
                </c:pt>
                <c:pt idx="219">
                  <c:v>14</c:v>
                </c:pt>
                <c:pt idx="220">
                  <c:v>14</c:v>
                </c:pt>
                <c:pt idx="221">
                  <c:v>14</c:v>
                </c:pt>
                <c:pt idx="222">
                  <c:v>15</c:v>
                </c:pt>
                <c:pt idx="223">
                  <c:v>16</c:v>
                </c:pt>
                <c:pt idx="224">
                  <c:v>16</c:v>
                </c:pt>
                <c:pt idx="225">
                  <c:v>16</c:v>
                </c:pt>
                <c:pt idx="226">
                  <c:v>17</c:v>
                </c:pt>
                <c:pt idx="227">
                  <c:v>17</c:v>
                </c:pt>
                <c:pt idx="228">
                  <c:v>17</c:v>
                </c:pt>
                <c:pt idx="229">
                  <c:v>18</c:v>
                </c:pt>
                <c:pt idx="230">
                  <c:v>19</c:v>
                </c:pt>
                <c:pt idx="231">
                  <c:v>19</c:v>
                </c:pt>
                <c:pt idx="232">
                  <c:v>19</c:v>
                </c:pt>
                <c:pt idx="233">
                  <c:v>19</c:v>
                </c:pt>
                <c:pt idx="234">
                  <c:v>19</c:v>
                </c:pt>
                <c:pt idx="235">
                  <c:v>20</c:v>
                </c:pt>
                <c:pt idx="236">
                  <c:v>20</c:v>
                </c:pt>
                <c:pt idx="237">
                  <c:v>20</c:v>
                </c:pt>
                <c:pt idx="238">
                  <c:v>20</c:v>
                </c:pt>
                <c:pt idx="239">
                  <c:v>20</c:v>
                </c:pt>
                <c:pt idx="240">
                  <c:v>20</c:v>
                </c:pt>
                <c:pt idx="241">
                  <c:v>20</c:v>
                </c:pt>
                <c:pt idx="242">
                  <c:v>20</c:v>
                </c:pt>
                <c:pt idx="243">
                  <c:v>20</c:v>
                </c:pt>
                <c:pt idx="244">
                  <c:v>20</c:v>
                </c:pt>
                <c:pt idx="245">
                  <c:v>20</c:v>
                </c:pt>
                <c:pt idx="246">
                  <c:v>20</c:v>
                </c:pt>
                <c:pt idx="247">
                  <c:v>20</c:v>
                </c:pt>
                <c:pt idx="248">
                  <c:v>21</c:v>
                </c:pt>
                <c:pt idx="249">
                  <c:v>21</c:v>
                </c:pt>
                <c:pt idx="250">
                  <c:v>21</c:v>
                </c:pt>
                <c:pt idx="251">
                  <c:v>21</c:v>
                </c:pt>
                <c:pt idx="252">
                  <c:v>21</c:v>
                </c:pt>
                <c:pt idx="253">
                  <c:v>21</c:v>
                </c:pt>
                <c:pt idx="254">
                  <c:v>21</c:v>
                </c:pt>
                <c:pt idx="255">
                  <c:v>21</c:v>
                </c:pt>
                <c:pt idx="256">
                  <c:v>21</c:v>
                </c:pt>
                <c:pt idx="257">
                  <c:v>21</c:v>
                </c:pt>
                <c:pt idx="258">
                  <c:v>21</c:v>
                </c:pt>
                <c:pt idx="259">
                  <c:v>21</c:v>
                </c:pt>
                <c:pt idx="260">
                  <c:v>21</c:v>
                </c:pt>
                <c:pt idx="261">
                  <c:v>21</c:v>
                </c:pt>
                <c:pt idx="262">
                  <c:v>21</c:v>
                </c:pt>
                <c:pt idx="263">
                  <c:v>21</c:v>
                </c:pt>
                <c:pt idx="264">
                  <c:v>21</c:v>
                </c:pt>
                <c:pt idx="265">
                  <c:v>21</c:v>
                </c:pt>
                <c:pt idx="266">
                  <c:v>22</c:v>
                </c:pt>
                <c:pt idx="267">
                  <c:v>22</c:v>
                </c:pt>
                <c:pt idx="268">
                  <c:v>22</c:v>
                </c:pt>
                <c:pt idx="269">
                  <c:v>22</c:v>
                </c:pt>
                <c:pt idx="270">
                  <c:v>22</c:v>
                </c:pt>
                <c:pt idx="271">
                  <c:v>22</c:v>
                </c:pt>
                <c:pt idx="272">
                  <c:v>22</c:v>
                </c:pt>
                <c:pt idx="273">
                  <c:v>22</c:v>
                </c:pt>
                <c:pt idx="274">
                  <c:v>22</c:v>
                </c:pt>
                <c:pt idx="275">
                  <c:v>22</c:v>
                </c:pt>
                <c:pt idx="276">
                  <c:v>22</c:v>
                </c:pt>
                <c:pt idx="277">
                  <c:v>22</c:v>
                </c:pt>
                <c:pt idx="278">
                  <c:v>22</c:v>
                </c:pt>
                <c:pt idx="279">
                  <c:v>22</c:v>
                </c:pt>
                <c:pt idx="280">
                  <c:v>22</c:v>
                </c:pt>
                <c:pt idx="281">
                  <c:v>22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22</c:v>
                </c:pt>
                <c:pt idx="288">
                  <c:v>22</c:v>
                </c:pt>
                <c:pt idx="289">
                  <c:v>22</c:v>
                </c:pt>
                <c:pt idx="290">
                  <c:v>22</c:v>
                </c:pt>
                <c:pt idx="291">
                  <c:v>22</c:v>
                </c:pt>
                <c:pt idx="292">
                  <c:v>22</c:v>
                </c:pt>
                <c:pt idx="293">
                  <c:v>22</c:v>
                </c:pt>
                <c:pt idx="294">
                  <c:v>22</c:v>
                </c:pt>
                <c:pt idx="295">
                  <c:v>22</c:v>
                </c:pt>
                <c:pt idx="296">
                  <c:v>22</c:v>
                </c:pt>
                <c:pt idx="297">
                  <c:v>22</c:v>
                </c:pt>
                <c:pt idx="298">
                  <c:v>22</c:v>
                </c:pt>
                <c:pt idx="299">
                  <c:v>22</c:v>
                </c:pt>
                <c:pt idx="300">
                  <c:v>22</c:v>
                </c:pt>
                <c:pt idx="301">
                  <c:v>22</c:v>
                </c:pt>
                <c:pt idx="302">
                  <c:v>22</c:v>
                </c:pt>
                <c:pt idx="303">
                  <c:v>22</c:v>
                </c:pt>
                <c:pt idx="304">
                  <c:v>22</c:v>
                </c:pt>
                <c:pt idx="305">
                  <c:v>22</c:v>
                </c:pt>
                <c:pt idx="306">
                  <c:v>22</c:v>
                </c:pt>
                <c:pt idx="307">
                  <c:v>22</c:v>
                </c:pt>
                <c:pt idx="308">
                  <c:v>22</c:v>
                </c:pt>
                <c:pt idx="309">
                  <c:v>22</c:v>
                </c:pt>
                <c:pt idx="310">
                  <c:v>22</c:v>
                </c:pt>
                <c:pt idx="311">
                  <c:v>22</c:v>
                </c:pt>
                <c:pt idx="312">
                  <c:v>22</c:v>
                </c:pt>
                <c:pt idx="313">
                  <c:v>22</c:v>
                </c:pt>
                <c:pt idx="314">
                  <c:v>22</c:v>
                </c:pt>
                <c:pt idx="315">
                  <c:v>22</c:v>
                </c:pt>
                <c:pt idx="316">
                  <c:v>22</c:v>
                </c:pt>
                <c:pt idx="317">
                  <c:v>22</c:v>
                </c:pt>
                <c:pt idx="318">
                  <c:v>22</c:v>
                </c:pt>
                <c:pt idx="319">
                  <c:v>22</c:v>
                </c:pt>
                <c:pt idx="320">
                  <c:v>22</c:v>
                </c:pt>
                <c:pt idx="321">
                  <c:v>22</c:v>
                </c:pt>
                <c:pt idx="322">
                  <c:v>22</c:v>
                </c:pt>
                <c:pt idx="323">
                  <c:v>22</c:v>
                </c:pt>
                <c:pt idx="324">
                  <c:v>22</c:v>
                </c:pt>
                <c:pt idx="325">
                  <c:v>22</c:v>
                </c:pt>
                <c:pt idx="326">
                  <c:v>22</c:v>
                </c:pt>
                <c:pt idx="327">
                  <c:v>22</c:v>
                </c:pt>
                <c:pt idx="328">
                  <c:v>22</c:v>
                </c:pt>
                <c:pt idx="329">
                  <c:v>22</c:v>
                </c:pt>
                <c:pt idx="330">
                  <c:v>22</c:v>
                </c:pt>
                <c:pt idx="331">
                  <c:v>22</c:v>
                </c:pt>
                <c:pt idx="332">
                  <c:v>22</c:v>
                </c:pt>
                <c:pt idx="333">
                  <c:v>22</c:v>
                </c:pt>
                <c:pt idx="334">
                  <c:v>22</c:v>
                </c:pt>
                <c:pt idx="335">
                  <c:v>22</c:v>
                </c:pt>
                <c:pt idx="336">
                  <c:v>22</c:v>
                </c:pt>
                <c:pt idx="337">
                  <c:v>22</c:v>
                </c:pt>
                <c:pt idx="338">
                  <c:v>22</c:v>
                </c:pt>
                <c:pt idx="339">
                  <c:v>22</c:v>
                </c:pt>
                <c:pt idx="340">
                  <c:v>22</c:v>
                </c:pt>
                <c:pt idx="341">
                  <c:v>22</c:v>
                </c:pt>
                <c:pt idx="342">
                  <c:v>22</c:v>
                </c:pt>
                <c:pt idx="343">
                  <c:v>22</c:v>
                </c:pt>
                <c:pt idx="344">
                  <c:v>22</c:v>
                </c:pt>
                <c:pt idx="345">
                  <c:v>22</c:v>
                </c:pt>
                <c:pt idx="346">
                  <c:v>22</c:v>
                </c:pt>
                <c:pt idx="347">
                  <c:v>22</c:v>
                </c:pt>
                <c:pt idx="348">
                  <c:v>22</c:v>
                </c:pt>
                <c:pt idx="349">
                  <c:v>22</c:v>
                </c:pt>
                <c:pt idx="350">
                  <c:v>22</c:v>
                </c:pt>
                <c:pt idx="351">
                  <c:v>22</c:v>
                </c:pt>
                <c:pt idx="352">
                  <c:v>22</c:v>
                </c:pt>
                <c:pt idx="353">
                  <c:v>22</c:v>
                </c:pt>
                <c:pt idx="354">
                  <c:v>22</c:v>
                </c:pt>
                <c:pt idx="355">
                  <c:v>22</c:v>
                </c:pt>
                <c:pt idx="356">
                  <c:v>22</c:v>
                </c:pt>
                <c:pt idx="357">
                  <c:v>22</c:v>
                </c:pt>
                <c:pt idx="358">
                  <c:v>22</c:v>
                </c:pt>
                <c:pt idx="359">
                  <c:v>22</c:v>
                </c:pt>
                <c:pt idx="360">
                  <c:v>22</c:v>
                </c:pt>
                <c:pt idx="361">
                  <c:v>22</c:v>
                </c:pt>
                <c:pt idx="362">
                  <c:v>22</c:v>
                </c:pt>
                <c:pt idx="363">
                  <c:v>22</c:v>
                </c:pt>
                <c:pt idx="364">
                  <c:v>22</c:v>
                </c:pt>
                <c:pt idx="365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3BE-9041-9B32-DA116BC247BB}"/>
            </c:ext>
          </c:extLst>
        </c:ser>
        <c:ser>
          <c:idx val="23"/>
          <c:order val="23"/>
          <c:tx>
            <c:strRef>
              <c:f>List1!$AA$4</c:f>
              <c:strCache>
                <c:ptCount val="1"/>
                <c:pt idx="0">
                  <c:v>2021</c:v>
                </c:pt>
              </c:strCache>
            </c:strRef>
          </c:tx>
          <c:spPr>
            <a:ln w="28800" cap="rnd">
              <a:solidFill>
                <a:srgbClr val="55308D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List1!$AA$5:$AA$370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2</c:v>
                </c:pt>
                <c:pt idx="136">
                  <c:v>2</c:v>
                </c:pt>
                <c:pt idx="137">
                  <c:v>3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5</c:v>
                </c:pt>
                <c:pt idx="146">
                  <c:v>5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</c:v>
                </c:pt>
                <c:pt idx="154">
                  <c:v>5</c:v>
                </c:pt>
                <c:pt idx="155">
                  <c:v>5</c:v>
                </c:pt>
                <c:pt idx="156">
                  <c:v>6</c:v>
                </c:pt>
                <c:pt idx="157">
                  <c:v>6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8</c:v>
                </c:pt>
                <c:pt idx="173">
                  <c:v>9</c:v>
                </c:pt>
                <c:pt idx="174">
                  <c:v>10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12</c:v>
                </c:pt>
                <c:pt idx="181">
                  <c:v>13</c:v>
                </c:pt>
                <c:pt idx="182">
                  <c:v>13</c:v>
                </c:pt>
                <c:pt idx="183">
                  <c:v>13</c:v>
                </c:pt>
                <c:pt idx="184">
                  <c:v>13</c:v>
                </c:pt>
                <c:pt idx="185">
                  <c:v>13</c:v>
                </c:pt>
                <c:pt idx="186">
                  <c:v>13</c:v>
                </c:pt>
                <c:pt idx="187">
                  <c:v>13</c:v>
                </c:pt>
                <c:pt idx="188">
                  <c:v>13</c:v>
                </c:pt>
                <c:pt idx="189">
                  <c:v>14</c:v>
                </c:pt>
                <c:pt idx="190">
                  <c:v>15</c:v>
                </c:pt>
                <c:pt idx="191">
                  <c:v>15</c:v>
                </c:pt>
                <c:pt idx="192">
                  <c:v>16</c:v>
                </c:pt>
                <c:pt idx="193">
                  <c:v>16</c:v>
                </c:pt>
                <c:pt idx="194">
                  <c:v>17</c:v>
                </c:pt>
                <c:pt idx="195">
                  <c:v>17</c:v>
                </c:pt>
                <c:pt idx="196">
                  <c:v>18</c:v>
                </c:pt>
                <c:pt idx="197">
                  <c:v>18</c:v>
                </c:pt>
                <c:pt idx="198">
                  <c:v>18</c:v>
                </c:pt>
                <c:pt idx="199">
                  <c:v>18</c:v>
                </c:pt>
                <c:pt idx="200">
                  <c:v>18</c:v>
                </c:pt>
                <c:pt idx="201">
                  <c:v>18</c:v>
                </c:pt>
                <c:pt idx="202">
                  <c:v>18</c:v>
                </c:pt>
                <c:pt idx="203">
                  <c:v>18</c:v>
                </c:pt>
                <c:pt idx="204">
                  <c:v>18</c:v>
                </c:pt>
                <c:pt idx="205">
                  <c:v>18</c:v>
                </c:pt>
                <c:pt idx="206">
                  <c:v>19</c:v>
                </c:pt>
                <c:pt idx="207">
                  <c:v>20</c:v>
                </c:pt>
                <c:pt idx="208">
                  <c:v>20</c:v>
                </c:pt>
                <c:pt idx="209">
                  <c:v>20</c:v>
                </c:pt>
                <c:pt idx="210">
                  <c:v>20</c:v>
                </c:pt>
                <c:pt idx="211">
                  <c:v>20</c:v>
                </c:pt>
                <c:pt idx="212">
                  <c:v>20</c:v>
                </c:pt>
                <c:pt idx="213">
                  <c:v>20</c:v>
                </c:pt>
                <c:pt idx="214">
                  <c:v>20</c:v>
                </c:pt>
                <c:pt idx="215">
                  <c:v>21</c:v>
                </c:pt>
                <c:pt idx="216">
                  <c:v>21</c:v>
                </c:pt>
                <c:pt idx="217">
                  <c:v>22</c:v>
                </c:pt>
                <c:pt idx="218">
                  <c:v>22</c:v>
                </c:pt>
                <c:pt idx="219">
                  <c:v>22</c:v>
                </c:pt>
                <c:pt idx="220">
                  <c:v>22</c:v>
                </c:pt>
                <c:pt idx="221">
                  <c:v>22</c:v>
                </c:pt>
                <c:pt idx="222">
                  <c:v>23</c:v>
                </c:pt>
                <c:pt idx="223">
                  <c:v>23</c:v>
                </c:pt>
                <c:pt idx="224">
                  <c:v>23</c:v>
                </c:pt>
                <c:pt idx="225">
                  <c:v>23</c:v>
                </c:pt>
                <c:pt idx="226">
                  <c:v>23</c:v>
                </c:pt>
                <c:pt idx="227">
                  <c:v>23</c:v>
                </c:pt>
                <c:pt idx="228">
                  <c:v>24</c:v>
                </c:pt>
                <c:pt idx="229">
                  <c:v>24</c:v>
                </c:pt>
                <c:pt idx="230">
                  <c:v>24</c:v>
                </c:pt>
                <c:pt idx="231">
                  <c:v>24</c:v>
                </c:pt>
                <c:pt idx="232">
                  <c:v>24</c:v>
                </c:pt>
                <c:pt idx="233">
                  <c:v>24</c:v>
                </c:pt>
                <c:pt idx="234">
                  <c:v>25</c:v>
                </c:pt>
                <c:pt idx="235">
                  <c:v>25</c:v>
                </c:pt>
                <c:pt idx="236">
                  <c:v>25</c:v>
                </c:pt>
                <c:pt idx="237">
                  <c:v>25</c:v>
                </c:pt>
                <c:pt idx="238">
                  <c:v>25</c:v>
                </c:pt>
                <c:pt idx="239">
                  <c:v>25</c:v>
                </c:pt>
                <c:pt idx="240">
                  <c:v>25</c:v>
                </c:pt>
                <c:pt idx="241">
                  <c:v>26</c:v>
                </c:pt>
                <c:pt idx="242">
                  <c:v>26</c:v>
                </c:pt>
                <c:pt idx="243">
                  <c:v>26</c:v>
                </c:pt>
                <c:pt idx="244">
                  <c:v>26</c:v>
                </c:pt>
                <c:pt idx="245">
                  <c:v>26</c:v>
                </c:pt>
                <c:pt idx="246">
                  <c:v>26</c:v>
                </c:pt>
                <c:pt idx="247">
                  <c:v>26</c:v>
                </c:pt>
                <c:pt idx="248">
                  <c:v>26</c:v>
                </c:pt>
                <c:pt idx="249">
                  <c:v>26</c:v>
                </c:pt>
                <c:pt idx="250">
                  <c:v>26</c:v>
                </c:pt>
                <c:pt idx="251">
                  <c:v>26</c:v>
                </c:pt>
                <c:pt idx="252">
                  <c:v>26</c:v>
                </c:pt>
                <c:pt idx="253">
                  <c:v>26</c:v>
                </c:pt>
                <c:pt idx="254">
                  <c:v>27</c:v>
                </c:pt>
                <c:pt idx="255">
                  <c:v>27</c:v>
                </c:pt>
                <c:pt idx="256">
                  <c:v>27</c:v>
                </c:pt>
                <c:pt idx="257">
                  <c:v>27</c:v>
                </c:pt>
                <c:pt idx="258">
                  <c:v>27</c:v>
                </c:pt>
                <c:pt idx="259">
                  <c:v>27</c:v>
                </c:pt>
                <c:pt idx="260">
                  <c:v>27</c:v>
                </c:pt>
                <c:pt idx="261">
                  <c:v>27</c:v>
                </c:pt>
                <c:pt idx="262">
                  <c:v>27</c:v>
                </c:pt>
                <c:pt idx="263">
                  <c:v>27</c:v>
                </c:pt>
                <c:pt idx="264">
                  <c:v>27</c:v>
                </c:pt>
                <c:pt idx="265">
                  <c:v>27</c:v>
                </c:pt>
                <c:pt idx="266">
                  <c:v>27</c:v>
                </c:pt>
                <c:pt idx="267">
                  <c:v>27</c:v>
                </c:pt>
                <c:pt idx="268">
                  <c:v>27</c:v>
                </c:pt>
                <c:pt idx="269">
                  <c:v>27</c:v>
                </c:pt>
                <c:pt idx="270">
                  <c:v>28</c:v>
                </c:pt>
                <c:pt idx="271">
                  <c:v>28</c:v>
                </c:pt>
                <c:pt idx="272">
                  <c:v>28</c:v>
                </c:pt>
                <c:pt idx="273">
                  <c:v>28</c:v>
                </c:pt>
                <c:pt idx="274">
                  <c:v>28</c:v>
                </c:pt>
                <c:pt idx="275">
                  <c:v>28</c:v>
                </c:pt>
                <c:pt idx="276">
                  <c:v>28</c:v>
                </c:pt>
                <c:pt idx="277">
                  <c:v>28</c:v>
                </c:pt>
                <c:pt idx="278">
                  <c:v>28</c:v>
                </c:pt>
                <c:pt idx="279">
                  <c:v>28</c:v>
                </c:pt>
                <c:pt idx="280">
                  <c:v>28</c:v>
                </c:pt>
                <c:pt idx="281">
                  <c:v>28</c:v>
                </c:pt>
                <c:pt idx="282">
                  <c:v>28</c:v>
                </c:pt>
                <c:pt idx="283">
                  <c:v>28</c:v>
                </c:pt>
                <c:pt idx="284">
                  <c:v>28</c:v>
                </c:pt>
                <c:pt idx="285">
                  <c:v>28</c:v>
                </c:pt>
                <c:pt idx="286">
                  <c:v>28</c:v>
                </c:pt>
                <c:pt idx="287">
                  <c:v>28</c:v>
                </c:pt>
                <c:pt idx="288">
                  <c:v>28</c:v>
                </c:pt>
                <c:pt idx="289">
                  <c:v>28</c:v>
                </c:pt>
                <c:pt idx="290">
                  <c:v>28</c:v>
                </c:pt>
                <c:pt idx="291">
                  <c:v>28</c:v>
                </c:pt>
                <c:pt idx="292">
                  <c:v>28</c:v>
                </c:pt>
                <c:pt idx="293">
                  <c:v>28</c:v>
                </c:pt>
                <c:pt idx="294">
                  <c:v>28</c:v>
                </c:pt>
                <c:pt idx="295">
                  <c:v>28</c:v>
                </c:pt>
                <c:pt idx="296">
                  <c:v>28</c:v>
                </c:pt>
                <c:pt idx="297">
                  <c:v>28</c:v>
                </c:pt>
                <c:pt idx="298">
                  <c:v>28</c:v>
                </c:pt>
                <c:pt idx="299">
                  <c:v>28</c:v>
                </c:pt>
                <c:pt idx="300">
                  <c:v>28</c:v>
                </c:pt>
                <c:pt idx="301">
                  <c:v>28</c:v>
                </c:pt>
                <c:pt idx="302">
                  <c:v>28</c:v>
                </c:pt>
                <c:pt idx="303">
                  <c:v>28</c:v>
                </c:pt>
                <c:pt idx="304">
                  <c:v>28</c:v>
                </c:pt>
                <c:pt idx="305">
                  <c:v>28</c:v>
                </c:pt>
                <c:pt idx="306">
                  <c:v>28</c:v>
                </c:pt>
                <c:pt idx="307">
                  <c:v>28</c:v>
                </c:pt>
                <c:pt idx="308">
                  <c:v>28</c:v>
                </c:pt>
                <c:pt idx="309">
                  <c:v>28</c:v>
                </c:pt>
                <c:pt idx="310">
                  <c:v>28</c:v>
                </c:pt>
                <c:pt idx="311">
                  <c:v>28</c:v>
                </c:pt>
                <c:pt idx="312">
                  <c:v>28</c:v>
                </c:pt>
                <c:pt idx="313">
                  <c:v>28</c:v>
                </c:pt>
                <c:pt idx="314">
                  <c:v>28</c:v>
                </c:pt>
                <c:pt idx="315">
                  <c:v>28</c:v>
                </c:pt>
                <c:pt idx="316">
                  <c:v>28</c:v>
                </c:pt>
                <c:pt idx="317">
                  <c:v>28</c:v>
                </c:pt>
                <c:pt idx="318">
                  <c:v>28</c:v>
                </c:pt>
                <c:pt idx="319">
                  <c:v>28</c:v>
                </c:pt>
                <c:pt idx="320">
                  <c:v>28</c:v>
                </c:pt>
                <c:pt idx="321">
                  <c:v>28</c:v>
                </c:pt>
                <c:pt idx="322">
                  <c:v>28</c:v>
                </c:pt>
                <c:pt idx="323">
                  <c:v>28</c:v>
                </c:pt>
                <c:pt idx="324">
                  <c:v>28</c:v>
                </c:pt>
                <c:pt idx="325">
                  <c:v>28</c:v>
                </c:pt>
                <c:pt idx="326">
                  <c:v>28</c:v>
                </c:pt>
                <c:pt idx="327">
                  <c:v>28</c:v>
                </c:pt>
                <c:pt idx="328">
                  <c:v>28</c:v>
                </c:pt>
                <c:pt idx="329">
                  <c:v>28</c:v>
                </c:pt>
                <c:pt idx="330">
                  <c:v>28</c:v>
                </c:pt>
                <c:pt idx="331">
                  <c:v>28</c:v>
                </c:pt>
                <c:pt idx="332">
                  <c:v>28</c:v>
                </c:pt>
                <c:pt idx="333">
                  <c:v>28</c:v>
                </c:pt>
                <c:pt idx="334">
                  <c:v>28</c:v>
                </c:pt>
                <c:pt idx="335">
                  <c:v>28</c:v>
                </c:pt>
                <c:pt idx="336">
                  <c:v>28</c:v>
                </c:pt>
                <c:pt idx="337">
                  <c:v>28</c:v>
                </c:pt>
                <c:pt idx="338">
                  <c:v>28</c:v>
                </c:pt>
                <c:pt idx="339">
                  <c:v>28</c:v>
                </c:pt>
                <c:pt idx="340">
                  <c:v>28</c:v>
                </c:pt>
                <c:pt idx="341">
                  <c:v>28</c:v>
                </c:pt>
                <c:pt idx="342">
                  <c:v>28</c:v>
                </c:pt>
                <c:pt idx="343">
                  <c:v>28</c:v>
                </c:pt>
                <c:pt idx="344">
                  <c:v>28</c:v>
                </c:pt>
                <c:pt idx="345">
                  <c:v>28</c:v>
                </c:pt>
                <c:pt idx="346">
                  <c:v>28</c:v>
                </c:pt>
                <c:pt idx="347">
                  <c:v>28</c:v>
                </c:pt>
                <c:pt idx="348">
                  <c:v>28</c:v>
                </c:pt>
                <c:pt idx="349">
                  <c:v>28</c:v>
                </c:pt>
                <c:pt idx="350">
                  <c:v>28</c:v>
                </c:pt>
                <c:pt idx="351">
                  <c:v>28</c:v>
                </c:pt>
                <c:pt idx="352">
                  <c:v>28</c:v>
                </c:pt>
                <c:pt idx="353">
                  <c:v>28</c:v>
                </c:pt>
                <c:pt idx="354">
                  <c:v>28</c:v>
                </c:pt>
                <c:pt idx="355">
                  <c:v>28</c:v>
                </c:pt>
                <c:pt idx="356">
                  <c:v>28</c:v>
                </c:pt>
                <c:pt idx="357">
                  <c:v>28</c:v>
                </c:pt>
                <c:pt idx="358">
                  <c:v>28</c:v>
                </c:pt>
                <c:pt idx="359">
                  <c:v>28</c:v>
                </c:pt>
                <c:pt idx="360">
                  <c:v>28</c:v>
                </c:pt>
                <c:pt idx="361">
                  <c:v>28</c:v>
                </c:pt>
                <c:pt idx="362">
                  <c:v>28</c:v>
                </c:pt>
                <c:pt idx="363">
                  <c:v>28</c:v>
                </c:pt>
                <c:pt idx="364">
                  <c:v>28</c:v>
                </c:pt>
                <c:pt idx="365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3BE-9041-9B32-DA116BC247BB}"/>
            </c:ext>
          </c:extLst>
        </c:ser>
        <c:ser>
          <c:idx val="24"/>
          <c:order val="24"/>
          <c:tx>
            <c:strRef>
              <c:f>List1!$AB$4</c:f>
              <c:strCache>
                <c:ptCount val="1"/>
                <c:pt idx="0">
                  <c:v>2022</c:v>
                </c:pt>
              </c:strCache>
            </c:strRef>
          </c:tx>
          <c:spPr>
            <a:ln w="28800" cap="rnd">
              <a:solidFill>
                <a:srgbClr val="2A6099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List1!$AB$5:$AB$370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2</c:v>
                </c:pt>
                <c:pt idx="117">
                  <c:v>2</c:v>
                </c:pt>
                <c:pt idx="118">
                  <c:v>2</c:v>
                </c:pt>
                <c:pt idx="119">
                  <c:v>2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5</c:v>
                </c:pt>
                <c:pt idx="141">
                  <c:v>5</c:v>
                </c:pt>
                <c:pt idx="142">
                  <c:v>5</c:v>
                </c:pt>
                <c:pt idx="143">
                  <c:v>5</c:v>
                </c:pt>
                <c:pt idx="144">
                  <c:v>6</c:v>
                </c:pt>
                <c:pt idx="145">
                  <c:v>6</c:v>
                </c:pt>
                <c:pt idx="146">
                  <c:v>6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6</c:v>
                </c:pt>
                <c:pt idx="155">
                  <c:v>6</c:v>
                </c:pt>
                <c:pt idx="156">
                  <c:v>6</c:v>
                </c:pt>
                <c:pt idx="157">
                  <c:v>6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6</c:v>
                </c:pt>
                <c:pt idx="163">
                  <c:v>7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9</c:v>
                </c:pt>
                <c:pt idx="176">
                  <c:v>9</c:v>
                </c:pt>
                <c:pt idx="177">
                  <c:v>9</c:v>
                </c:pt>
                <c:pt idx="178">
                  <c:v>10</c:v>
                </c:pt>
                <c:pt idx="179">
                  <c:v>11</c:v>
                </c:pt>
                <c:pt idx="180">
                  <c:v>11</c:v>
                </c:pt>
                <c:pt idx="181">
                  <c:v>11</c:v>
                </c:pt>
                <c:pt idx="182">
                  <c:v>12</c:v>
                </c:pt>
                <c:pt idx="183">
                  <c:v>12</c:v>
                </c:pt>
                <c:pt idx="184">
                  <c:v>12</c:v>
                </c:pt>
                <c:pt idx="185">
                  <c:v>13</c:v>
                </c:pt>
                <c:pt idx="186">
                  <c:v>13</c:v>
                </c:pt>
                <c:pt idx="187">
                  <c:v>13</c:v>
                </c:pt>
                <c:pt idx="188">
                  <c:v>13</c:v>
                </c:pt>
                <c:pt idx="189">
                  <c:v>13</c:v>
                </c:pt>
                <c:pt idx="190">
                  <c:v>13</c:v>
                </c:pt>
                <c:pt idx="191">
                  <c:v>13</c:v>
                </c:pt>
                <c:pt idx="192">
                  <c:v>13</c:v>
                </c:pt>
                <c:pt idx="193">
                  <c:v>13</c:v>
                </c:pt>
                <c:pt idx="194">
                  <c:v>13</c:v>
                </c:pt>
                <c:pt idx="195">
                  <c:v>14</c:v>
                </c:pt>
                <c:pt idx="196">
                  <c:v>14</c:v>
                </c:pt>
                <c:pt idx="197">
                  <c:v>14</c:v>
                </c:pt>
                <c:pt idx="198">
                  <c:v>14</c:v>
                </c:pt>
                <c:pt idx="199">
                  <c:v>14</c:v>
                </c:pt>
                <c:pt idx="200">
                  <c:v>14</c:v>
                </c:pt>
                <c:pt idx="201">
                  <c:v>14</c:v>
                </c:pt>
                <c:pt idx="202">
                  <c:v>15</c:v>
                </c:pt>
                <c:pt idx="203">
                  <c:v>15</c:v>
                </c:pt>
                <c:pt idx="204">
                  <c:v>15</c:v>
                </c:pt>
                <c:pt idx="205">
                  <c:v>15</c:v>
                </c:pt>
                <c:pt idx="206">
                  <c:v>15</c:v>
                </c:pt>
                <c:pt idx="207">
                  <c:v>15</c:v>
                </c:pt>
                <c:pt idx="208">
                  <c:v>15</c:v>
                </c:pt>
                <c:pt idx="209">
                  <c:v>15</c:v>
                </c:pt>
                <c:pt idx="210">
                  <c:v>15</c:v>
                </c:pt>
                <c:pt idx="211">
                  <c:v>15</c:v>
                </c:pt>
                <c:pt idx="212">
                  <c:v>15</c:v>
                </c:pt>
                <c:pt idx="213">
                  <c:v>15</c:v>
                </c:pt>
                <c:pt idx="214">
                  <c:v>15</c:v>
                </c:pt>
                <c:pt idx="215">
                  <c:v>15</c:v>
                </c:pt>
                <c:pt idx="216">
                  <c:v>15</c:v>
                </c:pt>
                <c:pt idx="217">
                  <c:v>15</c:v>
                </c:pt>
                <c:pt idx="218">
                  <c:v>16</c:v>
                </c:pt>
                <c:pt idx="219">
                  <c:v>16</c:v>
                </c:pt>
                <c:pt idx="220">
                  <c:v>16</c:v>
                </c:pt>
                <c:pt idx="221">
                  <c:v>16</c:v>
                </c:pt>
                <c:pt idx="222">
                  <c:v>16</c:v>
                </c:pt>
                <c:pt idx="223">
                  <c:v>16</c:v>
                </c:pt>
                <c:pt idx="224">
                  <c:v>16</c:v>
                </c:pt>
                <c:pt idx="225">
                  <c:v>16</c:v>
                </c:pt>
                <c:pt idx="226">
                  <c:v>16</c:v>
                </c:pt>
                <c:pt idx="227">
                  <c:v>17</c:v>
                </c:pt>
                <c:pt idx="228">
                  <c:v>17</c:v>
                </c:pt>
                <c:pt idx="229">
                  <c:v>17</c:v>
                </c:pt>
                <c:pt idx="230">
                  <c:v>18</c:v>
                </c:pt>
                <c:pt idx="231">
                  <c:v>18</c:v>
                </c:pt>
                <c:pt idx="232">
                  <c:v>18</c:v>
                </c:pt>
                <c:pt idx="233">
                  <c:v>18</c:v>
                </c:pt>
                <c:pt idx="234">
                  <c:v>18</c:v>
                </c:pt>
                <c:pt idx="235">
                  <c:v>18</c:v>
                </c:pt>
                <c:pt idx="236">
                  <c:v>18</c:v>
                </c:pt>
                <c:pt idx="237">
                  <c:v>18</c:v>
                </c:pt>
                <c:pt idx="238">
                  <c:v>19</c:v>
                </c:pt>
                <c:pt idx="239">
                  <c:v>20</c:v>
                </c:pt>
                <c:pt idx="240">
                  <c:v>20</c:v>
                </c:pt>
                <c:pt idx="241">
                  <c:v>20</c:v>
                </c:pt>
                <c:pt idx="242">
                  <c:v>20</c:v>
                </c:pt>
                <c:pt idx="243">
                  <c:v>20</c:v>
                </c:pt>
                <c:pt idx="244">
                  <c:v>20</c:v>
                </c:pt>
                <c:pt idx="245">
                  <c:v>20</c:v>
                </c:pt>
                <c:pt idx="246">
                  <c:v>20</c:v>
                </c:pt>
                <c:pt idx="247">
                  <c:v>20</c:v>
                </c:pt>
                <c:pt idx="248">
                  <c:v>20</c:v>
                </c:pt>
                <c:pt idx="249">
                  <c:v>21</c:v>
                </c:pt>
                <c:pt idx="250">
                  <c:v>22</c:v>
                </c:pt>
                <c:pt idx="251">
                  <c:v>22</c:v>
                </c:pt>
                <c:pt idx="252">
                  <c:v>23</c:v>
                </c:pt>
                <c:pt idx="253">
                  <c:v>24</c:v>
                </c:pt>
                <c:pt idx="254">
                  <c:v>24</c:v>
                </c:pt>
                <c:pt idx="255">
                  <c:v>24</c:v>
                </c:pt>
                <c:pt idx="256">
                  <c:v>24</c:v>
                </c:pt>
                <c:pt idx="257">
                  <c:v>24</c:v>
                </c:pt>
                <c:pt idx="258">
                  <c:v>24</c:v>
                </c:pt>
                <c:pt idx="259">
                  <c:v>24</c:v>
                </c:pt>
                <c:pt idx="260">
                  <c:v>24</c:v>
                </c:pt>
                <c:pt idx="261">
                  <c:v>24</c:v>
                </c:pt>
                <c:pt idx="262">
                  <c:v>24</c:v>
                </c:pt>
                <c:pt idx="263">
                  <c:v>24</c:v>
                </c:pt>
                <c:pt idx="264">
                  <c:v>24</c:v>
                </c:pt>
                <c:pt idx="265">
                  <c:v>24</c:v>
                </c:pt>
                <c:pt idx="266">
                  <c:v>24</c:v>
                </c:pt>
                <c:pt idx="267">
                  <c:v>24</c:v>
                </c:pt>
                <c:pt idx="268">
                  <c:v>25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25</c:v>
                </c:pt>
                <c:pt idx="273">
                  <c:v>25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25</c:v>
                </c:pt>
                <c:pt idx="288">
                  <c:v>25</c:v>
                </c:pt>
                <c:pt idx="289">
                  <c:v>25</c:v>
                </c:pt>
                <c:pt idx="290">
                  <c:v>25</c:v>
                </c:pt>
                <c:pt idx="291">
                  <c:v>25</c:v>
                </c:pt>
                <c:pt idx="292">
                  <c:v>25</c:v>
                </c:pt>
                <c:pt idx="293">
                  <c:v>25</c:v>
                </c:pt>
                <c:pt idx="294">
                  <c:v>25</c:v>
                </c:pt>
                <c:pt idx="295">
                  <c:v>25</c:v>
                </c:pt>
                <c:pt idx="296">
                  <c:v>25</c:v>
                </c:pt>
                <c:pt idx="297">
                  <c:v>26</c:v>
                </c:pt>
                <c:pt idx="298">
                  <c:v>26</c:v>
                </c:pt>
                <c:pt idx="299">
                  <c:v>26</c:v>
                </c:pt>
                <c:pt idx="300">
                  <c:v>26</c:v>
                </c:pt>
                <c:pt idx="301">
                  <c:v>26</c:v>
                </c:pt>
                <c:pt idx="302">
                  <c:v>26</c:v>
                </c:pt>
                <c:pt idx="303">
                  <c:v>26</c:v>
                </c:pt>
                <c:pt idx="304">
                  <c:v>26</c:v>
                </c:pt>
                <c:pt idx="305">
                  <c:v>26</c:v>
                </c:pt>
                <c:pt idx="306">
                  <c:v>26</c:v>
                </c:pt>
                <c:pt idx="307">
                  <c:v>26</c:v>
                </c:pt>
                <c:pt idx="308">
                  <c:v>26</c:v>
                </c:pt>
                <c:pt idx="309">
                  <c:v>26</c:v>
                </c:pt>
                <c:pt idx="310">
                  <c:v>26</c:v>
                </c:pt>
                <c:pt idx="311">
                  <c:v>26</c:v>
                </c:pt>
                <c:pt idx="312">
                  <c:v>26</c:v>
                </c:pt>
                <c:pt idx="313">
                  <c:v>26</c:v>
                </c:pt>
                <c:pt idx="314">
                  <c:v>26</c:v>
                </c:pt>
                <c:pt idx="315">
                  <c:v>26</c:v>
                </c:pt>
                <c:pt idx="316">
                  <c:v>26</c:v>
                </c:pt>
                <c:pt idx="317">
                  <c:v>26</c:v>
                </c:pt>
                <c:pt idx="318">
                  <c:v>26</c:v>
                </c:pt>
                <c:pt idx="319">
                  <c:v>26</c:v>
                </c:pt>
                <c:pt idx="320">
                  <c:v>26</c:v>
                </c:pt>
                <c:pt idx="321">
                  <c:v>26</c:v>
                </c:pt>
                <c:pt idx="322">
                  <c:v>26</c:v>
                </c:pt>
                <c:pt idx="323">
                  <c:v>26</c:v>
                </c:pt>
                <c:pt idx="324">
                  <c:v>26</c:v>
                </c:pt>
                <c:pt idx="325">
                  <c:v>26</c:v>
                </c:pt>
                <c:pt idx="326">
                  <c:v>26</c:v>
                </c:pt>
                <c:pt idx="327">
                  <c:v>26</c:v>
                </c:pt>
                <c:pt idx="328">
                  <c:v>26</c:v>
                </c:pt>
                <c:pt idx="329">
                  <c:v>26</c:v>
                </c:pt>
                <c:pt idx="330">
                  <c:v>26</c:v>
                </c:pt>
                <c:pt idx="331">
                  <c:v>26</c:v>
                </c:pt>
                <c:pt idx="332">
                  <c:v>26</c:v>
                </c:pt>
                <c:pt idx="333">
                  <c:v>26</c:v>
                </c:pt>
                <c:pt idx="334">
                  <c:v>26</c:v>
                </c:pt>
                <c:pt idx="335">
                  <c:v>26</c:v>
                </c:pt>
                <c:pt idx="336">
                  <c:v>26</c:v>
                </c:pt>
                <c:pt idx="337">
                  <c:v>26</c:v>
                </c:pt>
                <c:pt idx="338">
                  <c:v>26</c:v>
                </c:pt>
                <c:pt idx="339">
                  <c:v>26</c:v>
                </c:pt>
                <c:pt idx="340">
                  <c:v>26</c:v>
                </c:pt>
                <c:pt idx="341">
                  <c:v>26</c:v>
                </c:pt>
                <c:pt idx="342">
                  <c:v>26</c:v>
                </c:pt>
                <c:pt idx="343">
                  <c:v>26</c:v>
                </c:pt>
                <c:pt idx="344">
                  <c:v>26</c:v>
                </c:pt>
                <c:pt idx="345">
                  <c:v>26</c:v>
                </c:pt>
                <c:pt idx="346">
                  <c:v>26</c:v>
                </c:pt>
                <c:pt idx="347">
                  <c:v>26</c:v>
                </c:pt>
                <c:pt idx="348">
                  <c:v>26</c:v>
                </c:pt>
                <c:pt idx="349">
                  <c:v>26</c:v>
                </c:pt>
                <c:pt idx="350">
                  <c:v>26</c:v>
                </c:pt>
                <c:pt idx="351">
                  <c:v>26</c:v>
                </c:pt>
                <c:pt idx="352">
                  <c:v>26</c:v>
                </c:pt>
                <c:pt idx="353">
                  <c:v>26</c:v>
                </c:pt>
                <c:pt idx="354">
                  <c:v>26</c:v>
                </c:pt>
                <c:pt idx="355">
                  <c:v>26</c:v>
                </c:pt>
                <c:pt idx="356">
                  <c:v>26</c:v>
                </c:pt>
                <c:pt idx="357">
                  <c:v>26</c:v>
                </c:pt>
                <c:pt idx="358">
                  <c:v>26</c:v>
                </c:pt>
                <c:pt idx="359">
                  <c:v>26</c:v>
                </c:pt>
                <c:pt idx="360">
                  <c:v>26</c:v>
                </c:pt>
                <c:pt idx="361">
                  <c:v>26</c:v>
                </c:pt>
                <c:pt idx="362">
                  <c:v>26</c:v>
                </c:pt>
                <c:pt idx="363">
                  <c:v>26</c:v>
                </c:pt>
                <c:pt idx="364">
                  <c:v>26</c:v>
                </c:pt>
                <c:pt idx="365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3BE-9041-9B32-DA116BC247BB}"/>
            </c:ext>
          </c:extLst>
        </c:ser>
        <c:ser>
          <c:idx val="25"/>
          <c:order val="25"/>
          <c:tx>
            <c:strRef>
              <c:f>List1!$AC$4</c:f>
              <c:strCache>
                <c:ptCount val="1"/>
                <c:pt idx="0">
                  <c:v>2023</c:v>
                </c:pt>
              </c:strCache>
            </c:strRef>
          </c:tx>
          <c:spPr>
            <a:ln w="28800" cap="rnd">
              <a:solidFill>
                <a:srgbClr val="158466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List1!$AC$5:$AC$370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2</c:v>
                </c:pt>
                <c:pt idx="117">
                  <c:v>2</c:v>
                </c:pt>
                <c:pt idx="118">
                  <c:v>2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3</c:v>
                </c:pt>
                <c:pt idx="132">
                  <c:v>3</c:v>
                </c:pt>
                <c:pt idx="133">
                  <c:v>3</c:v>
                </c:pt>
                <c:pt idx="134">
                  <c:v>3</c:v>
                </c:pt>
                <c:pt idx="135">
                  <c:v>3</c:v>
                </c:pt>
                <c:pt idx="136">
                  <c:v>3</c:v>
                </c:pt>
                <c:pt idx="137">
                  <c:v>3</c:v>
                </c:pt>
                <c:pt idx="138">
                  <c:v>3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4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4</c:v>
                </c:pt>
                <c:pt idx="158">
                  <c:v>4</c:v>
                </c:pt>
                <c:pt idx="159">
                  <c:v>5</c:v>
                </c:pt>
                <c:pt idx="160">
                  <c:v>6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8</c:v>
                </c:pt>
                <c:pt idx="167">
                  <c:v>8</c:v>
                </c:pt>
                <c:pt idx="168">
                  <c:v>9</c:v>
                </c:pt>
                <c:pt idx="169">
                  <c:v>9</c:v>
                </c:pt>
                <c:pt idx="170">
                  <c:v>9</c:v>
                </c:pt>
                <c:pt idx="171">
                  <c:v>9</c:v>
                </c:pt>
                <c:pt idx="172">
                  <c:v>9</c:v>
                </c:pt>
                <c:pt idx="173">
                  <c:v>10</c:v>
                </c:pt>
                <c:pt idx="174">
                  <c:v>11</c:v>
                </c:pt>
                <c:pt idx="175">
                  <c:v>11</c:v>
                </c:pt>
                <c:pt idx="176">
                  <c:v>11</c:v>
                </c:pt>
                <c:pt idx="177">
                  <c:v>12</c:v>
                </c:pt>
                <c:pt idx="178">
                  <c:v>13</c:v>
                </c:pt>
                <c:pt idx="179">
                  <c:v>13</c:v>
                </c:pt>
                <c:pt idx="180">
                  <c:v>13</c:v>
                </c:pt>
                <c:pt idx="181">
                  <c:v>14</c:v>
                </c:pt>
                <c:pt idx="182">
                  <c:v>14</c:v>
                </c:pt>
                <c:pt idx="183">
                  <c:v>14</c:v>
                </c:pt>
                <c:pt idx="184">
                  <c:v>14</c:v>
                </c:pt>
                <c:pt idx="185">
                  <c:v>14</c:v>
                </c:pt>
                <c:pt idx="186">
                  <c:v>14</c:v>
                </c:pt>
                <c:pt idx="187">
                  <c:v>14</c:v>
                </c:pt>
                <c:pt idx="188">
                  <c:v>14</c:v>
                </c:pt>
                <c:pt idx="189">
                  <c:v>14</c:v>
                </c:pt>
                <c:pt idx="190">
                  <c:v>14</c:v>
                </c:pt>
                <c:pt idx="191">
                  <c:v>15</c:v>
                </c:pt>
                <c:pt idx="192">
                  <c:v>15</c:v>
                </c:pt>
                <c:pt idx="193">
                  <c:v>16</c:v>
                </c:pt>
                <c:pt idx="194">
                  <c:v>16</c:v>
                </c:pt>
                <c:pt idx="195">
                  <c:v>16</c:v>
                </c:pt>
                <c:pt idx="196">
                  <c:v>16</c:v>
                </c:pt>
                <c:pt idx="197">
                  <c:v>16</c:v>
                </c:pt>
                <c:pt idx="198">
                  <c:v>16</c:v>
                </c:pt>
                <c:pt idx="199">
                  <c:v>16</c:v>
                </c:pt>
                <c:pt idx="200">
                  <c:v>16</c:v>
                </c:pt>
                <c:pt idx="201">
                  <c:v>16</c:v>
                </c:pt>
                <c:pt idx="202">
                  <c:v>16</c:v>
                </c:pt>
                <c:pt idx="203">
                  <c:v>16</c:v>
                </c:pt>
                <c:pt idx="204">
                  <c:v>16</c:v>
                </c:pt>
                <c:pt idx="205">
                  <c:v>17</c:v>
                </c:pt>
                <c:pt idx="206">
                  <c:v>18</c:v>
                </c:pt>
                <c:pt idx="207">
                  <c:v>18</c:v>
                </c:pt>
                <c:pt idx="208">
                  <c:v>18</c:v>
                </c:pt>
                <c:pt idx="209">
                  <c:v>18</c:v>
                </c:pt>
                <c:pt idx="210">
                  <c:v>19</c:v>
                </c:pt>
                <c:pt idx="211">
                  <c:v>20</c:v>
                </c:pt>
                <c:pt idx="212">
                  <c:v>20</c:v>
                </c:pt>
                <c:pt idx="213">
                  <c:v>21</c:v>
                </c:pt>
                <c:pt idx="214">
                  <c:v>22</c:v>
                </c:pt>
                <c:pt idx="215">
                  <c:v>22</c:v>
                </c:pt>
                <c:pt idx="216">
                  <c:v>22</c:v>
                </c:pt>
                <c:pt idx="217">
                  <c:v>22</c:v>
                </c:pt>
                <c:pt idx="218">
                  <c:v>22</c:v>
                </c:pt>
                <c:pt idx="219">
                  <c:v>22</c:v>
                </c:pt>
                <c:pt idx="220">
                  <c:v>22</c:v>
                </c:pt>
                <c:pt idx="221">
                  <c:v>22</c:v>
                </c:pt>
                <c:pt idx="222">
                  <c:v>22</c:v>
                </c:pt>
                <c:pt idx="223">
                  <c:v>22</c:v>
                </c:pt>
                <c:pt idx="224">
                  <c:v>22</c:v>
                </c:pt>
                <c:pt idx="225">
                  <c:v>22</c:v>
                </c:pt>
                <c:pt idx="226">
                  <c:v>22</c:v>
                </c:pt>
                <c:pt idx="227">
                  <c:v>22</c:v>
                </c:pt>
                <c:pt idx="228">
                  <c:v>22</c:v>
                </c:pt>
                <c:pt idx="229">
                  <c:v>23</c:v>
                </c:pt>
                <c:pt idx="230">
                  <c:v>24</c:v>
                </c:pt>
                <c:pt idx="231">
                  <c:v>24</c:v>
                </c:pt>
                <c:pt idx="232">
                  <c:v>25</c:v>
                </c:pt>
                <c:pt idx="233">
                  <c:v>25</c:v>
                </c:pt>
                <c:pt idx="234">
                  <c:v>25</c:v>
                </c:pt>
                <c:pt idx="235">
                  <c:v>25</c:v>
                </c:pt>
                <c:pt idx="236">
                  <c:v>25</c:v>
                </c:pt>
                <c:pt idx="237">
                  <c:v>25</c:v>
                </c:pt>
                <c:pt idx="238">
                  <c:v>25</c:v>
                </c:pt>
                <c:pt idx="239">
                  <c:v>25</c:v>
                </c:pt>
                <c:pt idx="240">
                  <c:v>25</c:v>
                </c:pt>
                <c:pt idx="241">
                  <c:v>25</c:v>
                </c:pt>
                <c:pt idx="242">
                  <c:v>25</c:v>
                </c:pt>
                <c:pt idx="243">
                  <c:v>25</c:v>
                </c:pt>
                <c:pt idx="244">
                  <c:v>25</c:v>
                </c:pt>
                <c:pt idx="245">
                  <c:v>25</c:v>
                </c:pt>
                <c:pt idx="246">
                  <c:v>25</c:v>
                </c:pt>
                <c:pt idx="247">
                  <c:v>25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25</c:v>
                </c:pt>
                <c:pt idx="252">
                  <c:v>25</c:v>
                </c:pt>
                <c:pt idx="253">
                  <c:v>25</c:v>
                </c:pt>
                <c:pt idx="254">
                  <c:v>25</c:v>
                </c:pt>
                <c:pt idx="255">
                  <c:v>25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25</c:v>
                </c:pt>
                <c:pt idx="260">
                  <c:v>25</c:v>
                </c:pt>
                <c:pt idx="261">
                  <c:v>26</c:v>
                </c:pt>
                <c:pt idx="262">
                  <c:v>26</c:v>
                </c:pt>
                <c:pt idx="263">
                  <c:v>26</c:v>
                </c:pt>
                <c:pt idx="264">
                  <c:v>26</c:v>
                </c:pt>
                <c:pt idx="265">
                  <c:v>26</c:v>
                </c:pt>
                <c:pt idx="266">
                  <c:v>26</c:v>
                </c:pt>
                <c:pt idx="267">
                  <c:v>26</c:v>
                </c:pt>
                <c:pt idx="268">
                  <c:v>26</c:v>
                </c:pt>
                <c:pt idx="269">
                  <c:v>26</c:v>
                </c:pt>
                <c:pt idx="270">
                  <c:v>26</c:v>
                </c:pt>
                <c:pt idx="271">
                  <c:v>26</c:v>
                </c:pt>
                <c:pt idx="272">
                  <c:v>26</c:v>
                </c:pt>
                <c:pt idx="273">
                  <c:v>26</c:v>
                </c:pt>
                <c:pt idx="274">
                  <c:v>26</c:v>
                </c:pt>
                <c:pt idx="275">
                  <c:v>26</c:v>
                </c:pt>
                <c:pt idx="276">
                  <c:v>27</c:v>
                </c:pt>
                <c:pt idx="277">
                  <c:v>27</c:v>
                </c:pt>
                <c:pt idx="278">
                  <c:v>27</c:v>
                </c:pt>
                <c:pt idx="279">
                  <c:v>27</c:v>
                </c:pt>
                <c:pt idx="280">
                  <c:v>27</c:v>
                </c:pt>
                <c:pt idx="281">
                  <c:v>27</c:v>
                </c:pt>
                <c:pt idx="282">
                  <c:v>27</c:v>
                </c:pt>
                <c:pt idx="283">
                  <c:v>27</c:v>
                </c:pt>
                <c:pt idx="284">
                  <c:v>27</c:v>
                </c:pt>
                <c:pt idx="285">
                  <c:v>27</c:v>
                </c:pt>
                <c:pt idx="286">
                  <c:v>27</c:v>
                </c:pt>
                <c:pt idx="287">
                  <c:v>27</c:v>
                </c:pt>
                <c:pt idx="288">
                  <c:v>27</c:v>
                </c:pt>
                <c:pt idx="289">
                  <c:v>27</c:v>
                </c:pt>
                <c:pt idx="290">
                  <c:v>27</c:v>
                </c:pt>
                <c:pt idx="291">
                  <c:v>27</c:v>
                </c:pt>
                <c:pt idx="292">
                  <c:v>27</c:v>
                </c:pt>
                <c:pt idx="293">
                  <c:v>27</c:v>
                </c:pt>
                <c:pt idx="294">
                  <c:v>27</c:v>
                </c:pt>
                <c:pt idx="295">
                  <c:v>27</c:v>
                </c:pt>
                <c:pt idx="296">
                  <c:v>27</c:v>
                </c:pt>
                <c:pt idx="297">
                  <c:v>27</c:v>
                </c:pt>
                <c:pt idx="298">
                  <c:v>27</c:v>
                </c:pt>
                <c:pt idx="299">
                  <c:v>27</c:v>
                </c:pt>
                <c:pt idx="300">
                  <c:v>27</c:v>
                </c:pt>
                <c:pt idx="301">
                  <c:v>27</c:v>
                </c:pt>
                <c:pt idx="302">
                  <c:v>27</c:v>
                </c:pt>
                <c:pt idx="303">
                  <c:v>27</c:v>
                </c:pt>
                <c:pt idx="304">
                  <c:v>27</c:v>
                </c:pt>
                <c:pt idx="305">
                  <c:v>27</c:v>
                </c:pt>
                <c:pt idx="306">
                  <c:v>27</c:v>
                </c:pt>
                <c:pt idx="307">
                  <c:v>27</c:v>
                </c:pt>
                <c:pt idx="308">
                  <c:v>27</c:v>
                </c:pt>
                <c:pt idx="309">
                  <c:v>27</c:v>
                </c:pt>
                <c:pt idx="310">
                  <c:v>27</c:v>
                </c:pt>
                <c:pt idx="311">
                  <c:v>27</c:v>
                </c:pt>
                <c:pt idx="312">
                  <c:v>27</c:v>
                </c:pt>
                <c:pt idx="313">
                  <c:v>27</c:v>
                </c:pt>
                <c:pt idx="314">
                  <c:v>27</c:v>
                </c:pt>
                <c:pt idx="315">
                  <c:v>27</c:v>
                </c:pt>
                <c:pt idx="316">
                  <c:v>27</c:v>
                </c:pt>
                <c:pt idx="317">
                  <c:v>27</c:v>
                </c:pt>
                <c:pt idx="318">
                  <c:v>27</c:v>
                </c:pt>
                <c:pt idx="319">
                  <c:v>27</c:v>
                </c:pt>
                <c:pt idx="320">
                  <c:v>27</c:v>
                </c:pt>
                <c:pt idx="321">
                  <c:v>27</c:v>
                </c:pt>
                <c:pt idx="322">
                  <c:v>27</c:v>
                </c:pt>
                <c:pt idx="323">
                  <c:v>27</c:v>
                </c:pt>
                <c:pt idx="324">
                  <c:v>27</c:v>
                </c:pt>
                <c:pt idx="325">
                  <c:v>27</c:v>
                </c:pt>
                <c:pt idx="326">
                  <c:v>27</c:v>
                </c:pt>
                <c:pt idx="327">
                  <c:v>27</c:v>
                </c:pt>
                <c:pt idx="328">
                  <c:v>27</c:v>
                </c:pt>
                <c:pt idx="329">
                  <c:v>27</c:v>
                </c:pt>
                <c:pt idx="330">
                  <c:v>27</c:v>
                </c:pt>
                <c:pt idx="331">
                  <c:v>27</c:v>
                </c:pt>
                <c:pt idx="332">
                  <c:v>27</c:v>
                </c:pt>
                <c:pt idx="333">
                  <c:v>27</c:v>
                </c:pt>
                <c:pt idx="334">
                  <c:v>27</c:v>
                </c:pt>
                <c:pt idx="335">
                  <c:v>27</c:v>
                </c:pt>
                <c:pt idx="336">
                  <c:v>27</c:v>
                </c:pt>
                <c:pt idx="337">
                  <c:v>27</c:v>
                </c:pt>
                <c:pt idx="338">
                  <c:v>27</c:v>
                </c:pt>
                <c:pt idx="339">
                  <c:v>27</c:v>
                </c:pt>
                <c:pt idx="340">
                  <c:v>27</c:v>
                </c:pt>
                <c:pt idx="341">
                  <c:v>27</c:v>
                </c:pt>
                <c:pt idx="342">
                  <c:v>27</c:v>
                </c:pt>
                <c:pt idx="343">
                  <c:v>27</c:v>
                </c:pt>
                <c:pt idx="344">
                  <c:v>27</c:v>
                </c:pt>
                <c:pt idx="345">
                  <c:v>27</c:v>
                </c:pt>
                <c:pt idx="346">
                  <c:v>27</c:v>
                </c:pt>
                <c:pt idx="347">
                  <c:v>27</c:v>
                </c:pt>
                <c:pt idx="348">
                  <c:v>27</c:v>
                </c:pt>
                <c:pt idx="349">
                  <c:v>27</c:v>
                </c:pt>
                <c:pt idx="350">
                  <c:v>27</c:v>
                </c:pt>
                <c:pt idx="351">
                  <c:v>27</c:v>
                </c:pt>
                <c:pt idx="352">
                  <c:v>27</c:v>
                </c:pt>
                <c:pt idx="353">
                  <c:v>27</c:v>
                </c:pt>
                <c:pt idx="354">
                  <c:v>27</c:v>
                </c:pt>
                <c:pt idx="355">
                  <c:v>28</c:v>
                </c:pt>
                <c:pt idx="356">
                  <c:v>29</c:v>
                </c:pt>
                <c:pt idx="357">
                  <c:v>29</c:v>
                </c:pt>
                <c:pt idx="358">
                  <c:v>29</c:v>
                </c:pt>
                <c:pt idx="359">
                  <c:v>29</c:v>
                </c:pt>
                <c:pt idx="360">
                  <c:v>29</c:v>
                </c:pt>
                <c:pt idx="361">
                  <c:v>29</c:v>
                </c:pt>
                <c:pt idx="362">
                  <c:v>29</c:v>
                </c:pt>
                <c:pt idx="363">
                  <c:v>29</c:v>
                </c:pt>
                <c:pt idx="364">
                  <c:v>29</c:v>
                </c:pt>
                <c:pt idx="365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D3BE-9041-9B32-DA116BC247BB}"/>
            </c:ext>
          </c:extLst>
        </c:ser>
        <c:ser>
          <c:idx val="26"/>
          <c:order val="26"/>
          <c:tx>
            <c:strRef>
              <c:f>List1!$AD$4</c:f>
              <c:strCache>
                <c:ptCount val="1"/>
                <c:pt idx="0">
                  <c:v>2024</c:v>
                </c:pt>
              </c:strCache>
            </c:strRef>
          </c:tx>
          <c:spPr>
            <a:ln w="28800" cap="rnd">
              <a:solidFill>
                <a:srgbClr val="00A933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List1!$AD$5:$AD$370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2</c:v>
                </c:pt>
                <c:pt idx="139">
                  <c:v>3</c:v>
                </c:pt>
                <c:pt idx="140">
                  <c:v>3</c:v>
                </c:pt>
                <c:pt idx="141">
                  <c:v>3</c:v>
                </c:pt>
                <c:pt idx="142">
                  <c:v>3</c:v>
                </c:pt>
                <c:pt idx="143">
                  <c:v>3</c:v>
                </c:pt>
                <c:pt idx="144">
                  <c:v>3</c:v>
                </c:pt>
                <c:pt idx="145">
                  <c:v>4</c:v>
                </c:pt>
                <c:pt idx="146">
                  <c:v>5</c:v>
                </c:pt>
                <c:pt idx="147">
                  <c:v>6</c:v>
                </c:pt>
                <c:pt idx="148">
                  <c:v>7</c:v>
                </c:pt>
                <c:pt idx="149">
                  <c:v>7</c:v>
                </c:pt>
                <c:pt idx="150">
                  <c:v>8</c:v>
                </c:pt>
                <c:pt idx="151">
                  <c:v>8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9</c:v>
                </c:pt>
                <c:pt idx="156">
                  <c:v>9</c:v>
                </c:pt>
                <c:pt idx="157">
                  <c:v>10</c:v>
                </c:pt>
                <c:pt idx="158">
                  <c:v>10</c:v>
                </c:pt>
                <c:pt idx="159">
                  <c:v>10</c:v>
                </c:pt>
                <c:pt idx="160">
                  <c:v>10</c:v>
                </c:pt>
                <c:pt idx="161">
                  <c:v>10</c:v>
                </c:pt>
                <c:pt idx="162">
                  <c:v>10</c:v>
                </c:pt>
                <c:pt idx="163">
                  <c:v>10</c:v>
                </c:pt>
                <c:pt idx="164">
                  <c:v>10</c:v>
                </c:pt>
                <c:pt idx="165">
                  <c:v>10</c:v>
                </c:pt>
                <c:pt idx="166">
                  <c:v>10</c:v>
                </c:pt>
                <c:pt idx="167">
                  <c:v>10</c:v>
                </c:pt>
                <c:pt idx="168">
                  <c:v>10</c:v>
                </c:pt>
                <c:pt idx="169">
                  <c:v>10</c:v>
                </c:pt>
                <c:pt idx="170">
                  <c:v>10</c:v>
                </c:pt>
                <c:pt idx="171">
                  <c:v>10</c:v>
                </c:pt>
                <c:pt idx="172">
                  <c:v>10</c:v>
                </c:pt>
                <c:pt idx="173">
                  <c:v>10</c:v>
                </c:pt>
                <c:pt idx="174">
                  <c:v>10</c:v>
                </c:pt>
                <c:pt idx="175">
                  <c:v>10</c:v>
                </c:pt>
                <c:pt idx="176">
                  <c:v>10</c:v>
                </c:pt>
                <c:pt idx="177">
                  <c:v>11</c:v>
                </c:pt>
                <c:pt idx="178">
                  <c:v>12</c:v>
                </c:pt>
                <c:pt idx="179">
                  <c:v>13</c:v>
                </c:pt>
                <c:pt idx="180">
                  <c:v>13</c:v>
                </c:pt>
                <c:pt idx="181">
                  <c:v>14</c:v>
                </c:pt>
                <c:pt idx="182">
                  <c:v>15</c:v>
                </c:pt>
                <c:pt idx="183">
                  <c:v>15</c:v>
                </c:pt>
                <c:pt idx="184">
                  <c:v>15</c:v>
                </c:pt>
                <c:pt idx="185">
                  <c:v>15</c:v>
                </c:pt>
                <c:pt idx="186">
                  <c:v>15</c:v>
                </c:pt>
                <c:pt idx="187">
                  <c:v>16</c:v>
                </c:pt>
                <c:pt idx="188">
                  <c:v>16</c:v>
                </c:pt>
                <c:pt idx="189">
                  <c:v>16</c:v>
                </c:pt>
                <c:pt idx="190">
                  <c:v>16</c:v>
                </c:pt>
                <c:pt idx="191">
                  <c:v>17</c:v>
                </c:pt>
                <c:pt idx="192">
                  <c:v>18</c:v>
                </c:pt>
                <c:pt idx="193">
                  <c:v>19</c:v>
                </c:pt>
                <c:pt idx="194">
                  <c:v>19</c:v>
                </c:pt>
                <c:pt idx="195">
                  <c:v>19</c:v>
                </c:pt>
                <c:pt idx="196">
                  <c:v>19</c:v>
                </c:pt>
                <c:pt idx="197">
                  <c:v>19</c:v>
                </c:pt>
                <c:pt idx="198">
                  <c:v>19</c:v>
                </c:pt>
                <c:pt idx="199">
                  <c:v>19</c:v>
                </c:pt>
                <c:pt idx="200">
                  <c:v>19</c:v>
                </c:pt>
                <c:pt idx="201">
                  <c:v>19</c:v>
                </c:pt>
                <c:pt idx="202">
                  <c:v>19</c:v>
                </c:pt>
                <c:pt idx="203">
                  <c:v>19</c:v>
                </c:pt>
                <c:pt idx="204">
                  <c:v>19</c:v>
                </c:pt>
                <c:pt idx="205">
                  <c:v>20</c:v>
                </c:pt>
                <c:pt idx="206">
                  <c:v>20</c:v>
                </c:pt>
                <c:pt idx="207">
                  <c:v>20</c:v>
                </c:pt>
                <c:pt idx="208">
                  <c:v>20</c:v>
                </c:pt>
                <c:pt idx="209">
                  <c:v>20</c:v>
                </c:pt>
                <c:pt idx="210">
                  <c:v>20</c:v>
                </c:pt>
                <c:pt idx="211">
                  <c:v>20</c:v>
                </c:pt>
                <c:pt idx="212">
                  <c:v>20</c:v>
                </c:pt>
                <c:pt idx="213">
                  <c:v>21</c:v>
                </c:pt>
                <c:pt idx="214">
                  <c:v>21</c:v>
                </c:pt>
                <c:pt idx="215">
                  <c:v>21</c:v>
                </c:pt>
                <c:pt idx="216">
                  <c:v>22</c:v>
                </c:pt>
                <c:pt idx="217">
                  <c:v>22</c:v>
                </c:pt>
                <c:pt idx="218">
                  <c:v>22</c:v>
                </c:pt>
                <c:pt idx="219">
                  <c:v>22</c:v>
                </c:pt>
                <c:pt idx="220">
                  <c:v>23</c:v>
                </c:pt>
                <c:pt idx="221">
                  <c:v>23</c:v>
                </c:pt>
                <c:pt idx="222">
                  <c:v>23</c:v>
                </c:pt>
                <c:pt idx="223">
                  <c:v>23</c:v>
                </c:pt>
                <c:pt idx="224">
                  <c:v>23</c:v>
                </c:pt>
                <c:pt idx="225">
                  <c:v>23</c:v>
                </c:pt>
                <c:pt idx="226">
                  <c:v>24</c:v>
                </c:pt>
                <c:pt idx="227">
                  <c:v>25</c:v>
                </c:pt>
                <c:pt idx="228">
                  <c:v>25</c:v>
                </c:pt>
                <c:pt idx="229">
                  <c:v>26</c:v>
                </c:pt>
                <c:pt idx="230">
                  <c:v>27</c:v>
                </c:pt>
                <c:pt idx="231">
                  <c:v>27</c:v>
                </c:pt>
                <c:pt idx="232">
                  <c:v>27</c:v>
                </c:pt>
                <c:pt idx="233">
                  <c:v>28</c:v>
                </c:pt>
                <c:pt idx="234">
                  <c:v>28</c:v>
                </c:pt>
                <c:pt idx="235">
                  <c:v>28</c:v>
                </c:pt>
                <c:pt idx="236">
                  <c:v>28</c:v>
                </c:pt>
                <c:pt idx="237">
                  <c:v>28</c:v>
                </c:pt>
                <c:pt idx="238">
                  <c:v>28</c:v>
                </c:pt>
                <c:pt idx="239">
                  <c:v>28</c:v>
                </c:pt>
                <c:pt idx="240">
                  <c:v>28</c:v>
                </c:pt>
                <c:pt idx="241">
                  <c:v>28</c:v>
                </c:pt>
                <c:pt idx="242">
                  <c:v>29</c:v>
                </c:pt>
                <c:pt idx="243">
                  <c:v>29</c:v>
                </c:pt>
                <c:pt idx="244">
                  <c:v>29</c:v>
                </c:pt>
                <c:pt idx="245">
                  <c:v>29</c:v>
                </c:pt>
                <c:pt idx="246">
                  <c:v>30</c:v>
                </c:pt>
                <c:pt idx="247">
                  <c:v>30</c:v>
                </c:pt>
                <c:pt idx="248">
                  <c:v>30</c:v>
                </c:pt>
                <c:pt idx="249">
                  <c:v>30</c:v>
                </c:pt>
                <c:pt idx="250">
                  <c:v>30</c:v>
                </c:pt>
                <c:pt idx="251">
                  <c:v>30</c:v>
                </c:pt>
                <c:pt idx="252">
                  <c:v>30</c:v>
                </c:pt>
                <c:pt idx="253">
                  <c:v>30</c:v>
                </c:pt>
                <c:pt idx="254">
                  <c:v>30</c:v>
                </c:pt>
                <c:pt idx="255">
                  <c:v>30</c:v>
                </c:pt>
                <c:pt idx="256">
                  <c:v>30</c:v>
                </c:pt>
                <c:pt idx="257">
                  <c:v>30</c:v>
                </c:pt>
                <c:pt idx="258">
                  <c:v>30</c:v>
                </c:pt>
                <c:pt idx="259">
                  <c:v>30</c:v>
                </c:pt>
                <c:pt idx="260">
                  <c:v>30</c:v>
                </c:pt>
                <c:pt idx="261">
                  <c:v>30</c:v>
                </c:pt>
                <c:pt idx="262">
                  <c:v>30</c:v>
                </c:pt>
                <c:pt idx="263">
                  <c:v>30</c:v>
                </c:pt>
                <c:pt idx="264">
                  <c:v>30</c:v>
                </c:pt>
                <c:pt idx="265">
                  <c:v>30</c:v>
                </c:pt>
                <c:pt idx="266">
                  <c:v>30</c:v>
                </c:pt>
                <c:pt idx="267">
                  <c:v>30</c:v>
                </c:pt>
                <c:pt idx="268">
                  <c:v>30</c:v>
                </c:pt>
                <c:pt idx="269">
                  <c:v>30</c:v>
                </c:pt>
                <c:pt idx="270">
                  <c:v>30</c:v>
                </c:pt>
                <c:pt idx="271">
                  <c:v>30</c:v>
                </c:pt>
                <c:pt idx="272">
                  <c:v>30</c:v>
                </c:pt>
                <c:pt idx="273">
                  <c:v>30</c:v>
                </c:pt>
                <c:pt idx="274">
                  <c:v>30</c:v>
                </c:pt>
                <c:pt idx="275">
                  <c:v>30</c:v>
                </c:pt>
                <c:pt idx="276">
                  <c:v>30</c:v>
                </c:pt>
                <c:pt idx="277">
                  <c:v>30</c:v>
                </c:pt>
                <c:pt idx="278">
                  <c:v>30</c:v>
                </c:pt>
                <c:pt idx="279">
                  <c:v>30</c:v>
                </c:pt>
                <c:pt idx="280">
                  <c:v>30</c:v>
                </c:pt>
                <c:pt idx="281">
                  <c:v>30</c:v>
                </c:pt>
                <c:pt idx="282">
                  <c:v>30</c:v>
                </c:pt>
                <c:pt idx="283">
                  <c:v>30</c:v>
                </c:pt>
                <c:pt idx="284">
                  <c:v>30</c:v>
                </c:pt>
                <c:pt idx="285">
                  <c:v>30</c:v>
                </c:pt>
                <c:pt idx="286">
                  <c:v>30</c:v>
                </c:pt>
                <c:pt idx="287">
                  <c:v>30</c:v>
                </c:pt>
                <c:pt idx="288">
                  <c:v>30</c:v>
                </c:pt>
                <c:pt idx="289">
                  <c:v>30</c:v>
                </c:pt>
                <c:pt idx="290">
                  <c:v>30</c:v>
                </c:pt>
                <c:pt idx="291">
                  <c:v>30</c:v>
                </c:pt>
                <c:pt idx="292">
                  <c:v>30</c:v>
                </c:pt>
                <c:pt idx="293">
                  <c:v>30</c:v>
                </c:pt>
                <c:pt idx="294">
                  <c:v>30</c:v>
                </c:pt>
                <c:pt idx="295">
                  <c:v>30</c:v>
                </c:pt>
                <c:pt idx="296">
                  <c:v>30</c:v>
                </c:pt>
                <c:pt idx="297">
                  <c:v>30</c:v>
                </c:pt>
                <c:pt idx="298">
                  <c:v>30</c:v>
                </c:pt>
                <c:pt idx="299">
                  <c:v>30</c:v>
                </c:pt>
                <c:pt idx="300">
                  <c:v>30</c:v>
                </c:pt>
                <c:pt idx="301">
                  <c:v>30</c:v>
                </c:pt>
                <c:pt idx="302">
                  <c:v>30</c:v>
                </c:pt>
                <c:pt idx="303">
                  <c:v>30</c:v>
                </c:pt>
                <c:pt idx="304">
                  <c:v>30</c:v>
                </c:pt>
                <c:pt idx="305">
                  <c:v>30</c:v>
                </c:pt>
                <c:pt idx="306">
                  <c:v>30</c:v>
                </c:pt>
                <c:pt idx="307">
                  <c:v>30</c:v>
                </c:pt>
                <c:pt idx="308">
                  <c:v>30</c:v>
                </c:pt>
                <c:pt idx="309">
                  <c:v>30</c:v>
                </c:pt>
                <c:pt idx="310">
                  <c:v>30</c:v>
                </c:pt>
                <c:pt idx="311">
                  <c:v>30</c:v>
                </c:pt>
                <c:pt idx="312">
                  <c:v>30</c:v>
                </c:pt>
                <c:pt idx="313">
                  <c:v>30</c:v>
                </c:pt>
                <c:pt idx="314">
                  <c:v>30</c:v>
                </c:pt>
                <c:pt idx="315">
                  <c:v>30</c:v>
                </c:pt>
                <c:pt idx="316">
                  <c:v>30</c:v>
                </c:pt>
                <c:pt idx="317">
                  <c:v>30</c:v>
                </c:pt>
                <c:pt idx="318">
                  <c:v>30</c:v>
                </c:pt>
                <c:pt idx="319">
                  <c:v>30</c:v>
                </c:pt>
                <c:pt idx="320">
                  <c:v>30</c:v>
                </c:pt>
                <c:pt idx="321">
                  <c:v>30</c:v>
                </c:pt>
                <c:pt idx="322">
                  <c:v>30</c:v>
                </c:pt>
                <c:pt idx="323">
                  <c:v>30</c:v>
                </c:pt>
                <c:pt idx="324">
                  <c:v>30</c:v>
                </c:pt>
                <c:pt idx="325">
                  <c:v>30</c:v>
                </c:pt>
                <c:pt idx="326">
                  <c:v>30</c:v>
                </c:pt>
                <c:pt idx="327">
                  <c:v>30</c:v>
                </c:pt>
                <c:pt idx="328">
                  <c:v>30</c:v>
                </c:pt>
                <c:pt idx="329">
                  <c:v>30</c:v>
                </c:pt>
                <c:pt idx="330">
                  <c:v>30</c:v>
                </c:pt>
                <c:pt idx="331">
                  <c:v>30</c:v>
                </c:pt>
                <c:pt idx="332">
                  <c:v>30</c:v>
                </c:pt>
                <c:pt idx="333">
                  <c:v>30</c:v>
                </c:pt>
                <c:pt idx="334">
                  <c:v>30</c:v>
                </c:pt>
                <c:pt idx="335">
                  <c:v>30</c:v>
                </c:pt>
                <c:pt idx="336">
                  <c:v>30</c:v>
                </c:pt>
                <c:pt idx="337">
                  <c:v>30</c:v>
                </c:pt>
                <c:pt idx="338">
                  <c:v>30</c:v>
                </c:pt>
                <c:pt idx="339">
                  <c:v>30</c:v>
                </c:pt>
                <c:pt idx="340">
                  <c:v>30</c:v>
                </c:pt>
                <c:pt idx="341">
                  <c:v>30</c:v>
                </c:pt>
                <c:pt idx="342">
                  <c:v>30</c:v>
                </c:pt>
                <c:pt idx="343">
                  <c:v>30</c:v>
                </c:pt>
                <c:pt idx="344">
                  <c:v>30</c:v>
                </c:pt>
                <c:pt idx="345">
                  <c:v>30</c:v>
                </c:pt>
                <c:pt idx="346">
                  <c:v>30</c:v>
                </c:pt>
                <c:pt idx="347">
                  <c:v>30</c:v>
                </c:pt>
                <c:pt idx="348">
                  <c:v>30</c:v>
                </c:pt>
                <c:pt idx="349">
                  <c:v>30</c:v>
                </c:pt>
                <c:pt idx="350">
                  <c:v>30</c:v>
                </c:pt>
                <c:pt idx="351">
                  <c:v>30</c:v>
                </c:pt>
                <c:pt idx="352">
                  <c:v>30</c:v>
                </c:pt>
                <c:pt idx="353">
                  <c:v>30</c:v>
                </c:pt>
                <c:pt idx="354">
                  <c:v>30</c:v>
                </c:pt>
                <c:pt idx="355">
                  <c:v>30</c:v>
                </c:pt>
                <c:pt idx="356">
                  <c:v>30</c:v>
                </c:pt>
                <c:pt idx="357">
                  <c:v>30</c:v>
                </c:pt>
                <c:pt idx="358">
                  <c:v>30</c:v>
                </c:pt>
                <c:pt idx="359">
                  <c:v>30</c:v>
                </c:pt>
                <c:pt idx="360">
                  <c:v>30</c:v>
                </c:pt>
                <c:pt idx="361">
                  <c:v>30</c:v>
                </c:pt>
                <c:pt idx="362">
                  <c:v>30</c:v>
                </c:pt>
                <c:pt idx="363">
                  <c:v>30</c:v>
                </c:pt>
                <c:pt idx="364">
                  <c:v>30</c:v>
                </c:pt>
                <c:pt idx="365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D3BE-9041-9B32-DA116BC247BB}"/>
            </c:ext>
          </c:extLst>
        </c:ser>
        <c:ser>
          <c:idx val="27"/>
          <c:order val="27"/>
          <c:tx>
            <c:strRef>
              <c:f>List1!$AE$4</c:f>
              <c:strCache>
                <c:ptCount val="1"/>
                <c:pt idx="0">
                  <c:v>2025</c:v>
                </c:pt>
              </c:strCache>
            </c:strRef>
          </c:tx>
          <c:spPr>
            <a:ln w="28800" cap="rnd">
              <a:solidFill>
                <a:srgbClr val="81D41A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List1!$AE$5:$AE$370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3</c:v>
                </c:pt>
                <c:pt idx="149">
                  <c:v>3</c:v>
                </c:pt>
                <c:pt idx="150">
                  <c:v>3</c:v>
                </c:pt>
                <c:pt idx="151">
                  <c:v>4</c:v>
                </c:pt>
                <c:pt idx="152">
                  <c:v>5</c:v>
                </c:pt>
                <c:pt idx="153">
                  <c:v>5</c:v>
                </c:pt>
                <c:pt idx="154">
                  <c:v>5</c:v>
                </c:pt>
                <c:pt idx="155">
                  <c:v>5</c:v>
                </c:pt>
                <c:pt idx="156">
                  <c:v>5</c:v>
                </c:pt>
                <c:pt idx="157">
                  <c:v>5</c:v>
                </c:pt>
                <c:pt idx="158">
                  <c:v>5</c:v>
                </c:pt>
                <c:pt idx="159">
                  <c:v>5</c:v>
                </c:pt>
                <c:pt idx="160">
                  <c:v>5</c:v>
                </c:pt>
                <c:pt idx="161">
                  <c:v>5</c:v>
                </c:pt>
                <c:pt idx="162">
                  <c:v>5</c:v>
                </c:pt>
                <c:pt idx="163">
                  <c:v>5</c:v>
                </c:pt>
                <c:pt idx="164">
                  <c:v>5</c:v>
                </c:pt>
                <c:pt idx="165">
                  <c:v>5</c:v>
                </c:pt>
                <c:pt idx="166">
                  <c:v>6</c:v>
                </c:pt>
                <c:pt idx="167">
                  <c:v>6</c:v>
                </c:pt>
                <c:pt idx="168">
                  <c:v>6</c:v>
                </c:pt>
                <c:pt idx="169">
                  <c:v>6</c:v>
                </c:pt>
                <c:pt idx="170">
                  <c:v>6</c:v>
                </c:pt>
                <c:pt idx="171">
                  <c:v>6</c:v>
                </c:pt>
                <c:pt idx="172">
                  <c:v>6</c:v>
                </c:pt>
                <c:pt idx="173">
                  <c:v>6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7</c:v>
                </c:pt>
                <c:pt idx="184">
                  <c:v>7</c:v>
                </c:pt>
                <c:pt idx="185">
                  <c:v>7</c:v>
                </c:pt>
                <c:pt idx="186">
                  <c:v>7</c:v>
                </c:pt>
                <c:pt idx="187">
                  <c:v>7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8</c:v>
                </c:pt>
                <c:pt idx="193">
                  <c:v>8</c:v>
                </c:pt>
                <c:pt idx="194">
                  <c:v>8</c:v>
                </c:pt>
                <c:pt idx="195">
                  <c:v>8</c:v>
                </c:pt>
                <c:pt idx="196">
                  <c:v>9</c:v>
                </c:pt>
                <c:pt idx="197">
                  <c:v>10</c:v>
                </c:pt>
                <c:pt idx="198">
                  <c:v>10</c:v>
                </c:pt>
                <c:pt idx="199">
                  <c:v>10</c:v>
                </c:pt>
                <c:pt idx="200">
                  <c:v>10</c:v>
                </c:pt>
                <c:pt idx="201">
                  <c:v>10</c:v>
                </c:pt>
                <c:pt idx="202">
                  <c:v>11</c:v>
                </c:pt>
                <c:pt idx="203">
                  <c:v>12</c:v>
                </c:pt>
                <c:pt idx="204">
                  <c:v>12</c:v>
                </c:pt>
                <c:pt idx="205">
                  <c:v>12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13</c:v>
                </c:pt>
                <c:pt idx="211">
                  <c:v>14</c:v>
                </c:pt>
                <c:pt idx="212">
                  <c:v>14</c:v>
                </c:pt>
                <c:pt idx="213">
                  <c:v>15</c:v>
                </c:pt>
                <c:pt idx="214">
                  <c:v>16</c:v>
                </c:pt>
                <c:pt idx="215">
                  <c:v>16</c:v>
                </c:pt>
                <c:pt idx="216">
                  <c:v>16</c:v>
                </c:pt>
                <c:pt idx="217">
                  <c:v>16</c:v>
                </c:pt>
                <c:pt idx="218">
                  <c:v>16</c:v>
                </c:pt>
                <c:pt idx="219">
                  <c:v>16</c:v>
                </c:pt>
                <c:pt idx="220">
                  <c:v>16</c:v>
                </c:pt>
                <c:pt idx="221">
                  <c:v>16</c:v>
                </c:pt>
                <c:pt idx="222">
                  <c:v>16</c:v>
                </c:pt>
                <c:pt idx="223">
                  <c:v>16</c:v>
                </c:pt>
                <c:pt idx="224">
                  <c:v>16</c:v>
                </c:pt>
                <c:pt idx="225">
                  <c:v>16</c:v>
                </c:pt>
                <c:pt idx="226">
                  <c:v>16</c:v>
                </c:pt>
                <c:pt idx="227">
                  <c:v>16</c:v>
                </c:pt>
                <c:pt idx="228">
                  <c:v>16</c:v>
                </c:pt>
                <c:pt idx="229">
                  <c:v>16</c:v>
                </c:pt>
                <c:pt idx="230">
                  <c:v>16</c:v>
                </c:pt>
                <c:pt idx="231">
                  <c:v>16</c:v>
                </c:pt>
                <c:pt idx="232">
                  <c:v>16</c:v>
                </c:pt>
                <c:pt idx="233">
                  <c:v>16</c:v>
                </c:pt>
                <c:pt idx="234">
                  <c:v>16</c:v>
                </c:pt>
                <c:pt idx="235">
                  <c:v>16</c:v>
                </c:pt>
                <c:pt idx="236">
                  <c:v>16</c:v>
                </c:pt>
                <c:pt idx="237">
                  <c:v>16</c:v>
                </c:pt>
                <c:pt idx="238">
                  <c:v>16</c:v>
                </c:pt>
                <c:pt idx="239">
                  <c:v>16</c:v>
                </c:pt>
                <c:pt idx="240">
                  <c:v>16</c:v>
                </c:pt>
                <c:pt idx="241">
                  <c:v>16</c:v>
                </c:pt>
                <c:pt idx="242">
                  <c:v>16</c:v>
                </c:pt>
                <c:pt idx="243">
                  <c:v>16</c:v>
                </c:pt>
                <c:pt idx="244">
                  <c:v>16</c:v>
                </c:pt>
                <c:pt idx="245">
                  <c:v>17</c:v>
                </c:pt>
                <c:pt idx="246">
                  <c:v>17</c:v>
                </c:pt>
                <c:pt idx="247">
                  <c:v>17</c:v>
                </c:pt>
                <c:pt idx="248">
                  <c:v>17</c:v>
                </c:pt>
                <c:pt idx="249">
                  <c:v>17</c:v>
                </c:pt>
                <c:pt idx="250">
                  <c:v>17</c:v>
                </c:pt>
                <c:pt idx="251">
                  <c:v>17</c:v>
                </c:pt>
                <c:pt idx="252">
                  <c:v>17</c:v>
                </c:pt>
                <c:pt idx="253">
                  <c:v>17</c:v>
                </c:pt>
                <c:pt idx="254">
                  <c:v>17</c:v>
                </c:pt>
                <c:pt idx="255">
                  <c:v>17</c:v>
                </c:pt>
                <c:pt idx="256">
                  <c:v>17</c:v>
                </c:pt>
                <c:pt idx="257">
                  <c:v>18</c:v>
                </c:pt>
                <c:pt idx="258">
                  <c:v>18</c:v>
                </c:pt>
                <c:pt idx="259">
                  <c:v>18</c:v>
                </c:pt>
                <c:pt idx="260">
                  <c:v>18</c:v>
                </c:pt>
                <c:pt idx="261">
                  <c:v>18</c:v>
                </c:pt>
                <c:pt idx="262">
                  <c:v>18</c:v>
                </c:pt>
                <c:pt idx="263">
                  <c:v>18</c:v>
                </c:pt>
                <c:pt idx="264">
                  <c:v>19</c:v>
                </c:pt>
                <c:pt idx="265">
                  <c:v>19</c:v>
                </c:pt>
                <c:pt idx="266">
                  <c:v>19</c:v>
                </c:pt>
                <c:pt idx="267">
                  <c:v>19</c:v>
                </c:pt>
                <c:pt idx="268">
                  <c:v>19</c:v>
                </c:pt>
                <c:pt idx="269">
                  <c:v>19</c:v>
                </c:pt>
                <c:pt idx="270">
                  <c:v>19</c:v>
                </c:pt>
                <c:pt idx="271">
                  <c:v>19</c:v>
                </c:pt>
                <c:pt idx="272">
                  <c:v>19</c:v>
                </c:pt>
                <c:pt idx="273">
                  <c:v>19</c:v>
                </c:pt>
                <c:pt idx="274">
                  <c:v>19</c:v>
                </c:pt>
                <c:pt idx="275">
                  <c:v>19</c:v>
                </c:pt>
                <c:pt idx="276">
                  <c:v>19</c:v>
                </c:pt>
                <c:pt idx="277">
                  <c:v>19</c:v>
                </c:pt>
                <c:pt idx="278">
                  <c:v>19</c:v>
                </c:pt>
                <c:pt idx="279">
                  <c:v>19</c:v>
                </c:pt>
                <c:pt idx="280">
                  <c:v>19</c:v>
                </c:pt>
                <c:pt idx="281">
                  <c:v>19</c:v>
                </c:pt>
                <c:pt idx="282">
                  <c:v>19</c:v>
                </c:pt>
                <c:pt idx="283">
                  <c:v>19</c:v>
                </c:pt>
                <c:pt idx="284">
                  <c:v>19</c:v>
                </c:pt>
                <c:pt idx="285">
                  <c:v>19</c:v>
                </c:pt>
                <c:pt idx="286">
                  <c:v>19</c:v>
                </c:pt>
                <c:pt idx="287">
                  <c:v>19</c:v>
                </c:pt>
                <c:pt idx="288">
                  <c:v>19</c:v>
                </c:pt>
                <c:pt idx="289">
                  <c:v>19</c:v>
                </c:pt>
                <c:pt idx="290">
                  <c:v>19</c:v>
                </c:pt>
                <c:pt idx="291">
                  <c:v>19</c:v>
                </c:pt>
                <c:pt idx="292">
                  <c:v>19</c:v>
                </c:pt>
                <c:pt idx="293">
                  <c:v>19</c:v>
                </c:pt>
                <c:pt idx="294">
                  <c:v>19</c:v>
                </c:pt>
                <c:pt idx="295">
                  <c:v>19</c:v>
                </c:pt>
                <c:pt idx="296">
                  <c:v>19</c:v>
                </c:pt>
                <c:pt idx="297">
                  <c:v>19</c:v>
                </c:pt>
                <c:pt idx="298">
                  <c:v>19</c:v>
                </c:pt>
                <c:pt idx="299">
                  <c:v>19</c:v>
                </c:pt>
                <c:pt idx="300">
                  <c:v>19</c:v>
                </c:pt>
                <c:pt idx="301">
                  <c:v>19</c:v>
                </c:pt>
                <c:pt idx="302">
                  <c:v>19</c:v>
                </c:pt>
                <c:pt idx="303">
                  <c:v>19</c:v>
                </c:pt>
                <c:pt idx="304">
                  <c:v>19</c:v>
                </c:pt>
                <c:pt idx="305">
                  <c:v>19</c:v>
                </c:pt>
                <c:pt idx="306">
                  <c:v>19</c:v>
                </c:pt>
                <c:pt idx="307">
                  <c:v>19</c:v>
                </c:pt>
                <c:pt idx="308">
                  <c:v>19</c:v>
                </c:pt>
                <c:pt idx="309">
                  <c:v>19</c:v>
                </c:pt>
                <c:pt idx="310">
                  <c:v>19</c:v>
                </c:pt>
                <c:pt idx="311">
                  <c:v>19</c:v>
                </c:pt>
                <c:pt idx="312">
                  <c:v>19</c:v>
                </c:pt>
                <c:pt idx="313">
                  <c:v>19</c:v>
                </c:pt>
                <c:pt idx="314">
                  <c:v>19</c:v>
                </c:pt>
                <c:pt idx="315">
                  <c:v>19</c:v>
                </c:pt>
                <c:pt idx="316">
                  <c:v>19</c:v>
                </c:pt>
                <c:pt idx="317">
                  <c:v>19</c:v>
                </c:pt>
                <c:pt idx="318">
                  <c:v>19</c:v>
                </c:pt>
                <c:pt idx="319">
                  <c:v>19</c:v>
                </c:pt>
                <c:pt idx="320">
                  <c:v>19</c:v>
                </c:pt>
                <c:pt idx="321">
                  <c:v>19</c:v>
                </c:pt>
                <c:pt idx="322">
                  <c:v>19</c:v>
                </c:pt>
                <c:pt idx="323">
                  <c:v>19</c:v>
                </c:pt>
                <c:pt idx="324">
                  <c:v>19</c:v>
                </c:pt>
                <c:pt idx="325">
                  <c:v>19</c:v>
                </c:pt>
                <c:pt idx="326">
                  <c:v>19</c:v>
                </c:pt>
                <c:pt idx="327">
                  <c:v>19</c:v>
                </c:pt>
                <c:pt idx="328">
                  <c:v>19</c:v>
                </c:pt>
                <c:pt idx="329">
                  <c:v>19</c:v>
                </c:pt>
                <c:pt idx="330">
                  <c:v>19</c:v>
                </c:pt>
                <c:pt idx="331">
                  <c:v>19</c:v>
                </c:pt>
                <c:pt idx="332">
                  <c:v>19</c:v>
                </c:pt>
                <c:pt idx="333">
                  <c:v>19</c:v>
                </c:pt>
                <c:pt idx="334">
                  <c:v>19</c:v>
                </c:pt>
                <c:pt idx="335">
                  <c:v>19</c:v>
                </c:pt>
                <c:pt idx="336">
                  <c:v>19</c:v>
                </c:pt>
                <c:pt idx="337">
                  <c:v>19</c:v>
                </c:pt>
                <c:pt idx="338">
                  <c:v>19</c:v>
                </c:pt>
                <c:pt idx="339">
                  <c:v>19</c:v>
                </c:pt>
                <c:pt idx="340">
                  <c:v>19</c:v>
                </c:pt>
                <c:pt idx="341">
                  <c:v>19</c:v>
                </c:pt>
                <c:pt idx="342">
                  <c:v>19</c:v>
                </c:pt>
                <c:pt idx="343">
                  <c:v>19</c:v>
                </c:pt>
                <c:pt idx="344">
                  <c:v>19</c:v>
                </c:pt>
                <c:pt idx="345">
                  <c:v>19</c:v>
                </c:pt>
                <c:pt idx="346">
                  <c:v>19</c:v>
                </c:pt>
                <c:pt idx="347">
                  <c:v>19</c:v>
                </c:pt>
                <c:pt idx="348">
                  <c:v>19</c:v>
                </c:pt>
                <c:pt idx="349">
                  <c:v>19</c:v>
                </c:pt>
                <c:pt idx="350">
                  <c:v>19</c:v>
                </c:pt>
                <c:pt idx="351">
                  <c:v>19</c:v>
                </c:pt>
                <c:pt idx="352">
                  <c:v>19</c:v>
                </c:pt>
                <c:pt idx="353">
                  <c:v>19</c:v>
                </c:pt>
                <c:pt idx="354">
                  <c:v>19</c:v>
                </c:pt>
                <c:pt idx="355">
                  <c:v>19</c:v>
                </c:pt>
                <c:pt idx="356">
                  <c:v>19</c:v>
                </c:pt>
                <c:pt idx="357">
                  <c:v>19</c:v>
                </c:pt>
                <c:pt idx="358">
                  <c:v>19</c:v>
                </c:pt>
                <c:pt idx="359">
                  <c:v>19</c:v>
                </c:pt>
                <c:pt idx="360">
                  <c:v>19</c:v>
                </c:pt>
                <c:pt idx="361">
                  <c:v>19</c:v>
                </c:pt>
                <c:pt idx="362">
                  <c:v>19</c:v>
                </c:pt>
                <c:pt idx="363">
                  <c:v>19</c:v>
                </c:pt>
                <c:pt idx="364">
                  <c:v>19</c:v>
                </c:pt>
                <c:pt idx="365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D3BE-9041-9B32-DA116BC247BB}"/>
            </c:ext>
          </c:extLst>
        </c:ser>
        <c:ser>
          <c:idx val="28"/>
          <c:order val="28"/>
          <c:tx>
            <c:strRef>
              <c:f>List1!$AF$4</c:f>
              <c:strCache>
                <c:ptCount val="1"/>
                <c:pt idx="0">
                  <c:v>2026</c:v>
                </c:pt>
              </c:strCache>
            </c:strRef>
          </c:tx>
          <c:spPr>
            <a:ln w="28800">
              <a:solidFill>
                <a:srgbClr val="579D1C">
                  <a:alpha val="5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List1!$A$5:$A$370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List1!$AF$5:$AF$370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2</c:v>
                </c:pt>
                <c:pt idx="126">
                  <c:v>3</c:v>
                </c:pt>
                <c:pt idx="127">
                  <c:v>3</c:v>
                </c:pt>
                <c:pt idx="128">
                  <c:v>3</c:v>
                </c:pt>
                <c:pt idx="129">
                  <c:v>3</c:v>
                </c:pt>
                <c:pt idx="130">
                  <c:v>3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5</c:v>
                </c:pt>
                <c:pt idx="152">
                  <c:v>5</c:v>
                </c:pt>
                <c:pt idx="153">
                  <c:v>5</c:v>
                </c:pt>
                <c:pt idx="154">
                  <c:v>5</c:v>
                </c:pt>
                <c:pt idx="155">
                  <c:v>6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8</c:v>
                </c:pt>
                <c:pt idx="163">
                  <c:v>8</c:v>
                </c:pt>
                <c:pt idx="164">
                  <c:v>8</c:v>
                </c:pt>
                <c:pt idx="165">
                  <c:v>8</c:v>
                </c:pt>
                <c:pt idx="166">
                  <c:v>8</c:v>
                </c:pt>
                <c:pt idx="167">
                  <c:v>8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9</c:v>
                </c:pt>
                <c:pt idx="173">
                  <c:v>9</c:v>
                </c:pt>
                <c:pt idx="174">
                  <c:v>9</c:v>
                </c:pt>
                <c:pt idx="175">
                  <c:v>9</c:v>
                </c:pt>
                <c:pt idx="176">
                  <c:v>9</c:v>
                </c:pt>
                <c:pt idx="177">
                  <c:v>9</c:v>
                </c:pt>
                <c:pt idx="178">
                  <c:v>9</c:v>
                </c:pt>
                <c:pt idx="179">
                  <c:v>10</c:v>
                </c:pt>
                <c:pt idx="180">
                  <c:v>11</c:v>
                </c:pt>
                <c:pt idx="181">
                  <c:v>11</c:v>
                </c:pt>
                <c:pt idx="182">
                  <c:v>12</c:v>
                </c:pt>
                <c:pt idx="183">
                  <c:v>12</c:v>
                </c:pt>
                <c:pt idx="184">
                  <c:v>12</c:v>
                </c:pt>
                <c:pt idx="185">
                  <c:v>12</c:v>
                </c:pt>
                <c:pt idx="186">
                  <c:v>12</c:v>
                </c:pt>
                <c:pt idx="187">
                  <c:v>12</c:v>
                </c:pt>
                <c:pt idx="188">
                  <c:v>12</c:v>
                </c:pt>
                <c:pt idx="189">
                  <c:v>12</c:v>
                </c:pt>
                <c:pt idx="190">
                  <c:v>12</c:v>
                </c:pt>
                <c:pt idx="191">
                  <c:v>12</c:v>
                </c:pt>
                <c:pt idx="192">
                  <c:v>12</c:v>
                </c:pt>
                <c:pt idx="193">
                  <c:v>12</c:v>
                </c:pt>
                <c:pt idx="194">
                  <c:v>12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14</c:v>
                </c:pt>
                <c:pt idx="213">
                  <c:v>14</c:v>
                </c:pt>
                <c:pt idx="214">
                  <c:v>14</c:v>
                </c:pt>
                <c:pt idx="215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D3BE-9041-9B32-DA116BC24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704207"/>
        <c:axId val="51740202"/>
      </c:lineChart>
      <c:catAx>
        <c:axId val="2570420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DejaVu Sans"/>
              </a:defRPr>
            </a:pPr>
            <a:endParaRPr lang="cs-CZ"/>
          </a:p>
        </c:txPr>
        <c:crossAx val="51740202"/>
        <c:crosses val="autoZero"/>
        <c:auto val="1"/>
        <c:lblAlgn val="ctr"/>
        <c:lblOffset val="100"/>
        <c:noMultiLvlLbl val="0"/>
      </c:catAx>
      <c:valAx>
        <c:axId val="51740202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DejaVu Sans"/>
              </a:defRPr>
            </a:pPr>
            <a:endParaRPr lang="cs-CZ"/>
          </a:p>
        </c:txPr>
        <c:crossAx val="25704207"/>
        <c:crossesAt val="1"/>
        <c:crossBetween val="between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List1!$BI$9</c:f>
              <c:strCache>
                <c:ptCount val="1"/>
                <c:pt idx="0">
                  <c:v>MCS</c:v>
                </c:pt>
              </c:strCache>
            </c:strRef>
          </c:tx>
          <c:spPr>
            <a:ln w="28800">
              <a:solidFill>
                <a:srgbClr val="FF0000"/>
              </a:solidFill>
              <a:round/>
            </a:ln>
          </c:spPr>
          <c:marker>
            <c:symbol val="square"/>
            <c:size val="8"/>
            <c:spPr>
              <a:solidFill>
                <a:srgbClr val="FF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List1!$BH$10:$BH$37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List1!$BI$10:$BI$37</c:f>
              <c:numCache>
                <c:formatCode>General</c:formatCode>
                <c:ptCount val="28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  <c:pt idx="12">
                  <c:v>4</c:v>
                </c:pt>
                <c:pt idx="13">
                  <c:v>2</c:v>
                </c:pt>
                <c:pt idx="14">
                  <c:v>1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2</c:v>
                </c:pt>
                <c:pt idx="20">
                  <c:v>1</c:v>
                </c:pt>
                <c:pt idx="21">
                  <c:v>0</c:v>
                </c:pt>
                <c:pt idx="22">
                  <c:v>2</c:v>
                </c:pt>
                <c:pt idx="23">
                  <c:v>2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59-3E47-BD0F-262B4E8C82A6}"/>
            </c:ext>
          </c:extLst>
        </c:ser>
        <c:ser>
          <c:idx val="1"/>
          <c:order val="1"/>
          <c:tx>
            <c:strRef>
              <c:f>List1!$BJ$9</c:f>
              <c:strCache>
                <c:ptCount val="1"/>
                <c:pt idx="0">
                  <c:v>STR TS or SC</c:v>
                </c:pt>
              </c:strCache>
            </c:strRef>
          </c:tx>
          <c:spPr>
            <a:ln w="28800">
              <a:solidFill>
                <a:srgbClr val="FF8000"/>
              </a:solidFill>
              <a:round/>
            </a:ln>
          </c:spPr>
          <c:marker>
            <c:symbol val="diamond"/>
            <c:size val="8"/>
            <c:spPr>
              <a:solidFill>
                <a:srgbClr val="FF8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List1!$BH$10:$BH$37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List1!$BJ$10:$BJ$37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5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0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2</c:v>
                </c:pt>
                <c:pt idx="17">
                  <c:v>1</c:v>
                </c:pt>
                <c:pt idx="18">
                  <c:v>4</c:v>
                </c:pt>
                <c:pt idx="19">
                  <c:v>3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2</c:v>
                </c:pt>
                <c:pt idx="24">
                  <c:v>2</c:v>
                </c:pt>
                <c:pt idx="25">
                  <c:v>9</c:v>
                </c:pt>
                <c:pt idx="26">
                  <c:v>3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59-3E47-BD0F-262B4E8C82A6}"/>
            </c:ext>
          </c:extLst>
        </c:ser>
        <c:ser>
          <c:idx val="2"/>
          <c:order val="2"/>
          <c:tx>
            <c:strRef>
              <c:f>List1!$BK$9</c:f>
              <c:strCache>
                <c:ptCount val="1"/>
                <c:pt idx="0">
                  <c:v>WF induced</c:v>
                </c:pt>
              </c:strCache>
            </c:strRef>
          </c:tx>
          <c:spPr>
            <a:ln w="28800">
              <a:solidFill>
                <a:srgbClr val="2A6099"/>
              </a:solidFill>
              <a:round/>
            </a:ln>
          </c:spPr>
          <c:marker>
            <c:symbol val="triangle"/>
            <c:size val="8"/>
            <c:spPr>
              <a:solidFill>
                <a:srgbClr val="2A6099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List1!$BH$10:$BH$37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List1!$BK$10:$BK$37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3</c:v>
                </c:pt>
                <c:pt idx="22">
                  <c:v>2</c:v>
                </c:pt>
                <c:pt idx="23">
                  <c:v>4</c:v>
                </c:pt>
                <c:pt idx="24">
                  <c:v>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59-3E47-BD0F-262B4E8C82A6}"/>
            </c:ext>
          </c:extLst>
        </c:ser>
        <c:ser>
          <c:idx val="3"/>
          <c:order val="3"/>
          <c:tx>
            <c:strRef>
              <c:f>List1!$BL$9</c:f>
              <c:strCache>
                <c:ptCount val="1"/>
                <c:pt idx="0">
                  <c:v>Far storms</c:v>
                </c:pt>
              </c:strCache>
            </c:strRef>
          </c:tx>
          <c:spPr>
            <a:ln w="28800">
              <a:solidFill>
                <a:srgbClr val="FFD428"/>
              </a:solidFill>
              <a:round/>
            </a:ln>
          </c:spPr>
          <c:marker>
            <c:symbol val="triangle"/>
            <c:size val="8"/>
            <c:spPr>
              <a:solidFill>
                <a:srgbClr val="FFD428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List1!$BH$10:$BH$37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List1!$BL$10:$BL$37</c:f>
              <c:numCache>
                <c:formatCode>General</c:formatCode>
                <c:ptCount val="28"/>
                <c:pt idx="0">
                  <c:v>9</c:v>
                </c:pt>
                <c:pt idx="1">
                  <c:v>15</c:v>
                </c:pt>
                <c:pt idx="2">
                  <c:v>8</c:v>
                </c:pt>
                <c:pt idx="3">
                  <c:v>9</c:v>
                </c:pt>
                <c:pt idx="4">
                  <c:v>11</c:v>
                </c:pt>
                <c:pt idx="5">
                  <c:v>15</c:v>
                </c:pt>
                <c:pt idx="6">
                  <c:v>8</c:v>
                </c:pt>
                <c:pt idx="7">
                  <c:v>9</c:v>
                </c:pt>
                <c:pt idx="8">
                  <c:v>12</c:v>
                </c:pt>
                <c:pt idx="9">
                  <c:v>8</c:v>
                </c:pt>
                <c:pt idx="10">
                  <c:v>11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11</c:v>
                </c:pt>
                <c:pt idx="16">
                  <c:v>9</c:v>
                </c:pt>
                <c:pt idx="17">
                  <c:v>14</c:v>
                </c:pt>
                <c:pt idx="18">
                  <c:v>11</c:v>
                </c:pt>
                <c:pt idx="19">
                  <c:v>12</c:v>
                </c:pt>
                <c:pt idx="20">
                  <c:v>10</c:v>
                </c:pt>
                <c:pt idx="21">
                  <c:v>10</c:v>
                </c:pt>
                <c:pt idx="22">
                  <c:v>9</c:v>
                </c:pt>
                <c:pt idx="23">
                  <c:v>10</c:v>
                </c:pt>
                <c:pt idx="24">
                  <c:v>13</c:v>
                </c:pt>
                <c:pt idx="25">
                  <c:v>11</c:v>
                </c:pt>
                <c:pt idx="26">
                  <c:v>7</c:v>
                </c:pt>
                <c:pt idx="27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59-3E47-BD0F-262B4E8C8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955869"/>
        <c:axId val="51497378"/>
      </c:lineChart>
      <c:catAx>
        <c:axId val="895586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51497378"/>
        <c:crosses val="autoZero"/>
        <c:auto val="1"/>
        <c:lblAlgn val="ctr"/>
        <c:lblOffset val="100"/>
        <c:noMultiLvlLbl val="0"/>
      </c:catAx>
      <c:valAx>
        <c:axId val="5149737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895586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List1!$BZ$9</c:f>
              <c:strCache>
                <c:ptCount val="1"/>
                <c:pt idx="0">
                  <c:v>Poměr Total X Direct: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cs-CZ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List1!$CB$10:$CB$37</c:f>
              <c:numCache>
                <c:formatCode>General</c:formatCode>
                <c:ptCount val="28"/>
                <c:pt idx="0">
                  <c:v>1999</c:v>
                </c:pt>
                <c:pt idx="1">
                  <c:v>2000</c:v>
                </c:pt>
                <c:pt idx="2">
                  <c:v>2001</c:v>
                </c:pt>
                <c:pt idx="3">
                  <c:v>2002</c:v>
                </c:pt>
                <c:pt idx="4">
                  <c:v>2003</c:v>
                </c:pt>
                <c:pt idx="5">
                  <c:v>2004</c:v>
                </c:pt>
                <c:pt idx="6">
                  <c:v>2005</c:v>
                </c:pt>
                <c:pt idx="7">
                  <c:v>2006</c:v>
                </c:pt>
                <c:pt idx="8">
                  <c:v>2007</c:v>
                </c:pt>
                <c:pt idx="9">
                  <c:v>2008</c:v>
                </c:pt>
                <c:pt idx="10">
                  <c:v>2009</c:v>
                </c:pt>
                <c:pt idx="11">
                  <c:v>2010</c:v>
                </c:pt>
                <c:pt idx="12">
                  <c:v>2011</c:v>
                </c:pt>
                <c:pt idx="13">
                  <c:v>2012</c:v>
                </c:pt>
                <c:pt idx="14">
                  <c:v>2013</c:v>
                </c:pt>
                <c:pt idx="15">
                  <c:v>2014</c:v>
                </c:pt>
                <c:pt idx="16">
                  <c:v>2015</c:v>
                </c:pt>
                <c:pt idx="17">
                  <c:v>2016</c:v>
                </c:pt>
                <c:pt idx="18">
                  <c:v>2017</c:v>
                </c:pt>
                <c:pt idx="19">
                  <c:v>2018</c:v>
                </c:pt>
                <c:pt idx="20">
                  <c:v>2019</c:v>
                </c:pt>
                <c:pt idx="21">
                  <c:v>2020</c:v>
                </c:pt>
                <c:pt idx="22">
                  <c:v>2021</c:v>
                </c:pt>
                <c:pt idx="23">
                  <c:v>2022</c:v>
                </c:pt>
                <c:pt idx="24">
                  <c:v>2023</c:v>
                </c:pt>
                <c:pt idx="25">
                  <c:v>2024</c:v>
                </c:pt>
                <c:pt idx="26">
                  <c:v>2025</c:v>
                </c:pt>
                <c:pt idx="27">
                  <c:v>2026</c:v>
                </c:pt>
              </c:numCache>
            </c:numRef>
          </c:cat>
          <c:val>
            <c:numRef>
              <c:f>List1!$CD$10:$CD$37</c:f>
              <c:numCache>
                <c:formatCode>0.00</c:formatCode>
                <c:ptCount val="28"/>
                <c:pt idx="0">
                  <c:v>1.8181818181818181</c:v>
                </c:pt>
                <c:pt idx="1">
                  <c:v>2.1538461538461537</c:v>
                </c:pt>
                <c:pt idx="2">
                  <c:v>1.5714285714285714</c:v>
                </c:pt>
                <c:pt idx="3">
                  <c:v>1.4285714285714286</c:v>
                </c:pt>
                <c:pt idx="4">
                  <c:v>1.5789473684210527</c:v>
                </c:pt>
                <c:pt idx="5">
                  <c:v>1.7894736842105263</c:v>
                </c:pt>
                <c:pt idx="6">
                  <c:v>1.4</c:v>
                </c:pt>
                <c:pt idx="7">
                  <c:v>1.4090909090909092</c:v>
                </c:pt>
                <c:pt idx="8">
                  <c:v>1.5714285714285714</c:v>
                </c:pt>
                <c:pt idx="9">
                  <c:v>1.4444444444444444</c:v>
                </c:pt>
                <c:pt idx="10">
                  <c:v>1.6111111111111112</c:v>
                </c:pt>
                <c:pt idx="11">
                  <c:v>1.6666666666666667</c:v>
                </c:pt>
                <c:pt idx="12">
                  <c:v>1.3333333333333333</c:v>
                </c:pt>
                <c:pt idx="13">
                  <c:v>1.32</c:v>
                </c:pt>
                <c:pt idx="14">
                  <c:v>1.6666666666666667</c:v>
                </c:pt>
                <c:pt idx="15">
                  <c:v>1.3793103448275863</c:v>
                </c:pt>
                <c:pt idx="16">
                  <c:v>1.4736842105263157</c:v>
                </c:pt>
                <c:pt idx="17">
                  <c:v>1.736842105263158</c:v>
                </c:pt>
                <c:pt idx="18">
                  <c:v>1.5</c:v>
                </c:pt>
                <c:pt idx="19">
                  <c:v>1.7058823529411764</c:v>
                </c:pt>
                <c:pt idx="20">
                  <c:v>1.6666666666666667</c:v>
                </c:pt>
                <c:pt idx="21">
                  <c:v>1.8333333333333333</c:v>
                </c:pt>
                <c:pt idx="22">
                  <c:v>1.4736842105263157</c:v>
                </c:pt>
                <c:pt idx="23">
                  <c:v>1.625</c:v>
                </c:pt>
                <c:pt idx="24">
                  <c:v>1.8125</c:v>
                </c:pt>
                <c:pt idx="25">
                  <c:v>1.5789473684210527</c:v>
                </c:pt>
                <c:pt idx="26">
                  <c:v>1.5833333333333333</c:v>
                </c:pt>
                <c:pt idx="27">
                  <c:v>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1C-2042-BE13-1E30E52C1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3342283"/>
        <c:axId val="74609308"/>
      </c:lineChart>
      <c:catAx>
        <c:axId val="9334228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74609308"/>
        <c:crosses val="autoZero"/>
        <c:auto val="1"/>
        <c:lblAlgn val="ctr"/>
        <c:lblOffset val="100"/>
        <c:noMultiLvlLbl val="0"/>
      </c:catAx>
      <c:valAx>
        <c:axId val="7460930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  <a:endParaRPr lang="cs-CZ"/>
          </a:p>
        </c:txPr>
        <c:crossAx val="9334228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5.1258547220295297E-2"/>
          <c:y val="3.4887932075168097E-2"/>
          <c:w val="0.85566346249132896"/>
          <c:h val="0.86604160798358198"/>
        </c:manualLayout>
      </c:layout>
      <c:lineChart>
        <c:grouping val="standard"/>
        <c:varyColors val="0"/>
        <c:ser>
          <c:idx val="0"/>
          <c:order val="0"/>
          <c:tx>
            <c:strRef>
              <c:f>List1!$B$375</c:f>
              <c:strCache>
                <c:ptCount val="1"/>
                <c:pt idx="0">
                  <c:v>average</c:v>
                </c:pt>
              </c:strCache>
            </c:strRef>
          </c:tx>
          <c:spPr>
            <a:ln w="3600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cs-CZ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360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List1!$A$376:$A$741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List1!$B$376:$B$741</c:f>
              <c:numCache>
                <c:formatCode>0.0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3.7037037037037035E-2</c:v>
                </c:pt>
                <c:pt idx="3">
                  <c:v>3.7037037037037035E-2</c:v>
                </c:pt>
                <c:pt idx="4">
                  <c:v>3.7037037037037035E-2</c:v>
                </c:pt>
                <c:pt idx="5">
                  <c:v>3.7037037037037035E-2</c:v>
                </c:pt>
                <c:pt idx="6">
                  <c:v>3.7037037037037035E-2</c:v>
                </c:pt>
                <c:pt idx="7">
                  <c:v>3.7037037037037035E-2</c:v>
                </c:pt>
                <c:pt idx="8">
                  <c:v>3.7037037037037035E-2</c:v>
                </c:pt>
                <c:pt idx="9">
                  <c:v>3.7037037037037035E-2</c:v>
                </c:pt>
                <c:pt idx="10">
                  <c:v>3.7037037037037035E-2</c:v>
                </c:pt>
                <c:pt idx="11">
                  <c:v>7.407407407407407E-2</c:v>
                </c:pt>
                <c:pt idx="12">
                  <c:v>7.407407407407407E-2</c:v>
                </c:pt>
                <c:pt idx="13">
                  <c:v>7.407407407407407E-2</c:v>
                </c:pt>
                <c:pt idx="14">
                  <c:v>7.407407407407407E-2</c:v>
                </c:pt>
                <c:pt idx="15">
                  <c:v>7.407407407407407E-2</c:v>
                </c:pt>
                <c:pt idx="16">
                  <c:v>7.407407407407407E-2</c:v>
                </c:pt>
                <c:pt idx="17">
                  <c:v>0.1111111111111111</c:v>
                </c:pt>
                <c:pt idx="18">
                  <c:v>0.1111111111111111</c:v>
                </c:pt>
                <c:pt idx="19">
                  <c:v>0.1111111111111111</c:v>
                </c:pt>
                <c:pt idx="20">
                  <c:v>0.1111111111111111</c:v>
                </c:pt>
                <c:pt idx="21">
                  <c:v>0.1111111111111111</c:v>
                </c:pt>
                <c:pt idx="22">
                  <c:v>0.1111111111111111</c:v>
                </c:pt>
                <c:pt idx="23">
                  <c:v>0.1111111111111111</c:v>
                </c:pt>
                <c:pt idx="24">
                  <c:v>0.1111111111111111</c:v>
                </c:pt>
                <c:pt idx="25">
                  <c:v>0.1111111111111111</c:v>
                </c:pt>
                <c:pt idx="26">
                  <c:v>0.1111111111111111</c:v>
                </c:pt>
                <c:pt idx="27">
                  <c:v>0.1111111111111111</c:v>
                </c:pt>
                <c:pt idx="28">
                  <c:v>0.1111111111111111</c:v>
                </c:pt>
                <c:pt idx="29">
                  <c:v>0.1111111111111111</c:v>
                </c:pt>
                <c:pt idx="30">
                  <c:v>0.1111111111111111</c:v>
                </c:pt>
                <c:pt idx="31">
                  <c:v>0.1111111111111111</c:v>
                </c:pt>
                <c:pt idx="32">
                  <c:v>0.1111111111111111</c:v>
                </c:pt>
                <c:pt idx="33">
                  <c:v>0.1111111111111111</c:v>
                </c:pt>
                <c:pt idx="34">
                  <c:v>0.1111111111111111</c:v>
                </c:pt>
                <c:pt idx="35">
                  <c:v>0.1111111111111111</c:v>
                </c:pt>
                <c:pt idx="36">
                  <c:v>0.1111111111111111</c:v>
                </c:pt>
                <c:pt idx="37">
                  <c:v>0.1111111111111111</c:v>
                </c:pt>
                <c:pt idx="38">
                  <c:v>0.1111111111111111</c:v>
                </c:pt>
                <c:pt idx="39">
                  <c:v>0.1111111111111111</c:v>
                </c:pt>
                <c:pt idx="40">
                  <c:v>0.1111111111111111</c:v>
                </c:pt>
                <c:pt idx="41">
                  <c:v>0.1111111111111111</c:v>
                </c:pt>
                <c:pt idx="42">
                  <c:v>0.1111111111111111</c:v>
                </c:pt>
                <c:pt idx="43">
                  <c:v>0.1111111111111111</c:v>
                </c:pt>
                <c:pt idx="44">
                  <c:v>0.1111111111111111</c:v>
                </c:pt>
                <c:pt idx="45">
                  <c:v>0.1111111111111111</c:v>
                </c:pt>
                <c:pt idx="46">
                  <c:v>0.1111111111111111</c:v>
                </c:pt>
                <c:pt idx="47">
                  <c:v>0.1111111111111111</c:v>
                </c:pt>
                <c:pt idx="48">
                  <c:v>0.1111111111111111</c:v>
                </c:pt>
                <c:pt idx="49">
                  <c:v>0.1111111111111111</c:v>
                </c:pt>
                <c:pt idx="50">
                  <c:v>0.1111111111111111</c:v>
                </c:pt>
                <c:pt idx="51">
                  <c:v>0.1111111111111111</c:v>
                </c:pt>
                <c:pt idx="52">
                  <c:v>0.1111111111111111</c:v>
                </c:pt>
                <c:pt idx="53">
                  <c:v>0.14814814814814814</c:v>
                </c:pt>
                <c:pt idx="54">
                  <c:v>0.14814814814814814</c:v>
                </c:pt>
                <c:pt idx="55">
                  <c:v>0.14814814814814814</c:v>
                </c:pt>
                <c:pt idx="56">
                  <c:v>0.14814814814814814</c:v>
                </c:pt>
                <c:pt idx="57">
                  <c:v>0.14814814814814814</c:v>
                </c:pt>
                <c:pt idx="58">
                  <c:v>0.18518518518518517</c:v>
                </c:pt>
                <c:pt idx="59">
                  <c:v>0.18518518518518517</c:v>
                </c:pt>
                <c:pt idx="60">
                  <c:v>0.22222222222222221</c:v>
                </c:pt>
                <c:pt idx="61">
                  <c:v>0.22222222222222221</c:v>
                </c:pt>
                <c:pt idx="62">
                  <c:v>0.22222222222222221</c:v>
                </c:pt>
                <c:pt idx="63">
                  <c:v>0.22222222222222221</c:v>
                </c:pt>
                <c:pt idx="64">
                  <c:v>0.22222222222222221</c:v>
                </c:pt>
                <c:pt idx="65">
                  <c:v>0.22222222222222221</c:v>
                </c:pt>
                <c:pt idx="66">
                  <c:v>0.22222222222222221</c:v>
                </c:pt>
                <c:pt idx="67">
                  <c:v>0.22222222222222221</c:v>
                </c:pt>
                <c:pt idx="68">
                  <c:v>0.22222222222222221</c:v>
                </c:pt>
                <c:pt idx="69">
                  <c:v>0.25925925925925924</c:v>
                </c:pt>
                <c:pt idx="70">
                  <c:v>0.25925925925925924</c:v>
                </c:pt>
                <c:pt idx="71">
                  <c:v>0.25925925925925924</c:v>
                </c:pt>
                <c:pt idx="72">
                  <c:v>0.25925925925925924</c:v>
                </c:pt>
                <c:pt idx="73">
                  <c:v>0.25925925925925924</c:v>
                </c:pt>
                <c:pt idx="74">
                  <c:v>0.25925925925925924</c:v>
                </c:pt>
                <c:pt idx="75">
                  <c:v>0.25925925925925924</c:v>
                </c:pt>
                <c:pt idx="76">
                  <c:v>0.25925925925925924</c:v>
                </c:pt>
                <c:pt idx="77">
                  <c:v>0.25925925925925924</c:v>
                </c:pt>
                <c:pt idx="78">
                  <c:v>0.25925925925925924</c:v>
                </c:pt>
                <c:pt idx="79">
                  <c:v>0.25925925925925924</c:v>
                </c:pt>
                <c:pt idx="80">
                  <c:v>0.25925925925925924</c:v>
                </c:pt>
                <c:pt idx="81">
                  <c:v>0.25925925925925924</c:v>
                </c:pt>
                <c:pt idx="82">
                  <c:v>0.29629629629629628</c:v>
                </c:pt>
                <c:pt idx="83">
                  <c:v>0.29629629629629628</c:v>
                </c:pt>
                <c:pt idx="84">
                  <c:v>0.29629629629629628</c:v>
                </c:pt>
                <c:pt idx="85">
                  <c:v>0.33333333333333331</c:v>
                </c:pt>
                <c:pt idx="86">
                  <c:v>0.33333333333333331</c:v>
                </c:pt>
                <c:pt idx="87">
                  <c:v>0.33333333333333331</c:v>
                </c:pt>
                <c:pt idx="88">
                  <c:v>0.33333333333333331</c:v>
                </c:pt>
                <c:pt idx="89">
                  <c:v>0.33333333333333331</c:v>
                </c:pt>
                <c:pt idx="90">
                  <c:v>0.37037037037037035</c:v>
                </c:pt>
                <c:pt idx="91">
                  <c:v>0.37037037037037035</c:v>
                </c:pt>
                <c:pt idx="92">
                  <c:v>0.37037037037037035</c:v>
                </c:pt>
                <c:pt idx="93">
                  <c:v>0.40740740740740738</c:v>
                </c:pt>
                <c:pt idx="94">
                  <c:v>0.44444444444444442</c:v>
                </c:pt>
                <c:pt idx="95">
                  <c:v>0.48148148148148145</c:v>
                </c:pt>
                <c:pt idx="96">
                  <c:v>0.48148148148148145</c:v>
                </c:pt>
                <c:pt idx="97">
                  <c:v>0.48148148148148145</c:v>
                </c:pt>
                <c:pt idx="98">
                  <c:v>0.48148148148148145</c:v>
                </c:pt>
                <c:pt idx="99">
                  <c:v>0.48148148148148145</c:v>
                </c:pt>
                <c:pt idx="100">
                  <c:v>0.48148148148148145</c:v>
                </c:pt>
                <c:pt idx="101">
                  <c:v>0.51851851851851849</c:v>
                </c:pt>
                <c:pt idx="102">
                  <c:v>0.51851851851851849</c:v>
                </c:pt>
                <c:pt idx="103">
                  <c:v>0.51851851851851849</c:v>
                </c:pt>
                <c:pt idx="104">
                  <c:v>0.55555555555555558</c:v>
                </c:pt>
                <c:pt idx="105">
                  <c:v>0.55555555555555558</c:v>
                </c:pt>
                <c:pt idx="106">
                  <c:v>0.55555555555555558</c:v>
                </c:pt>
                <c:pt idx="107">
                  <c:v>0.55555555555555558</c:v>
                </c:pt>
                <c:pt idx="108">
                  <c:v>0.55555555555555558</c:v>
                </c:pt>
                <c:pt idx="109">
                  <c:v>0.55555555555555558</c:v>
                </c:pt>
                <c:pt idx="110">
                  <c:v>0.55555555555555558</c:v>
                </c:pt>
                <c:pt idx="111">
                  <c:v>0.55555555555555558</c:v>
                </c:pt>
                <c:pt idx="112">
                  <c:v>0.59259259259259256</c:v>
                </c:pt>
                <c:pt idx="113">
                  <c:v>0.66666666666666663</c:v>
                </c:pt>
                <c:pt idx="114">
                  <c:v>0.66666666666666663</c:v>
                </c:pt>
                <c:pt idx="115">
                  <c:v>0.70370370370370372</c:v>
                </c:pt>
                <c:pt idx="116">
                  <c:v>0.81481481481481477</c:v>
                </c:pt>
                <c:pt idx="117">
                  <c:v>0.92592592592592593</c:v>
                </c:pt>
                <c:pt idx="118">
                  <c:v>0.92592592592592593</c:v>
                </c:pt>
                <c:pt idx="119">
                  <c:v>0.92592592592592593</c:v>
                </c:pt>
                <c:pt idx="120">
                  <c:v>0.96296296296296291</c:v>
                </c:pt>
                <c:pt idx="121">
                  <c:v>1.037037037037037</c:v>
                </c:pt>
                <c:pt idx="122">
                  <c:v>1.2222222222222223</c:v>
                </c:pt>
                <c:pt idx="123">
                  <c:v>1.3333333333333333</c:v>
                </c:pt>
                <c:pt idx="124">
                  <c:v>1.3703703703703705</c:v>
                </c:pt>
                <c:pt idx="125">
                  <c:v>1.4814814814814814</c:v>
                </c:pt>
                <c:pt idx="126">
                  <c:v>1.4814814814814814</c:v>
                </c:pt>
                <c:pt idx="127">
                  <c:v>1.5185185185185186</c:v>
                </c:pt>
                <c:pt idx="128">
                  <c:v>1.6296296296296295</c:v>
                </c:pt>
                <c:pt idx="129">
                  <c:v>1.7777777777777777</c:v>
                </c:pt>
                <c:pt idx="130">
                  <c:v>1.8148148148148149</c:v>
                </c:pt>
                <c:pt idx="131">
                  <c:v>1.962962962962963</c:v>
                </c:pt>
                <c:pt idx="132">
                  <c:v>2.1111111111111112</c:v>
                </c:pt>
                <c:pt idx="133">
                  <c:v>2.2222222222222223</c:v>
                </c:pt>
                <c:pt idx="134">
                  <c:v>2.2962962962962963</c:v>
                </c:pt>
                <c:pt idx="135">
                  <c:v>2.3703703703703702</c:v>
                </c:pt>
                <c:pt idx="136">
                  <c:v>2.5555555555555554</c:v>
                </c:pt>
                <c:pt idx="137">
                  <c:v>2.6296296296296298</c:v>
                </c:pt>
                <c:pt idx="138">
                  <c:v>2.6296296296296298</c:v>
                </c:pt>
                <c:pt idx="139">
                  <c:v>2.7407407407407409</c:v>
                </c:pt>
                <c:pt idx="140">
                  <c:v>2.8518518518518516</c:v>
                </c:pt>
                <c:pt idx="141">
                  <c:v>2.9629629629629628</c:v>
                </c:pt>
                <c:pt idx="142">
                  <c:v>3.074074074074074</c:v>
                </c:pt>
                <c:pt idx="143">
                  <c:v>3.3333333333333335</c:v>
                </c:pt>
                <c:pt idx="144">
                  <c:v>3.4444444444444446</c:v>
                </c:pt>
                <c:pt idx="145">
                  <c:v>3.5185185185185186</c:v>
                </c:pt>
                <c:pt idx="146">
                  <c:v>3.6666666666666665</c:v>
                </c:pt>
                <c:pt idx="147">
                  <c:v>3.7037037037037037</c:v>
                </c:pt>
                <c:pt idx="148">
                  <c:v>3.7777777777777777</c:v>
                </c:pt>
                <c:pt idx="149">
                  <c:v>3.8518518518518516</c:v>
                </c:pt>
                <c:pt idx="150">
                  <c:v>4.0370370370370372</c:v>
                </c:pt>
                <c:pt idx="151">
                  <c:v>4.2222222222222223</c:v>
                </c:pt>
                <c:pt idx="152">
                  <c:v>4.3703703703703702</c:v>
                </c:pt>
                <c:pt idx="153">
                  <c:v>4.4814814814814818</c:v>
                </c:pt>
                <c:pt idx="154">
                  <c:v>4.5185185185185182</c:v>
                </c:pt>
                <c:pt idx="155">
                  <c:v>4.6296296296296298</c:v>
                </c:pt>
                <c:pt idx="156">
                  <c:v>4.8148148148148149</c:v>
                </c:pt>
                <c:pt idx="157">
                  <c:v>4.9259259259259256</c:v>
                </c:pt>
                <c:pt idx="158">
                  <c:v>5.0740740740740744</c:v>
                </c:pt>
                <c:pt idx="159">
                  <c:v>5.2962962962962967</c:v>
                </c:pt>
                <c:pt idx="160">
                  <c:v>5.4814814814814818</c:v>
                </c:pt>
                <c:pt idx="161">
                  <c:v>5.5925925925925926</c:v>
                </c:pt>
                <c:pt idx="162">
                  <c:v>5.7037037037037033</c:v>
                </c:pt>
                <c:pt idx="163">
                  <c:v>5.8148148148148149</c:v>
                </c:pt>
                <c:pt idx="164">
                  <c:v>6</c:v>
                </c:pt>
                <c:pt idx="165">
                  <c:v>6.1111111111111107</c:v>
                </c:pt>
                <c:pt idx="166">
                  <c:v>6.2222222222222223</c:v>
                </c:pt>
                <c:pt idx="167">
                  <c:v>6.4074074074074074</c:v>
                </c:pt>
                <c:pt idx="168">
                  <c:v>6.5185185185185182</c:v>
                </c:pt>
                <c:pt idx="169">
                  <c:v>6.5185185185185182</c:v>
                </c:pt>
                <c:pt idx="170">
                  <c:v>6.5555555555555554</c:v>
                </c:pt>
                <c:pt idx="171">
                  <c:v>6.7407407407407405</c:v>
                </c:pt>
                <c:pt idx="172">
                  <c:v>7.0370370370370372</c:v>
                </c:pt>
                <c:pt idx="173">
                  <c:v>7.2592592592592595</c:v>
                </c:pt>
                <c:pt idx="174">
                  <c:v>7.4814814814814818</c:v>
                </c:pt>
                <c:pt idx="175">
                  <c:v>7.5555555555555554</c:v>
                </c:pt>
                <c:pt idx="176">
                  <c:v>7.7037037037037033</c:v>
                </c:pt>
                <c:pt idx="177">
                  <c:v>7.7777777777777777</c:v>
                </c:pt>
                <c:pt idx="178">
                  <c:v>8</c:v>
                </c:pt>
                <c:pt idx="179">
                  <c:v>8.1851851851851851</c:v>
                </c:pt>
                <c:pt idx="180">
                  <c:v>8.2222222222222214</c:v>
                </c:pt>
                <c:pt idx="181">
                  <c:v>8.518518518518519</c:v>
                </c:pt>
                <c:pt idx="182">
                  <c:v>8.7037037037037042</c:v>
                </c:pt>
                <c:pt idx="183">
                  <c:v>8.8148148148148149</c:v>
                </c:pt>
                <c:pt idx="184">
                  <c:v>9</c:v>
                </c:pt>
                <c:pt idx="185">
                  <c:v>9.1111111111111107</c:v>
                </c:pt>
                <c:pt idx="186">
                  <c:v>9.2222222222222214</c:v>
                </c:pt>
                <c:pt idx="187">
                  <c:v>9.4444444444444446</c:v>
                </c:pt>
                <c:pt idx="188">
                  <c:v>9.5925925925925934</c:v>
                </c:pt>
                <c:pt idx="189">
                  <c:v>9.8148148148148149</c:v>
                </c:pt>
                <c:pt idx="190">
                  <c:v>9.9259259259259256</c:v>
                </c:pt>
                <c:pt idx="191">
                  <c:v>10.148148148148149</c:v>
                </c:pt>
                <c:pt idx="192">
                  <c:v>10.37037037037037</c:v>
                </c:pt>
                <c:pt idx="193">
                  <c:v>10.481481481481481</c:v>
                </c:pt>
                <c:pt idx="194">
                  <c:v>10.62962962962963</c:v>
                </c:pt>
                <c:pt idx="195">
                  <c:v>10.814814814814815</c:v>
                </c:pt>
                <c:pt idx="196">
                  <c:v>11.074074074074074</c:v>
                </c:pt>
                <c:pt idx="197">
                  <c:v>11.111111111111111</c:v>
                </c:pt>
                <c:pt idx="198">
                  <c:v>11.296296296296296</c:v>
                </c:pt>
                <c:pt idx="199">
                  <c:v>11.37037037037037</c:v>
                </c:pt>
                <c:pt idx="200">
                  <c:v>11.518518518518519</c:v>
                </c:pt>
                <c:pt idx="201">
                  <c:v>11.703703703703704</c:v>
                </c:pt>
                <c:pt idx="202">
                  <c:v>11.851851851851851</c:v>
                </c:pt>
                <c:pt idx="203">
                  <c:v>12.111111111111111</c:v>
                </c:pt>
                <c:pt idx="204">
                  <c:v>12.333333333333334</c:v>
                </c:pt>
                <c:pt idx="205">
                  <c:v>12.407407407407407</c:v>
                </c:pt>
                <c:pt idx="206">
                  <c:v>12.592592592592593</c:v>
                </c:pt>
                <c:pt idx="207">
                  <c:v>12.666666666666666</c:v>
                </c:pt>
                <c:pt idx="208">
                  <c:v>12.777777777777779</c:v>
                </c:pt>
                <c:pt idx="209">
                  <c:v>12.888888888888889</c:v>
                </c:pt>
                <c:pt idx="210">
                  <c:v>13.111111111111111</c:v>
                </c:pt>
                <c:pt idx="211">
                  <c:v>13.222222222222221</c:v>
                </c:pt>
                <c:pt idx="212">
                  <c:v>13.296296296296296</c:v>
                </c:pt>
                <c:pt idx="213">
                  <c:v>13.481481481481481</c:v>
                </c:pt>
                <c:pt idx="214">
                  <c:v>13.703703703703704</c:v>
                </c:pt>
                <c:pt idx="215">
                  <c:v>13.814814814814815</c:v>
                </c:pt>
                <c:pt idx="216">
                  <c:v>14.037037037037036</c:v>
                </c:pt>
                <c:pt idx="217">
                  <c:v>14.074074074074074</c:v>
                </c:pt>
                <c:pt idx="218">
                  <c:v>14.148148148148149</c:v>
                </c:pt>
                <c:pt idx="219">
                  <c:v>14.296296296296296</c:v>
                </c:pt>
                <c:pt idx="220">
                  <c:v>14.481481481481481</c:v>
                </c:pt>
                <c:pt idx="221">
                  <c:v>14.555555555555555</c:v>
                </c:pt>
                <c:pt idx="222">
                  <c:v>14.703703703703704</c:v>
                </c:pt>
                <c:pt idx="223">
                  <c:v>14.814814814814815</c:v>
                </c:pt>
                <c:pt idx="224">
                  <c:v>14.888888888888889</c:v>
                </c:pt>
                <c:pt idx="225">
                  <c:v>15</c:v>
                </c:pt>
                <c:pt idx="226">
                  <c:v>15.148148148148149</c:v>
                </c:pt>
                <c:pt idx="227">
                  <c:v>15.25925925925926</c:v>
                </c:pt>
                <c:pt idx="228">
                  <c:v>15.37037037037037</c:v>
                </c:pt>
                <c:pt idx="229">
                  <c:v>15.518518518518519</c:v>
                </c:pt>
                <c:pt idx="230">
                  <c:v>15.666666666666666</c:v>
                </c:pt>
                <c:pt idx="231">
                  <c:v>15.777777777777779</c:v>
                </c:pt>
                <c:pt idx="232">
                  <c:v>15.925925925925926</c:v>
                </c:pt>
                <c:pt idx="233">
                  <c:v>16.037037037037038</c:v>
                </c:pt>
                <c:pt idx="234">
                  <c:v>16.148148148148149</c:v>
                </c:pt>
                <c:pt idx="235">
                  <c:v>16.25925925925926</c:v>
                </c:pt>
                <c:pt idx="236">
                  <c:v>16.296296296296298</c:v>
                </c:pt>
                <c:pt idx="237">
                  <c:v>16.333333333333332</c:v>
                </c:pt>
                <c:pt idx="238">
                  <c:v>16.481481481481481</c:v>
                </c:pt>
                <c:pt idx="239">
                  <c:v>16.555555555555557</c:v>
                </c:pt>
                <c:pt idx="240">
                  <c:v>16.555555555555557</c:v>
                </c:pt>
                <c:pt idx="241">
                  <c:v>16.62962962962963</c:v>
                </c:pt>
                <c:pt idx="242">
                  <c:v>16.703703703703702</c:v>
                </c:pt>
                <c:pt idx="243">
                  <c:v>16.777777777777779</c:v>
                </c:pt>
                <c:pt idx="244">
                  <c:v>16.814814814814813</c:v>
                </c:pt>
                <c:pt idx="245">
                  <c:v>16.814814814814813</c:v>
                </c:pt>
                <c:pt idx="246">
                  <c:v>16.814814814814813</c:v>
                </c:pt>
                <c:pt idx="247">
                  <c:v>16.814814814814813</c:v>
                </c:pt>
                <c:pt idx="248">
                  <c:v>16.925925925925927</c:v>
                </c:pt>
                <c:pt idx="249">
                  <c:v>16.962962962962962</c:v>
                </c:pt>
                <c:pt idx="250">
                  <c:v>17</c:v>
                </c:pt>
                <c:pt idx="251">
                  <c:v>17.074074074074073</c:v>
                </c:pt>
                <c:pt idx="252">
                  <c:v>17.148148148148149</c:v>
                </c:pt>
                <c:pt idx="253">
                  <c:v>17.222222222222221</c:v>
                </c:pt>
                <c:pt idx="254">
                  <c:v>17.296296296296298</c:v>
                </c:pt>
                <c:pt idx="255">
                  <c:v>17.296296296296298</c:v>
                </c:pt>
                <c:pt idx="256">
                  <c:v>17.296296296296298</c:v>
                </c:pt>
                <c:pt idx="257">
                  <c:v>17.296296296296298</c:v>
                </c:pt>
                <c:pt idx="258">
                  <c:v>17.296296296296298</c:v>
                </c:pt>
                <c:pt idx="259">
                  <c:v>17.296296296296298</c:v>
                </c:pt>
                <c:pt idx="260">
                  <c:v>17.296296296296298</c:v>
                </c:pt>
                <c:pt idx="261">
                  <c:v>17.37037037037037</c:v>
                </c:pt>
                <c:pt idx="262">
                  <c:v>17.407407407407408</c:v>
                </c:pt>
                <c:pt idx="263">
                  <c:v>17.444444444444443</c:v>
                </c:pt>
                <c:pt idx="264">
                  <c:v>17.518518518518519</c:v>
                </c:pt>
                <c:pt idx="265">
                  <c:v>17.518518518518519</c:v>
                </c:pt>
                <c:pt idx="266">
                  <c:v>17.592592592592592</c:v>
                </c:pt>
                <c:pt idx="267">
                  <c:v>17.592592592592592</c:v>
                </c:pt>
                <c:pt idx="268">
                  <c:v>17.62962962962963</c:v>
                </c:pt>
                <c:pt idx="269">
                  <c:v>17.62962962962963</c:v>
                </c:pt>
                <c:pt idx="270">
                  <c:v>17.666666666666668</c:v>
                </c:pt>
                <c:pt idx="271">
                  <c:v>17.666666666666668</c:v>
                </c:pt>
                <c:pt idx="272">
                  <c:v>17.666666666666668</c:v>
                </c:pt>
                <c:pt idx="273">
                  <c:v>17.666666666666668</c:v>
                </c:pt>
                <c:pt idx="274">
                  <c:v>17.74074074074074</c:v>
                </c:pt>
                <c:pt idx="275">
                  <c:v>17.74074074074074</c:v>
                </c:pt>
                <c:pt idx="276">
                  <c:v>17.74074074074074</c:v>
                </c:pt>
                <c:pt idx="277">
                  <c:v>17.74074074074074</c:v>
                </c:pt>
                <c:pt idx="278">
                  <c:v>17.74074074074074</c:v>
                </c:pt>
                <c:pt idx="279">
                  <c:v>17.74074074074074</c:v>
                </c:pt>
                <c:pt idx="280">
                  <c:v>17.74074074074074</c:v>
                </c:pt>
                <c:pt idx="281">
                  <c:v>17.74074074074074</c:v>
                </c:pt>
                <c:pt idx="282">
                  <c:v>17.74074074074074</c:v>
                </c:pt>
                <c:pt idx="283">
                  <c:v>17.74074074074074</c:v>
                </c:pt>
                <c:pt idx="284">
                  <c:v>17.74074074074074</c:v>
                </c:pt>
                <c:pt idx="285">
                  <c:v>17.74074074074074</c:v>
                </c:pt>
                <c:pt idx="286">
                  <c:v>17.74074074074074</c:v>
                </c:pt>
                <c:pt idx="287">
                  <c:v>17.74074074074074</c:v>
                </c:pt>
                <c:pt idx="288">
                  <c:v>17.74074074074074</c:v>
                </c:pt>
                <c:pt idx="289">
                  <c:v>17.74074074074074</c:v>
                </c:pt>
                <c:pt idx="290">
                  <c:v>17.74074074074074</c:v>
                </c:pt>
                <c:pt idx="291">
                  <c:v>17.74074074074074</c:v>
                </c:pt>
                <c:pt idx="292">
                  <c:v>17.74074074074074</c:v>
                </c:pt>
                <c:pt idx="293">
                  <c:v>17.74074074074074</c:v>
                </c:pt>
                <c:pt idx="294">
                  <c:v>17.74074074074074</c:v>
                </c:pt>
                <c:pt idx="295">
                  <c:v>17.74074074074074</c:v>
                </c:pt>
                <c:pt idx="296">
                  <c:v>17.74074074074074</c:v>
                </c:pt>
                <c:pt idx="297">
                  <c:v>17.74074074074074</c:v>
                </c:pt>
                <c:pt idx="298">
                  <c:v>17.74074074074074</c:v>
                </c:pt>
                <c:pt idx="299">
                  <c:v>17.74074074074074</c:v>
                </c:pt>
                <c:pt idx="300">
                  <c:v>17.74074074074074</c:v>
                </c:pt>
                <c:pt idx="301">
                  <c:v>17.74074074074074</c:v>
                </c:pt>
                <c:pt idx="302">
                  <c:v>17.777777777777779</c:v>
                </c:pt>
                <c:pt idx="303">
                  <c:v>17.814814814814813</c:v>
                </c:pt>
                <c:pt idx="304">
                  <c:v>17.814814814814813</c:v>
                </c:pt>
                <c:pt idx="305">
                  <c:v>17.814814814814813</c:v>
                </c:pt>
                <c:pt idx="306">
                  <c:v>17.814814814814813</c:v>
                </c:pt>
                <c:pt idx="307">
                  <c:v>17.814814814814813</c:v>
                </c:pt>
                <c:pt idx="308">
                  <c:v>17.814814814814813</c:v>
                </c:pt>
                <c:pt idx="309">
                  <c:v>17.814814814814813</c:v>
                </c:pt>
                <c:pt idx="310">
                  <c:v>17.814814814814813</c:v>
                </c:pt>
                <c:pt idx="311">
                  <c:v>17.814814814814813</c:v>
                </c:pt>
                <c:pt idx="312">
                  <c:v>17.851851851851851</c:v>
                </c:pt>
                <c:pt idx="313">
                  <c:v>17.851851851851851</c:v>
                </c:pt>
                <c:pt idx="314">
                  <c:v>17.851851851851851</c:v>
                </c:pt>
                <c:pt idx="315">
                  <c:v>17.851851851851851</c:v>
                </c:pt>
                <c:pt idx="316">
                  <c:v>17.851851851851851</c:v>
                </c:pt>
                <c:pt idx="317">
                  <c:v>17.851851851851851</c:v>
                </c:pt>
                <c:pt idx="318">
                  <c:v>17.851851851851851</c:v>
                </c:pt>
                <c:pt idx="319">
                  <c:v>17.851851851851851</c:v>
                </c:pt>
                <c:pt idx="320">
                  <c:v>17.851851851851851</c:v>
                </c:pt>
                <c:pt idx="321">
                  <c:v>17.851851851851851</c:v>
                </c:pt>
                <c:pt idx="322">
                  <c:v>17.851851851851851</c:v>
                </c:pt>
                <c:pt idx="323">
                  <c:v>17.851851851851851</c:v>
                </c:pt>
                <c:pt idx="324">
                  <c:v>17.851851851851851</c:v>
                </c:pt>
                <c:pt idx="325">
                  <c:v>17.851851851851851</c:v>
                </c:pt>
                <c:pt idx="326">
                  <c:v>17.851851851851851</c:v>
                </c:pt>
                <c:pt idx="327">
                  <c:v>17.851851851851851</c:v>
                </c:pt>
                <c:pt idx="328">
                  <c:v>17.851851851851851</c:v>
                </c:pt>
                <c:pt idx="329">
                  <c:v>17.851851851851851</c:v>
                </c:pt>
                <c:pt idx="330">
                  <c:v>17.851851851851851</c:v>
                </c:pt>
                <c:pt idx="331">
                  <c:v>17.851851851851851</c:v>
                </c:pt>
                <c:pt idx="332">
                  <c:v>17.851851851851851</c:v>
                </c:pt>
                <c:pt idx="333">
                  <c:v>17.851851851851851</c:v>
                </c:pt>
                <c:pt idx="334">
                  <c:v>17.851851851851851</c:v>
                </c:pt>
                <c:pt idx="335">
                  <c:v>17.851851851851851</c:v>
                </c:pt>
                <c:pt idx="336">
                  <c:v>17.851851851851851</c:v>
                </c:pt>
                <c:pt idx="337">
                  <c:v>17.851851851851851</c:v>
                </c:pt>
                <c:pt idx="338">
                  <c:v>17.851851851851851</c:v>
                </c:pt>
                <c:pt idx="339">
                  <c:v>17.851851851851851</c:v>
                </c:pt>
                <c:pt idx="340">
                  <c:v>17.851851851851851</c:v>
                </c:pt>
                <c:pt idx="341">
                  <c:v>17.851851851851851</c:v>
                </c:pt>
                <c:pt idx="342">
                  <c:v>17.851851851851851</c:v>
                </c:pt>
                <c:pt idx="343">
                  <c:v>17.851851851851851</c:v>
                </c:pt>
                <c:pt idx="344">
                  <c:v>17.851851851851851</c:v>
                </c:pt>
                <c:pt idx="345">
                  <c:v>17.851851851851851</c:v>
                </c:pt>
                <c:pt idx="346">
                  <c:v>17.851851851851851</c:v>
                </c:pt>
                <c:pt idx="347">
                  <c:v>17.851851851851851</c:v>
                </c:pt>
                <c:pt idx="348">
                  <c:v>17.851851851851851</c:v>
                </c:pt>
                <c:pt idx="349">
                  <c:v>17.888888888888889</c:v>
                </c:pt>
                <c:pt idx="350">
                  <c:v>17.888888888888889</c:v>
                </c:pt>
                <c:pt idx="351">
                  <c:v>17.888888888888889</c:v>
                </c:pt>
                <c:pt idx="352">
                  <c:v>17.888888888888889</c:v>
                </c:pt>
                <c:pt idx="353">
                  <c:v>17.888888888888889</c:v>
                </c:pt>
                <c:pt idx="354">
                  <c:v>17.888888888888889</c:v>
                </c:pt>
                <c:pt idx="355">
                  <c:v>17.925925925925927</c:v>
                </c:pt>
                <c:pt idx="356">
                  <c:v>17.925925925925927</c:v>
                </c:pt>
                <c:pt idx="357">
                  <c:v>17.925925925925927</c:v>
                </c:pt>
                <c:pt idx="358">
                  <c:v>17.925925925925927</c:v>
                </c:pt>
                <c:pt idx="359">
                  <c:v>17.925925925925927</c:v>
                </c:pt>
                <c:pt idx="360">
                  <c:v>17.925925925925927</c:v>
                </c:pt>
                <c:pt idx="361">
                  <c:v>17.925925925925927</c:v>
                </c:pt>
                <c:pt idx="362">
                  <c:v>17.925925925925927</c:v>
                </c:pt>
                <c:pt idx="363">
                  <c:v>17.925925925925927</c:v>
                </c:pt>
                <c:pt idx="364">
                  <c:v>17.925925925925927</c:v>
                </c:pt>
                <c:pt idx="365">
                  <c:v>17.925925925925927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31-7C41-BE67-518BB11B1431}"/>
            </c:ext>
          </c:extLst>
        </c:ser>
        <c:ser>
          <c:idx val="1"/>
          <c:order val="1"/>
          <c:tx>
            <c:strRef>
              <c:f>List1!$AF$375</c:f>
              <c:strCache>
                <c:ptCount val="1"/>
                <c:pt idx="0">
                  <c:v>2026</c:v>
                </c:pt>
              </c:strCache>
            </c:strRef>
          </c:tx>
          <c:spPr>
            <a:ln w="28800">
              <a:solidFill>
                <a:srgbClr val="5983B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cs-CZ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List1!$A$376:$A$741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List1!$AF$376:$AF$741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2</c:v>
                </c:pt>
                <c:pt idx="154">
                  <c:v>2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3</c:v>
                </c:pt>
                <c:pt idx="169">
                  <c:v>3</c:v>
                </c:pt>
                <c:pt idx="170">
                  <c:v>3</c:v>
                </c:pt>
                <c:pt idx="171">
                  <c:v>3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5</c:v>
                </c:pt>
                <c:pt idx="180">
                  <c:v>6</c:v>
                </c:pt>
                <c:pt idx="181">
                  <c:v>6</c:v>
                </c:pt>
                <c:pt idx="182">
                  <c:v>7</c:v>
                </c:pt>
                <c:pt idx="183">
                  <c:v>7</c:v>
                </c:pt>
                <c:pt idx="184">
                  <c:v>7</c:v>
                </c:pt>
                <c:pt idx="185">
                  <c:v>7</c:v>
                </c:pt>
                <c:pt idx="186">
                  <c:v>7</c:v>
                </c:pt>
                <c:pt idx="187">
                  <c:v>7</c:v>
                </c:pt>
                <c:pt idx="188">
                  <c:v>7</c:v>
                </c:pt>
                <c:pt idx="189">
                  <c:v>7</c:v>
                </c:pt>
                <c:pt idx="190">
                  <c:v>7</c:v>
                </c:pt>
                <c:pt idx="191">
                  <c:v>7</c:v>
                </c:pt>
                <c:pt idx="192">
                  <c:v>7</c:v>
                </c:pt>
                <c:pt idx="193">
                  <c:v>7</c:v>
                </c:pt>
                <c:pt idx="194">
                  <c:v>7</c:v>
                </c:pt>
                <c:pt idx="195">
                  <c:v>8</c:v>
                </c:pt>
                <c:pt idx="196">
                  <c:v>8</c:v>
                </c:pt>
                <c:pt idx="197">
                  <c:v>8</c:v>
                </c:pt>
                <c:pt idx="198">
                  <c:v>8</c:v>
                </c:pt>
                <c:pt idx="199">
                  <c:v>8</c:v>
                </c:pt>
                <c:pt idx="200">
                  <c:v>8</c:v>
                </c:pt>
                <c:pt idx="201">
                  <c:v>8</c:v>
                </c:pt>
                <c:pt idx="202">
                  <c:v>8</c:v>
                </c:pt>
                <c:pt idx="203">
                  <c:v>8</c:v>
                </c:pt>
                <c:pt idx="204">
                  <c:v>8</c:v>
                </c:pt>
                <c:pt idx="205">
                  <c:v>8</c:v>
                </c:pt>
                <c:pt idx="206">
                  <c:v>8</c:v>
                </c:pt>
                <c:pt idx="207">
                  <c:v>8</c:v>
                </c:pt>
                <c:pt idx="208">
                  <c:v>8</c:v>
                </c:pt>
                <c:pt idx="209">
                  <c:v>8</c:v>
                </c:pt>
                <c:pt idx="210">
                  <c:v>8</c:v>
                </c:pt>
                <c:pt idx="211">
                  <c:v>8</c:v>
                </c:pt>
                <c:pt idx="212">
                  <c:v>8</c:v>
                </c:pt>
                <c:pt idx="213">
                  <c:v>8</c:v>
                </c:pt>
                <c:pt idx="214">
                  <c:v>8</c:v>
                </c:pt>
                <c:pt idx="21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31-7C41-BE67-518BB11B1431}"/>
            </c:ext>
          </c:extLst>
        </c:ser>
        <c:ser>
          <c:idx val="2"/>
          <c:order val="2"/>
          <c:tx>
            <c:strRef>
              <c:f>List1!$AE$375</c:f>
              <c:strCache>
                <c:ptCount val="1"/>
                <c:pt idx="0">
                  <c:v>2025</c:v>
                </c:pt>
              </c:strCache>
            </c:strRef>
          </c:tx>
          <c:spPr>
            <a:ln w="28800">
              <a:solidFill>
                <a:srgbClr val="FF000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cs-CZ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8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List1!$A$376:$A$741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List1!$AE$376:$AE$741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2</c:v>
                </c:pt>
                <c:pt idx="149">
                  <c:v>2</c:v>
                </c:pt>
                <c:pt idx="150">
                  <c:v>2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5</c:v>
                </c:pt>
                <c:pt idx="175">
                  <c:v>5</c:v>
                </c:pt>
                <c:pt idx="176">
                  <c:v>5</c:v>
                </c:pt>
                <c:pt idx="177">
                  <c:v>5</c:v>
                </c:pt>
                <c:pt idx="178">
                  <c:v>5</c:v>
                </c:pt>
                <c:pt idx="179">
                  <c:v>5</c:v>
                </c:pt>
                <c:pt idx="180">
                  <c:v>5</c:v>
                </c:pt>
                <c:pt idx="181">
                  <c:v>5</c:v>
                </c:pt>
                <c:pt idx="182">
                  <c:v>5</c:v>
                </c:pt>
                <c:pt idx="183">
                  <c:v>5</c:v>
                </c:pt>
                <c:pt idx="184">
                  <c:v>5</c:v>
                </c:pt>
                <c:pt idx="185">
                  <c:v>5</c:v>
                </c:pt>
                <c:pt idx="186">
                  <c:v>5</c:v>
                </c:pt>
                <c:pt idx="187">
                  <c:v>5</c:v>
                </c:pt>
                <c:pt idx="188">
                  <c:v>5</c:v>
                </c:pt>
                <c:pt idx="189">
                  <c:v>5</c:v>
                </c:pt>
                <c:pt idx="190">
                  <c:v>5</c:v>
                </c:pt>
                <c:pt idx="191">
                  <c:v>5</c:v>
                </c:pt>
                <c:pt idx="192">
                  <c:v>5</c:v>
                </c:pt>
                <c:pt idx="193">
                  <c:v>5</c:v>
                </c:pt>
                <c:pt idx="194">
                  <c:v>5</c:v>
                </c:pt>
                <c:pt idx="195">
                  <c:v>5</c:v>
                </c:pt>
                <c:pt idx="196">
                  <c:v>6</c:v>
                </c:pt>
                <c:pt idx="197">
                  <c:v>6</c:v>
                </c:pt>
                <c:pt idx="198">
                  <c:v>6</c:v>
                </c:pt>
                <c:pt idx="199">
                  <c:v>6</c:v>
                </c:pt>
                <c:pt idx="200">
                  <c:v>6</c:v>
                </c:pt>
                <c:pt idx="201">
                  <c:v>6</c:v>
                </c:pt>
                <c:pt idx="202">
                  <c:v>7</c:v>
                </c:pt>
                <c:pt idx="203">
                  <c:v>8</c:v>
                </c:pt>
                <c:pt idx="204">
                  <c:v>8</c:v>
                </c:pt>
                <c:pt idx="205">
                  <c:v>8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10</c:v>
                </c:pt>
                <c:pt idx="214">
                  <c:v>11</c:v>
                </c:pt>
                <c:pt idx="215">
                  <c:v>11</c:v>
                </c:pt>
                <c:pt idx="216">
                  <c:v>11</c:v>
                </c:pt>
                <c:pt idx="217">
                  <c:v>11</c:v>
                </c:pt>
                <c:pt idx="218">
                  <c:v>11</c:v>
                </c:pt>
                <c:pt idx="219">
                  <c:v>11</c:v>
                </c:pt>
                <c:pt idx="220">
                  <c:v>11</c:v>
                </c:pt>
                <c:pt idx="221">
                  <c:v>11</c:v>
                </c:pt>
                <c:pt idx="222">
                  <c:v>11</c:v>
                </c:pt>
                <c:pt idx="223">
                  <c:v>11</c:v>
                </c:pt>
                <c:pt idx="224">
                  <c:v>11</c:v>
                </c:pt>
                <c:pt idx="225">
                  <c:v>11</c:v>
                </c:pt>
                <c:pt idx="226">
                  <c:v>11</c:v>
                </c:pt>
                <c:pt idx="227">
                  <c:v>11</c:v>
                </c:pt>
                <c:pt idx="228">
                  <c:v>11</c:v>
                </c:pt>
                <c:pt idx="229">
                  <c:v>11</c:v>
                </c:pt>
                <c:pt idx="230">
                  <c:v>11</c:v>
                </c:pt>
                <c:pt idx="231">
                  <c:v>11</c:v>
                </c:pt>
                <c:pt idx="232">
                  <c:v>11</c:v>
                </c:pt>
                <c:pt idx="233">
                  <c:v>11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11</c:v>
                </c:pt>
                <c:pt idx="238">
                  <c:v>11</c:v>
                </c:pt>
                <c:pt idx="239">
                  <c:v>11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12</c:v>
                </c:pt>
                <c:pt idx="289">
                  <c:v>12</c:v>
                </c:pt>
                <c:pt idx="290">
                  <c:v>12</c:v>
                </c:pt>
                <c:pt idx="291">
                  <c:v>12</c:v>
                </c:pt>
                <c:pt idx="292">
                  <c:v>12</c:v>
                </c:pt>
                <c:pt idx="293">
                  <c:v>12</c:v>
                </c:pt>
                <c:pt idx="294">
                  <c:v>12</c:v>
                </c:pt>
                <c:pt idx="295">
                  <c:v>12</c:v>
                </c:pt>
                <c:pt idx="296">
                  <c:v>12</c:v>
                </c:pt>
                <c:pt idx="297">
                  <c:v>12</c:v>
                </c:pt>
                <c:pt idx="298">
                  <c:v>12</c:v>
                </c:pt>
                <c:pt idx="299">
                  <c:v>12</c:v>
                </c:pt>
                <c:pt idx="300">
                  <c:v>12</c:v>
                </c:pt>
                <c:pt idx="301">
                  <c:v>12</c:v>
                </c:pt>
                <c:pt idx="302">
                  <c:v>12</c:v>
                </c:pt>
                <c:pt idx="303">
                  <c:v>12</c:v>
                </c:pt>
                <c:pt idx="304">
                  <c:v>12</c:v>
                </c:pt>
                <c:pt idx="305">
                  <c:v>12</c:v>
                </c:pt>
                <c:pt idx="306">
                  <c:v>12</c:v>
                </c:pt>
                <c:pt idx="307">
                  <c:v>12</c:v>
                </c:pt>
                <c:pt idx="308">
                  <c:v>12</c:v>
                </c:pt>
                <c:pt idx="309">
                  <c:v>12</c:v>
                </c:pt>
                <c:pt idx="310">
                  <c:v>12</c:v>
                </c:pt>
                <c:pt idx="311">
                  <c:v>12</c:v>
                </c:pt>
                <c:pt idx="312">
                  <c:v>12</c:v>
                </c:pt>
                <c:pt idx="313">
                  <c:v>12</c:v>
                </c:pt>
                <c:pt idx="314">
                  <c:v>12</c:v>
                </c:pt>
                <c:pt idx="315">
                  <c:v>12</c:v>
                </c:pt>
                <c:pt idx="316">
                  <c:v>12</c:v>
                </c:pt>
                <c:pt idx="317">
                  <c:v>12</c:v>
                </c:pt>
                <c:pt idx="318">
                  <c:v>12</c:v>
                </c:pt>
                <c:pt idx="319">
                  <c:v>12</c:v>
                </c:pt>
                <c:pt idx="320">
                  <c:v>12</c:v>
                </c:pt>
                <c:pt idx="321">
                  <c:v>12</c:v>
                </c:pt>
                <c:pt idx="322">
                  <c:v>12</c:v>
                </c:pt>
                <c:pt idx="323">
                  <c:v>12</c:v>
                </c:pt>
                <c:pt idx="324">
                  <c:v>12</c:v>
                </c:pt>
                <c:pt idx="325">
                  <c:v>12</c:v>
                </c:pt>
                <c:pt idx="326">
                  <c:v>12</c:v>
                </c:pt>
                <c:pt idx="327">
                  <c:v>12</c:v>
                </c:pt>
                <c:pt idx="328">
                  <c:v>12</c:v>
                </c:pt>
                <c:pt idx="329">
                  <c:v>12</c:v>
                </c:pt>
                <c:pt idx="330">
                  <c:v>12</c:v>
                </c:pt>
                <c:pt idx="331">
                  <c:v>12</c:v>
                </c:pt>
                <c:pt idx="332">
                  <c:v>12</c:v>
                </c:pt>
                <c:pt idx="333">
                  <c:v>12</c:v>
                </c:pt>
                <c:pt idx="334">
                  <c:v>12</c:v>
                </c:pt>
                <c:pt idx="335">
                  <c:v>12</c:v>
                </c:pt>
                <c:pt idx="336">
                  <c:v>12</c:v>
                </c:pt>
                <c:pt idx="337">
                  <c:v>12</c:v>
                </c:pt>
                <c:pt idx="338">
                  <c:v>12</c:v>
                </c:pt>
                <c:pt idx="339">
                  <c:v>12</c:v>
                </c:pt>
                <c:pt idx="340">
                  <c:v>12</c:v>
                </c:pt>
                <c:pt idx="341">
                  <c:v>12</c:v>
                </c:pt>
                <c:pt idx="342">
                  <c:v>12</c:v>
                </c:pt>
                <c:pt idx="343">
                  <c:v>12</c:v>
                </c:pt>
                <c:pt idx="344">
                  <c:v>12</c:v>
                </c:pt>
                <c:pt idx="345">
                  <c:v>12</c:v>
                </c:pt>
                <c:pt idx="346">
                  <c:v>12</c:v>
                </c:pt>
                <c:pt idx="347">
                  <c:v>12</c:v>
                </c:pt>
                <c:pt idx="348">
                  <c:v>12</c:v>
                </c:pt>
                <c:pt idx="349">
                  <c:v>12</c:v>
                </c:pt>
                <c:pt idx="350">
                  <c:v>12</c:v>
                </c:pt>
                <c:pt idx="351">
                  <c:v>12</c:v>
                </c:pt>
                <c:pt idx="352">
                  <c:v>12</c:v>
                </c:pt>
                <c:pt idx="353">
                  <c:v>12</c:v>
                </c:pt>
                <c:pt idx="354">
                  <c:v>12</c:v>
                </c:pt>
                <c:pt idx="355">
                  <c:v>12</c:v>
                </c:pt>
                <c:pt idx="356">
                  <c:v>12</c:v>
                </c:pt>
                <c:pt idx="357">
                  <c:v>12</c:v>
                </c:pt>
                <c:pt idx="358">
                  <c:v>12</c:v>
                </c:pt>
                <c:pt idx="359">
                  <c:v>12</c:v>
                </c:pt>
                <c:pt idx="360">
                  <c:v>12</c:v>
                </c:pt>
                <c:pt idx="361">
                  <c:v>12</c:v>
                </c:pt>
                <c:pt idx="362">
                  <c:v>12</c:v>
                </c:pt>
                <c:pt idx="363">
                  <c:v>12</c:v>
                </c:pt>
                <c:pt idx="364">
                  <c:v>12</c:v>
                </c:pt>
                <c:pt idx="365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31-7C41-BE67-518BB11B1431}"/>
            </c:ext>
          </c:extLst>
        </c:ser>
        <c:ser>
          <c:idx val="3"/>
          <c:order val="3"/>
          <c:tx>
            <c:strRef>
              <c:f>List1!$C$375</c:f>
              <c:strCache>
                <c:ptCount val="1"/>
                <c:pt idx="0">
                  <c:v>minimum</c:v>
                </c:pt>
              </c:strCache>
            </c:strRef>
          </c:tx>
          <c:spPr>
            <a:ln w="36000">
              <a:solidFill>
                <a:srgbClr val="999999">
                  <a:alpha val="7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cs-CZ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360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List1!$A$376:$A$741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List1!$C$376:$C$741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</c:v>
                </c:pt>
                <c:pt idx="154">
                  <c:v>2</c:v>
                </c:pt>
                <c:pt idx="155">
                  <c:v>2</c:v>
                </c:pt>
                <c:pt idx="156">
                  <c:v>2</c:v>
                </c:pt>
                <c:pt idx="157">
                  <c:v>2</c:v>
                </c:pt>
                <c:pt idx="158">
                  <c:v>2</c:v>
                </c:pt>
                <c:pt idx="159">
                  <c:v>2</c:v>
                </c:pt>
                <c:pt idx="160">
                  <c:v>2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3</c:v>
                </c:pt>
                <c:pt idx="169">
                  <c:v>3</c:v>
                </c:pt>
                <c:pt idx="170">
                  <c:v>3</c:v>
                </c:pt>
                <c:pt idx="171">
                  <c:v>3</c:v>
                </c:pt>
                <c:pt idx="172">
                  <c:v>3</c:v>
                </c:pt>
                <c:pt idx="173">
                  <c:v>3</c:v>
                </c:pt>
                <c:pt idx="174">
                  <c:v>3</c:v>
                </c:pt>
                <c:pt idx="175">
                  <c:v>3</c:v>
                </c:pt>
                <c:pt idx="176">
                  <c:v>3</c:v>
                </c:pt>
                <c:pt idx="177">
                  <c:v>3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4</c:v>
                </c:pt>
                <c:pt idx="182">
                  <c:v>4</c:v>
                </c:pt>
                <c:pt idx="183">
                  <c:v>4</c:v>
                </c:pt>
                <c:pt idx="184">
                  <c:v>4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5</c:v>
                </c:pt>
                <c:pt idx="209">
                  <c:v>5</c:v>
                </c:pt>
                <c:pt idx="210">
                  <c:v>6</c:v>
                </c:pt>
                <c:pt idx="211">
                  <c:v>6</c:v>
                </c:pt>
                <c:pt idx="212">
                  <c:v>7</c:v>
                </c:pt>
                <c:pt idx="213">
                  <c:v>7</c:v>
                </c:pt>
                <c:pt idx="214">
                  <c:v>7</c:v>
                </c:pt>
                <c:pt idx="215">
                  <c:v>7</c:v>
                </c:pt>
                <c:pt idx="216">
                  <c:v>7</c:v>
                </c:pt>
                <c:pt idx="217">
                  <c:v>7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8</c:v>
                </c:pt>
                <c:pt idx="223">
                  <c:v>8</c:v>
                </c:pt>
                <c:pt idx="224">
                  <c:v>8</c:v>
                </c:pt>
                <c:pt idx="225">
                  <c:v>8</c:v>
                </c:pt>
                <c:pt idx="226">
                  <c:v>9</c:v>
                </c:pt>
                <c:pt idx="227">
                  <c:v>9</c:v>
                </c:pt>
                <c:pt idx="228">
                  <c:v>9</c:v>
                </c:pt>
                <c:pt idx="229">
                  <c:v>9</c:v>
                </c:pt>
                <c:pt idx="230">
                  <c:v>9</c:v>
                </c:pt>
                <c:pt idx="231">
                  <c:v>9</c:v>
                </c:pt>
                <c:pt idx="232">
                  <c:v>9</c:v>
                </c:pt>
                <c:pt idx="233">
                  <c:v>9</c:v>
                </c:pt>
                <c:pt idx="234">
                  <c:v>9</c:v>
                </c:pt>
                <c:pt idx="235">
                  <c:v>9</c:v>
                </c:pt>
                <c:pt idx="236">
                  <c:v>9</c:v>
                </c:pt>
                <c:pt idx="237">
                  <c:v>9</c:v>
                </c:pt>
                <c:pt idx="238">
                  <c:v>9</c:v>
                </c:pt>
                <c:pt idx="239">
                  <c:v>9</c:v>
                </c:pt>
                <c:pt idx="240">
                  <c:v>9</c:v>
                </c:pt>
                <c:pt idx="241">
                  <c:v>9</c:v>
                </c:pt>
                <c:pt idx="242">
                  <c:v>9</c:v>
                </c:pt>
                <c:pt idx="243">
                  <c:v>9</c:v>
                </c:pt>
                <c:pt idx="244">
                  <c:v>9</c:v>
                </c:pt>
                <c:pt idx="245">
                  <c:v>9</c:v>
                </c:pt>
                <c:pt idx="246">
                  <c:v>9</c:v>
                </c:pt>
                <c:pt idx="247">
                  <c:v>9</c:v>
                </c:pt>
                <c:pt idx="248">
                  <c:v>9</c:v>
                </c:pt>
                <c:pt idx="249">
                  <c:v>9</c:v>
                </c:pt>
                <c:pt idx="250">
                  <c:v>9</c:v>
                </c:pt>
                <c:pt idx="251">
                  <c:v>9</c:v>
                </c:pt>
                <c:pt idx="252">
                  <c:v>9</c:v>
                </c:pt>
                <c:pt idx="253">
                  <c:v>9</c:v>
                </c:pt>
                <c:pt idx="254">
                  <c:v>9</c:v>
                </c:pt>
                <c:pt idx="255">
                  <c:v>9</c:v>
                </c:pt>
                <c:pt idx="256">
                  <c:v>9</c:v>
                </c:pt>
                <c:pt idx="257">
                  <c:v>9</c:v>
                </c:pt>
                <c:pt idx="258">
                  <c:v>9</c:v>
                </c:pt>
                <c:pt idx="259">
                  <c:v>9</c:v>
                </c:pt>
                <c:pt idx="260">
                  <c:v>9</c:v>
                </c:pt>
                <c:pt idx="261">
                  <c:v>10</c:v>
                </c:pt>
                <c:pt idx="262">
                  <c:v>10</c:v>
                </c:pt>
                <c:pt idx="263">
                  <c:v>10</c:v>
                </c:pt>
                <c:pt idx="264">
                  <c:v>10</c:v>
                </c:pt>
                <c:pt idx="265">
                  <c:v>10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11</c:v>
                </c:pt>
                <c:pt idx="277">
                  <c:v>11</c:v>
                </c:pt>
                <c:pt idx="278">
                  <c:v>11</c:v>
                </c:pt>
                <c:pt idx="279">
                  <c:v>11</c:v>
                </c:pt>
                <c:pt idx="280">
                  <c:v>11</c:v>
                </c:pt>
                <c:pt idx="281">
                  <c:v>11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11</c:v>
                </c:pt>
                <c:pt idx="287">
                  <c:v>11</c:v>
                </c:pt>
                <c:pt idx="288">
                  <c:v>11</c:v>
                </c:pt>
                <c:pt idx="289">
                  <c:v>11</c:v>
                </c:pt>
                <c:pt idx="290">
                  <c:v>11</c:v>
                </c:pt>
                <c:pt idx="291">
                  <c:v>11</c:v>
                </c:pt>
                <c:pt idx="292">
                  <c:v>11</c:v>
                </c:pt>
                <c:pt idx="293">
                  <c:v>11</c:v>
                </c:pt>
                <c:pt idx="294">
                  <c:v>11</c:v>
                </c:pt>
                <c:pt idx="295">
                  <c:v>11</c:v>
                </c:pt>
                <c:pt idx="296">
                  <c:v>11</c:v>
                </c:pt>
                <c:pt idx="297">
                  <c:v>11</c:v>
                </c:pt>
                <c:pt idx="298">
                  <c:v>11</c:v>
                </c:pt>
                <c:pt idx="299">
                  <c:v>11</c:v>
                </c:pt>
                <c:pt idx="300">
                  <c:v>11</c:v>
                </c:pt>
                <c:pt idx="301">
                  <c:v>11</c:v>
                </c:pt>
                <c:pt idx="302">
                  <c:v>11</c:v>
                </c:pt>
                <c:pt idx="303">
                  <c:v>11</c:v>
                </c:pt>
                <c:pt idx="304">
                  <c:v>11</c:v>
                </c:pt>
                <c:pt idx="305">
                  <c:v>11</c:v>
                </c:pt>
                <c:pt idx="306">
                  <c:v>11</c:v>
                </c:pt>
                <c:pt idx="307">
                  <c:v>11</c:v>
                </c:pt>
                <c:pt idx="308">
                  <c:v>11</c:v>
                </c:pt>
                <c:pt idx="309">
                  <c:v>11</c:v>
                </c:pt>
                <c:pt idx="310">
                  <c:v>11</c:v>
                </c:pt>
                <c:pt idx="311">
                  <c:v>11</c:v>
                </c:pt>
                <c:pt idx="312">
                  <c:v>11</c:v>
                </c:pt>
                <c:pt idx="313">
                  <c:v>11</c:v>
                </c:pt>
                <c:pt idx="314">
                  <c:v>11</c:v>
                </c:pt>
                <c:pt idx="315">
                  <c:v>11</c:v>
                </c:pt>
                <c:pt idx="316">
                  <c:v>11</c:v>
                </c:pt>
                <c:pt idx="317">
                  <c:v>11</c:v>
                </c:pt>
                <c:pt idx="318">
                  <c:v>11</c:v>
                </c:pt>
                <c:pt idx="319">
                  <c:v>11</c:v>
                </c:pt>
                <c:pt idx="320">
                  <c:v>11</c:v>
                </c:pt>
                <c:pt idx="321">
                  <c:v>11</c:v>
                </c:pt>
                <c:pt idx="322">
                  <c:v>11</c:v>
                </c:pt>
                <c:pt idx="323">
                  <c:v>11</c:v>
                </c:pt>
                <c:pt idx="324">
                  <c:v>11</c:v>
                </c:pt>
                <c:pt idx="325">
                  <c:v>11</c:v>
                </c:pt>
                <c:pt idx="326">
                  <c:v>11</c:v>
                </c:pt>
                <c:pt idx="327">
                  <c:v>11</c:v>
                </c:pt>
                <c:pt idx="328">
                  <c:v>11</c:v>
                </c:pt>
                <c:pt idx="329">
                  <c:v>11</c:v>
                </c:pt>
                <c:pt idx="330">
                  <c:v>11</c:v>
                </c:pt>
                <c:pt idx="331">
                  <c:v>11</c:v>
                </c:pt>
                <c:pt idx="332">
                  <c:v>11</c:v>
                </c:pt>
                <c:pt idx="333">
                  <c:v>11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11</c:v>
                </c:pt>
                <c:pt idx="339">
                  <c:v>11</c:v>
                </c:pt>
                <c:pt idx="340">
                  <c:v>11</c:v>
                </c:pt>
                <c:pt idx="341">
                  <c:v>11</c:v>
                </c:pt>
                <c:pt idx="342">
                  <c:v>11</c:v>
                </c:pt>
                <c:pt idx="343">
                  <c:v>11</c:v>
                </c:pt>
                <c:pt idx="344">
                  <c:v>11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11</c:v>
                </c:pt>
                <c:pt idx="352">
                  <c:v>11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11</c:v>
                </c:pt>
                <c:pt idx="360">
                  <c:v>11</c:v>
                </c:pt>
                <c:pt idx="361">
                  <c:v>11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F31-7C41-BE67-518BB11B1431}"/>
            </c:ext>
          </c:extLst>
        </c:ser>
        <c:ser>
          <c:idx val="4"/>
          <c:order val="4"/>
          <c:tx>
            <c:strRef>
              <c:f>List1!$D$375</c:f>
              <c:strCache>
                <c:ptCount val="1"/>
                <c:pt idx="0">
                  <c:v>maximum</c:v>
                </c:pt>
              </c:strCache>
            </c:strRef>
          </c:tx>
          <c:spPr>
            <a:ln w="36000">
              <a:solidFill>
                <a:srgbClr val="999999">
                  <a:alpha val="70000"/>
                </a:srgbClr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cs-CZ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3600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List1!$A$376:$A$741</c:f>
              <c:strCache>
                <c:ptCount val="366"/>
                <c:pt idx="0">
                  <c:v>January 1</c:v>
                </c:pt>
                <c:pt idx="1">
                  <c:v>January 2</c:v>
                </c:pt>
                <c:pt idx="2">
                  <c:v>January 3</c:v>
                </c:pt>
                <c:pt idx="3">
                  <c:v>January 4</c:v>
                </c:pt>
                <c:pt idx="4">
                  <c:v>January 5</c:v>
                </c:pt>
                <c:pt idx="5">
                  <c:v>January 6</c:v>
                </c:pt>
                <c:pt idx="6">
                  <c:v>January 7</c:v>
                </c:pt>
                <c:pt idx="7">
                  <c:v>January 8</c:v>
                </c:pt>
                <c:pt idx="8">
                  <c:v>January 9</c:v>
                </c:pt>
                <c:pt idx="9">
                  <c:v>January 10</c:v>
                </c:pt>
                <c:pt idx="10">
                  <c:v>January 11</c:v>
                </c:pt>
                <c:pt idx="11">
                  <c:v>January 12</c:v>
                </c:pt>
                <c:pt idx="12">
                  <c:v>January 13</c:v>
                </c:pt>
                <c:pt idx="13">
                  <c:v>January 14</c:v>
                </c:pt>
                <c:pt idx="14">
                  <c:v>January 15</c:v>
                </c:pt>
                <c:pt idx="15">
                  <c:v>January 16</c:v>
                </c:pt>
                <c:pt idx="16">
                  <c:v>January 17</c:v>
                </c:pt>
                <c:pt idx="17">
                  <c:v>January 18</c:v>
                </c:pt>
                <c:pt idx="18">
                  <c:v>January 19</c:v>
                </c:pt>
                <c:pt idx="19">
                  <c:v>January 20</c:v>
                </c:pt>
                <c:pt idx="20">
                  <c:v>January 21</c:v>
                </c:pt>
                <c:pt idx="21">
                  <c:v>January 22</c:v>
                </c:pt>
                <c:pt idx="22">
                  <c:v>January 23</c:v>
                </c:pt>
                <c:pt idx="23">
                  <c:v>January 24</c:v>
                </c:pt>
                <c:pt idx="24">
                  <c:v>January 25</c:v>
                </c:pt>
                <c:pt idx="25">
                  <c:v>January 26</c:v>
                </c:pt>
                <c:pt idx="26">
                  <c:v>January 27</c:v>
                </c:pt>
                <c:pt idx="27">
                  <c:v>January 28</c:v>
                </c:pt>
                <c:pt idx="28">
                  <c:v>January 29</c:v>
                </c:pt>
                <c:pt idx="29">
                  <c:v>January 30</c:v>
                </c:pt>
                <c:pt idx="30">
                  <c:v>January 31</c:v>
                </c:pt>
                <c:pt idx="31">
                  <c:v>February 1</c:v>
                </c:pt>
                <c:pt idx="32">
                  <c:v>February 2</c:v>
                </c:pt>
                <c:pt idx="33">
                  <c:v>February 3</c:v>
                </c:pt>
                <c:pt idx="34">
                  <c:v>February 4</c:v>
                </c:pt>
                <c:pt idx="35">
                  <c:v>February 5</c:v>
                </c:pt>
                <c:pt idx="36">
                  <c:v>February 6</c:v>
                </c:pt>
                <c:pt idx="37">
                  <c:v>February 7</c:v>
                </c:pt>
                <c:pt idx="38">
                  <c:v>February 8</c:v>
                </c:pt>
                <c:pt idx="39">
                  <c:v>February 9</c:v>
                </c:pt>
                <c:pt idx="40">
                  <c:v>February 10</c:v>
                </c:pt>
                <c:pt idx="41">
                  <c:v>February 11</c:v>
                </c:pt>
                <c:pt idx="42">
                  <c:v>February 12</c:v>
                </c:pt>
                <c:pt idx="43">
                  <c:v>February 13</c:v>
                </c:pt>
                <c:pt idx="44">
                  <c:v>February 14</c:v>
                </c:pt>
                <c:pt idx="45">
                  <c:v>February 15</c:v>
                </c:pt>
                <c:pt idx="46">
                  <c:v>February 16</c:v>
                </c:pt>
                <c:pt idx="47">
                  <c:v>February 17</c:v>
                </c:pt>
                <c:pt idx="48">
                  <c:v>February 18</c:v>
                </c:pt>
                <c:pt idx="49">
                  <c:v>February 19</c:v>
                </c:pt>
                <c:pt idx="50">
                  <c:v>February 20</c:v>
                </c:pt>
                <c:pt idx="51">
                  <c:v>February 21</c:v>
                </c:pt>
                <c:pt idx="52">
                  <c:v>February 22</c:v>
                </c:pt>
                <c:pt idx="53">
                  <c:v>February 23</c:v>
                </c:pt>
                <c:pt idx="54">
                  <c:v>February 24</c:v>
                </c:pt>
                <c:pt idx="55">
                  <c:v>February 25</c:v>
                </c:pt>
                <c:pt idx="56">
                  <c:v>February 26</c:v>
                </c:pt>
                <c:pt idx="57">
                  <c:v>February 27</c:v>
                </c:pt>
                <c:pt idx="58">
                  <c:v>February 28</c:v>
                </c:pt>
                <c:pt idx="59">
                  <c:v>February 29</c:v>
                </c:pt>
                <c:pt idx="60">
                  <c:v>March 1</c:v>
                </c:pt>
                <c:pt idx="61">
                  <c:v>March 2</c:v>
                </c:pt>
                <c:pt idx="62">
                  <c:v>March 3</c:v>
                </c:pt>
                <c:pt idx="63">
                  <c:v>March 4</c:v>
                </c:pt>
                <c:pt idx="64">
                  <c:v>March 5</c:v>
                </c:pt>
                <c:pt idx="65">
                  <c:v>March 6</c:v>
                </c:pt>
                <c:pt idx="66">
                  <c:v>March 7</c:v>
                </c:pt>
                <c:pt idx="67">
                  <c:v>March 8</c:v>
                </c:pt>
                <c:pt idx="68">
                  <c:v>March 9</c:v>
                </c:pt>
                <c:pt idx="69">
                  <c:v>March 10</c:v>
                </c:pt>
                <c:pt idx="70">
                  <c:v>March 11</c:v>
                </c:pt>
                <c:pt idx="71">
                  <c:v>March 12</c:v>
                </c:pt>
                <c:pt idx="72">
                  <c:v>March 13</c:v>
                </c:pt>
                <c:pt idx="73">
                  <c:v>March 14</c:v>
                </c:pt>
                <c:pt idx="74">
                  <c:v>March 15</c:v>
                </c:pt>
                <c:pt idx="75">
                  <c:v>March 16</c:v>
                </c:pt>
                <c:pt idx="76">
                  <c:v>March 17</c:v>
                </c:pt>
                <c:pt idx="77">
                  <c:v>March 18</c:v>
                </c:pt>
                <c:pt idx="78">
                  <c:v>March 19</c:v>
                </c:pt>
                <c:pt idx="79">
                  <c:v>March 20</c:v>
                </c:pt>
                <c:pt idx="80">
                  <c:v>March 21</c:v>
                </c:pt>
                <c:pt idx="81">
                  <c:v>March 22</c:v>
                </c:pt>
                <c:pt idx="82">
                  <c:v>March 23</c:v>
                </c:pt>
                <c:pt idx="83">
                  <c:v>March 24</c:v>
                </c:pt>
                <c:pt idx="84">
                  <c:v>March 25</c:v>
                </c:pt>
                <c:pt idx="85">
                  <c:v>March 26</c:v>
                </c:pt>
                <c:pt idx="86">
                  <c:v>March 27</c:v>
                </c:pt>
                <c:pt idx="87">
                  <c:v>March 28</c:v>
                </c:pt>
                <c:pt idx="88">
                  <c:v>March 29</c:v>
                </c:pt>
                <c:pt idx="89">
                  <c:v>March 30</c:v>
                </c:pt>
                <c:pt idx="90">
                  <c:v>March 31</c:v>
                </c:pt>
                <c:pt idx="91">
                  <c:v>April 1</c:v>
                </c:pt>
                <c:pt idx="92">
                  <c:v>April 2</c:v>
                </c:pt>
                <c:pt idx="93">
                  <c:v>April 3</c:v>
                </c:pt>
                <c:pt idx="94">
                  <c:v>April 4</c:v>
                </c:pt>
                <c:pt idx="95">
                  <c:v>April 5</c:v>
                </c:pt>
                <c:pt idx="96">
                  <c:v>April 6</c:v>
                </c:pt>
                <c:pt idx="97">
                  <c:v>April 7</c:v>
                </c:pt>
                <c:pt idx="98">
                  <c:v>April 8</c:v>
                </c:pt>
                <c:pt idx="99">
                  <c:v>April 9</c:v>
                </c:pt>
                <c:pt idx="100">
                  <c:v>April 10</c:v>
                </c:pt>
                <c:pt idx="101">
                  <c:v>April 11</c:v>
                </c:pt>
                <c:pt idx="102">
                  <c:v>April 12</c:v>
                </c:pt>
                <c:pt idx="103">
                  <c:v>April 13</c:v>
                </c:pt>
                <c:pt idx="104">
                  <c:v>April 14</c:v>
                </c:pt>
                <c:pt idx="105">
                  <c:v>April 15</c:v>
                </c:pt>
                <c:pt idx="106">
                  <c:v>April 16</c:v>
                </c:pt>
                <c:pt idx="107">
                  <c:v>April 17</c:v>
                </c:pt>
                <c:pt idx="108">
                  <c:v>April 18</c:v>
                </c:pt>
                <c:pt idx="109">
                  <c:v>April 19</c:v>
                </c:pt>
                <c:pt idx="110">
                  <c:v>April 20</c:v>
                </c:pt>
                <c:pt idx="111">
                  <c:v>April 21</c:v>
                </c:pt>
                <c:pt idx="112">
                  <c:v>April 22</c:v>
                </c:pt>
                <c:pt idx="113">
                  <c:v>April 23</c:v>
                </c:pt>
                <c:pt idx="114">
                  <c:v>April 24</c:v>
                </c:pt>
                <c:pt idx="115">
                  <c:v>April 25</c:v>
                </c:pt>
                <c:pt idx="116">
                  <c:v>April 26</c:v>
                </c:pt>
                <c:pt idx="117">
                  <c:v>April 27</c:v>
                </c:pt>
                <c:pt idx="118">
                  <c:v>April 28</c:v>
                </c:pt>
                <c:pt idx="119">
                  <c:v>April 29</c:v>
                </c:pt>
                <c:pt idx="120">
                  <c:v>April 30</c:v>
                </c:pt>
                <c:pt idx="121">
                  <c:v>May 1</c:v>
                </c:pt>
                <c:pt idx="122">
                  <c:v>May 2</c:v>
                </c:pt>
                <c:pt idx="123">
                  <c:v>May 3</c:v>
                </c:pt>
                <c:pt idx="124">
                  <c:v>May 4</c:v>
                </c:pt>
                <c:pt idx="125">
                  <c:v>May 5</c:v>
                </c:pt>
                <c:pt idx="126">
                  <c:v>May 6</c:v>
                </c:pt>
                <c:pt idx="127">
                  <c:v>May 7</c:v>
                </c:pt>
                <c:pt idx="128">
                  <c:v>May 8</c:v>
                </c:pt>
                <c:pt idx="129">
                  <c:v>May 9</c:v>
                </c:pt>
                <c:pt idx="130">
                  <c:v>May 10</c:v>
                </c:pt>
                <c:pt idx="131">
                  <c:v>May 11</c:v>
                </c:pt>
                <c:pt idx="132">
                  <c:v>May 12</c:v>
                </c:pt>
                <c:pt idx="133">
                  <c:v>May 13</c:v>
                </c:pt>
                <c:pt idx="134">
                  <c:v>May 14</c:v>
                </c:pt>
                <c:pt idx="135">
                  <c:v>May 15</c:v>
                </c:pt>
                <c:pt idx="136">
                  <c:v>May 16</c:v>
                </c:pt>
                <c:pt idx="137">
                  <c:v>May 17</c:v>
                </c:pt>
                <c:pt idx="138">
                  <c:v>May 18</c:v>
                </c:pt>
                <c:pt idx="139">
                  <c:v>May 19</c:v>
                </c:pt>
                <c:pt idx="140">
                  <c:v>May 20</c:v>
                </c:pt>
                <c:pt idx="141">
                  <c:v>May 21</c:v>
                </c:pt>
                <c:pt idx="142">
                  <c:v>May 22</c:v>
                </c:pt>
                <c:pt idx="143">
                  <c:v>May 23</c:v>
                </c:pt>
                <c:pt idx="144">
                  <c:v>May 24</c:v>
                </c:pt>
                <c:pt idx="145">
                  <c:v>May 25</c:v>
                </c:pt>
                <c:pt idx="146">
                  <c:v>May 26</c:v>
                </c:pt>
                <c:pt idx="147">
                  <c:v>May 27</c:v>
                </c:pt>
                <c:pt idx="148">
                  <c:v>May 28</c:v>
                </c:pt>
                <c:pt idx="149">
                  <c:v>May 29</c:v>
                </c:pt>
                <c:pt idx="150">
                  <c:v>May 30</c:v>
                </c:pt>
                <c:pt idx="151">
                  <c:v>May 31</c:v>
                </c:pt>
                <c:pt idx="152">
                  <c:v>June 1</c:v>
                </c:pt>
                <c:pt idx="153">
                  <c:v>June 2</c:v>
                </c:pt>
                <c:pt idx="154">
                  <c:v>June 3</c:v>
                </c:pt>
                <c:pt idx="155">
                  <c:v>June 4</c:v>
                </c:pt>
                <c:pt idx="156">
                  <c:v>June 5</c:v>
                </c:pt>
                <c:pt idx="157">
                  <c:v>June 6</c:v>
                </c:pt>
                <c:pt idx="158">
                  <c:v>June 7</c:v>
                </c:pt>
                <c:pt idx="159">
                  <c:v>June 8</c:v>
                </c:pt>
                <c:pt idx="160">
                  <c:v>June 9</c:v>
                </c:pt>
                <c:pt idx="161">
                  <c:v>June 10</c:v>
                </c:pt>
                <c:pt idx="162">
                  <c:v>June 11</c:v>
                </c:pt>
                <c:pt idx="163">
                  <c:v>June 12</c:v>
                </c:pt>
                <c:pt idx="164">
                  <c:v>June 13</c:v>
                </c:pt>
                <c:pt idx="165">
                  <c:v>June 14</c:v>
                </c:pt>
                <c:pt idx="166">
                  <c:v>June 15</c:v>
                </c:pt>
                <c:pt idx="167">
                  <c:v>June 16</c:v>
                </c:pt>
                <c:pt idx="168">
                  <c:v>June 17</c:v>
                </c:pt>
                <c:pt idx="169">
                  <c:v>June 18</c:v>
                </c:pt>
                <c:pt idx="170">
                  <c:v>June 19</c:v>
                </c:pt>
                <c:pt idx="171">
                  <c:v>June 20</c:v>
                </c:pt>
                <c:pt idx="172">
                  <c:v>June 21</c:v>
                </c:pt>
                <c:pt idx="173">
                  <c:v>June 22</c:v>
                </c:pt>
                <c:pt idx="174">
                  <c:v>June 23</c:v>
                </c:pt>
                <c:pt idx="175">
                  <c:v>June 24</c:v>
                </c:pt>
                <c:pt idx="176">
                  <c:v>June 25</c:v>
                </c:pt>
                <c:pt idx="177">
                  <c:v>June 26</c:v>
                </c:pt>
                <c:pt idx="178">
                  <c:v>June 27</c:v>
                </c:pt>
                <c:pt idx="179">
                  <c:v>June 28</c:v>
                </c:pt>
                <c:pt idx="180">
                  <c:v>June 29</c:v>
                </c:pt>
                <c:pt idx="181">
                  <c:v>June 30</c:v>
                </c:pt>
                <c:pt idx="182">
                  <c:v>July 1</c:v>
                </c:pt>
                <c:pt idx="183">
                  <c:v>July 2</c:v>
                </c:pt>
                <c:pt idx="184">
                  <c:v>July 3</c:v>
                </c:pt>
                <c:pt idx="185">
                  <c:v>July 4</c:v>
                </c:pt>
                <c:pt idx="186">
                  <c:v>July 5</c:v>
                </c:pt>
                <c:pt idx="187">
                  <c:v>July 6</c:v>
                </c:pt>
                <c:pt idx="188">
                  <c:v>July 7</c:v>
                </c:pt>
                <c:pt idx="189">
                  <c:v>July 8</c:v>
                </c:pt>
                <c:pt idx="190">
                  <c:v>July 9</c:v>
                </c:pt>
                <c:pt idx="191">
                  <c:v>July 10</c:v>
                </c:pt>
                <c:pt idx="192">
                  <c:v>July 11</c:v>
                </c:pt>
                <c:pt idx="193">
                  <c:v>July 12</c:v>
                </c:pt>
                <c:pt idx="194">
                  <c:v>July 13</c:v>
                </c:pt>
                <c:pt idx="195">
                  <c:v>July 14</c:v>
                </c:pt>
                <c:pt idx="196">
                  <c:v>July 15</c:v>
                </c:pt>
                <c:pt idx="197">
                  <c:v>July 16</c:v>
                </c:pt>
                <c:pt idx="198">
                  <c:v>July 17</c:v>
                </c:pt>
                <c:pt idx="199">
                  <c:v>July 18</c:v>
                </c:pt>
                <c:pt idx="200">
                  <c:v>July 19</c:v>
                </c:pt>
                <c:pt idx="201">
                  <c:v>July 20</c:v>
                </c:pt>
                <c:pt idx="202">
                  <c:v>July 21</c:v>
                </c:pt>
                <c:pt idx="203">
                  <c:v>July 22</c:v>
                </c:pt>
                <c:pt idx="204">
                  <c:v>July 23</c:v>
                </c:pt>
                <c:pt idx="205">
                  <c:v>July 24</c:v>
                </c:pt>
                <c:pt idx="206">
                  <c:v>July 25</c:v>
                </c:pt>
                <c:pt idx="207">
                  <c:v>July 26</c:v>
                </c:pt>
                <c:pt idx="208">
                  <c:v>July 27</c:v>
                </c:pt>
                <c:pt idx="209">
                  <c:v>July 28</c:v>
                </c:pt>
                <c:pt idx="210">
                  <c:v>July 29</c:v>
                </c:pt>
                <c:pt idx="211">
                  <c:v>July 30</c:v>
                </c:pt>
                <c:pt idx="212">
                  <c:v>July 31</c:v>
                </c:pt>
                <c:pt idx="213">
                  <c:v>August 1</c:v>
                </c:pt>
                <c:pt idx="214">
                  <c:v>August 2</c:v>
                </c:pt>
                <c:pt idx="215">
                  <c:v>August 3</c:v>
                </c:pt>
                <c:pt idx="216">
                  <c:v>August 4</c:v>
                </c:pt>
                <c:pt idx="217">
                  <c:v>August 5</c:v>
                </c:pt>
                <c:pt idx="218">
                  <c:v>August 6</c:v>
                </c:pt>
                <c:pt idx="219">
                  <c:v>August 7</c:v>
                </c:pt>
                <c:pt idx="220">
                  <c:v>August 8</c:v>
                </c:pt>
                <c:pt idx="221">
                  <c:v>August 9</c:v>
                </c:pt>
                <c:pt idx="222">
                  <c:v>August 10</c:v>
                </c:pt>
                <c:pt idx="223">
                  <c:v>August 11</c:v>
                </c:pt>
                <c:pt idx="224">
                  <c:v>August 12</c:v>
                </c:pt>
                <c:pt idx="225">
                  <c:v>August 13</c:v>
                </c:pt>
                <c:pt idx="226">
                  <c:v>August 14</c:v>
                </c:pt>
                <c:pt idx="227">
                  <c:v>August 15</c:v>
                </c:pt>
                <c:pt idx="228">
                  <c:v>August 16</c:v>
                </c:pt>
                <c:pt idx="229">
                  <c:v>August 17</c:v>
                </c:pt>
                <c:pt idx="230">
                  <c:v>August 18</c:v>
                </c:pt>
                <c:pt idx="231">
                  <c:v>August 19</c:v>
                </c:pt>
                <c:pt idx="232">
                  <c:v>August 20</c:v>
                </c:pt>
                <c:pt idx="233">
                  <c:v>August 21</c:v>
                </c:pt>
                <c:pt idx="234">
                  <c:v>August 22</c:v>
                </c:pt>
                <c:pt idx="235">
                  <c:v>August 23</c:v>
                </c:pt>
                <c:pt idx="236">
                  <c:v>August 24</c:v>
                </c:pt>
                <c:pt idx="237">
                  <c:v>August 25</c:v>
                </c:pt>
                <c:pt idx="238">
                  <c:v>August 26</c:v>
                </c:pt>
                <c:pt idx="239">
                  <c:v>August 27</c:v>
                </c:pt>
                <c:pt idx="240">
                  <c:v>August 28</c:v>
                </c:pt>
                <c:pt idx="241">
                  <c:v>August 29</c:v>
                </c:pt>
                <c:pt idx="242">
                  <c:v>August 30</c:v>
                </c:pt>
                <c:pt idx="243">
                  <c:v>August 31</c:v>
                </c:pt>
                <c:pt idx="244">
                  <c:v>September 1</c:v>
                </c:pt>
                <c:pt idx="245">
                  <c:v>September 2</c:v>
                </c:pt>
                <c:pt idx="246">
                  <c:v>September 3</c:v>
                </c:pt>
                <c:pt idx="247">
                  <c:v>September 4</c:v>
                </c:pt>
                <c:pt idx="248">
                  <c:v>September 5</c:v>
                </c:pt>
                <c:pt idx="249">
                  <c:v>September 6</c:v>
                </c:pt>
                <c:pt idx="250">
                  <c:v>September 7</c:v>
                </c:pt>
                <c:pt idx="251">
                  <c:v>September 8</c:v>
                </c:pt>
                <c:pt idx="252">
                  <c:v>September 9</c:v>
                </c:pt>
                <c:pt idx="253">
                  <c:v>September 10</c:v>
                </c:pt>
                <c:pt idx="254">
                  <c:v>September 11</c:v>
                </c:pt>
                <c:pt idx="255">
                  <c:v>September 12</c:v>
                </c:pt>
                <c:pt idx="256">
                  <c:v>September 13</c:v>
                </c:pt>
                <c:pt idx="257">
                  <c:v>September 14</c:v>
                </c:pt>
                <c:pt idx="258">
                  <c:v>September 15</c:v>
                </c:pt>
                <c:pt idx="259">
                  <c:v>September 16</c:v>
                </c:pt>
                <c:pt idx="260">
                  <c:v>September 17</c:v>
                </c:pt>
                <c:pt idx="261">
                  <c:v>September 18</c:v>
                </c:pt>
                <c:pt idx="262">
                  <c:v>September 19</c:v>
                </c:pt>
                <c:pt idx="263">
                  <c:v>September 20</c:v>
                </c:pt>
                <c:pt idx="264">
                  <c:v>September 21</c:v>
                </c:pt>
                <c:pt idx="265">
                  <c:v>September 22</c:v>
                </c:pt>
                <c:pt idx="266">
                  <c:v>September 23</c:v>
                </c:pt>
                <c:pt idx="267">
                  <c:v>September 24</c:v>
                </c:pt>
                <c:pt idx="268">
                  <c:v>September 25</c:v>
                </c:pt>
                <c:pt idx="269">
                  <c:v>September 26</c:v>
                </c:pt>
                <c:pt idx="270">
                  <c:v>September 27</c:v>
                </c:pt>
                <c:pt idx="271">
                  <c:v>September 28</c:v>
                </c:pt>
                <c:pt idx="272">
                  <c:v>September 29</c:v>
                </c:pt>
                <c:pt idx="273">
                  <c:v>September 30</c:v>
                </c:pt>
                <c:pt idx="274">
                  <c:v>October 1</c:v>
                </c:pt>
                <c:pt idx="275">
                  <c:v>October 2</c:v>
                </c:pt>
                <c:pt idx="276">
                  <c:v>October 3</c:v>
                </c:pt>
                <c:pt idx="277">
                  <c:v>October 4</c:v>
                </c:pt>
                <c:pt idx="278">
                  <c:v>October 5</c:v>
                </c:pt>
                <c:pt idx="279">
                  <c:v>October 6</c:v>
                </c:pt>
                <c:pt idx="280">
                  <c:v>October 7</c:v>
                </c:pt>
                <c:pt idx="281">
                  <c:v>October 8</c:v>
                </c:pt>
                <c:pt idx="282">
                  <c:v>October 9</c:v>
                </c:pt>
                <c:pt idx="283">
                  <c:v>October 10</c:v>
                </c:pt>
                <c:pt idx="284">
                  <c:v>October 11</c:v>
                </c:pt>
                <c:pt idx="285">
                  <c:v>October 12</c:v>
                </c:pt>
                <c:pt idx="286">
                  <c:v>October 13</c:v>
                </c:pt>
                <c:pt idx="287">
                  <c:v>October 14</c:v>
                </c:pt>
                <c:pt idx="288">
                  <c:v>October 15</c:v>
                </c:pt>
                <c:pt idx="289">
                  <c:v>October 16</c:v>
                </c:pt>
                <c:pt idx="290">
                  <c:v>October 17</c:v>
                </c:pt>
                <c:pt idx="291">
                  <c:v>October 18</c:v>
                </c:pt>
                <c:pt idx="292">
                  <c:v>October 19</c:v>
                </c:pt>
                <c:pt idx="293">
                  <c:v>October 20</c:v>
                </c:pt>
                <c:pt idx="294">
                  <c:v>October 21</c:v>
                </c:pt>
                <c:pt idx="295">
                  <c:v>October 22</c:v>
                </c:pt>
                <c:pt idx="296">
                  <c:v>October 23</c:v>
                </c:pt>
                <c:pt idx="297">
                  <c:v>October 24</c:v>
                </c:pt>
                <c:pt idx="298">
                  <c:v>October 25</c:v>
                </c:pt>
                <c:pt idx="299">
                  <c:v>October 26</c:v>
                </c:pt>
                <c:pt idx="300">
                  <c:v>October 27</c:v>
                </c:pt>
                <c:pt idx="301">
                  <c:v>October 28</c:v>
                </c:pt>
                <c:pt idx="302">
                  <c:v>October 29</c:v>
                </c:pt>
                <c:pt idx="303">
                  <c:v>October 30</c:v>
                </c:pt>
                <c:pt idx="304">
                  <c:v>October 31</c:v>
                </c:pt>
                <c:pt idx="305">
                  <c:v>November 1</c:v>
                </c:pt>
                <c:pt idx="306">
                  <c:v>November 2</c:v>
                </c:pt>
                <c:pt idx="307">
                  <c:v>November 3</c:v>
                </c:pt>
                <c:pt idx="308">
                  <c:v>November 4</c:v>
                </c:pt>
                <c:pt idx="309">
                  <c:v>November 5</c:v>
                </c:pt>
                <c:pt idx="310">
                  <c:v>November 6</c:v>
                </c:pt>
                <c:pt idx="311">
                  <c:v>November 7</c:v>
                </c:pt>
                <c:pt idx="312">
                  <c:v>November 8</c:v>
                </c:pt>
                <c:pt idx="313">
                  <c:v>November 9</c:v>
                </c:pt>
                <c:pt idx="314">
                  <c:v>November 10</c:v>
                </c:pt>
                <c:pt idx="315">
                  <c:v>November 11</c:v>
                </c:pt>
                <c:pt idx="316">
                  <c:v>November 12</c:v>
                </c:pt>
                <c:pt idx="317">
                  <c:v>November 13</c:v>
                </c:pt>
                <c:pt idx="318">
                  <c:v>November 14</c:v>
                </c:pt>
                <c:pt idx="319">
                  <c:v>November 15</c:v>
                </c:pt>
                <c:pt idx="320">
                  <c:v>November 16</c:v>
                </c:pt>
                <c:pt idx="321">
                  <c:v>November 17</c:v>
                </c:pt>
                <c:pt idx="322">
                  <c:v>November 18</c:v>
                </c:pt>
                <c:pt idx="323">
                  <c:v>November 19</c:v>
                </c:pt>
                <c:pt idx="324">
                  <c:v>November 20</c:v>
                </c:pt>
                <c:pt idx="325">
                  <c:v>November 21</c:v>
                </c:pt>
                <c:pt idx="326">
                  <c:v>November 22</c:v>
                </c:pt>
                <c:pt idx="327">
                  <c:v>November 23</c:v>
                </c:pt>
                <c:pt idx="328">
                  <c:v>November 24</c:v>
                </c:pt>
                <c:pt idx="329">
                  <c:v>November 25</c:v>
                </c:pt>
                <c:pt idx="330">
                  <c:v>November 26</c:v>
                </c:pt>
                <c:pt idx="331">
                  <c:v>November 27</c:v>
                </c:pt>
                <c:pt idx="332">
                  <c:v>November 28</c:v>
                </c:pt>
                <c:pt idx="333">
                  <c:v>November 29</c:v>
                </c:pt>
                <c:pt idx="334">
                  <c:v>November 30</c:v>
                </c:pt>
                <c:pt idx="335">
                  <c:v>December 1</c:v>
                </c:pt>
                <c:pt idx="336">
                  <c:v>December 2</c:v>
                </c:pt>
                <c:pt idx="337">
                  <c:v>December 3</c:v>
                </c:pt>
                <c:pt idx="338">
                  <c:v>December 4</c:v>
                </c:pt>
                <c:pt idx="339">
                  <c:v>December 5</c:v>
                </c:pt>
                <c:pt idx="340">
                  <c:v>December 6</c:v>
                </c:pt>
                <c:pt idx="341">
                  <c:v>December 7</c:v>
                </c:pt>
                <c:pt idx="342">
                  <c:v>December 8</c:v>
                </c:pt>
                <c:pt idx="343">
                  <c:v>December 9</c:v>
                </c:pt>
                <c:pt idx="344">
                  <c:v>December 10</c:v>
                </c:pt>
                <c:pt idx="345">
                  <c:v>December 11</c:v>
                </c:pt>
                <c:pt idx="346">
                  <c:v>December 12</c:v>
                </c:pt>
                <c:pt idx="347">
                  <c:v>December 13</c:v>
                </c:pt>
                <c:pt idx="348">
                  <c:v>December 14</c:v>
                </c:pt>
                <c:pt idx="349">
                  <c:v>December 15</c:v>
                </c:pt>
                <c:pt idx="350">
                  <c:v>December 16</c:v>
                </c:pt>
                <c:pt idx="351">
                  <c:v>December 17</c:v>
                </c:pt>
                <c:pt idx="352">
                  <c:v>December 18</c:v>
                </c:pt>
                <c:pt idx="353">
                  <c:v>December 19</c:v>
                </c:pt>
                <c:pt idx="354">
                  <c:v>December 20</c:v>
                </c:pt>
                <c:pt idx="355">
                  <c:v>December 21</c:v>
                </c:pt>
                <c:pt idx="356">
                  <c:v>December 22</c:v>
                </c:pt>
                <c:pt idx="357">
                  <c:v>December 23</c:v>
                </c:pt>
                <c:pt idx="358">
                  <c:v>December 24</c:v>
                </c:pt>
                <c:pt idx="359">
                  <c:v>December 25</c:v>
                </c:pt>
                <c:pt idx="360">
                  <c:v>December 26</c:v>
                </c:pt>
                <c:pt idx="361">
                  <c:v>December 27</c:v>
                </c:pt>
                <c:pt idx="362">
                  <c:v>December 28</c:v>
                </c:pt>
                <c:pt idx="363">
                  <c:v>December 29</c:v>
                </c:pt>
                <c:pt idx="364">
                  <c:v>December 30</c:v>
                </c:pt>
                <c:pt idx="365">
                  <c:v>December 31</c:v>
                </c:pt>
              </c:strCache>
            </c:strRef>
          </c:cat>
          <c:val>
            <c:numRef>
              <c:f>List1!$D$376:$D$741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3</c:v>
                </c:pt>
                <c:pt idx="118">
                  <c:v>3</c:v>
                </c:pt>
                <c:pt idx="119">
                  <c:v>3</c:v>
                </c:pt>
                <c:pt idx="120">
                  <c:v>3</c:v>
                </c:pt>
                <c:pt idx="121">
                  <c:v>4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5</c:v>
                </c:pt>
                <c:pt idx="129">
                  <c:v>5</c:v>
                </c:pt>
                <c:pt idx="130">
                  <c:v>5</c:v>
                </c:pt>
                <c:pt idx="131">
                  <c:v>5</c:v>
                </c:pt>
                <c:pt idx="132">
                  <c:v>5</c:v>
                </c:pt>
                <c:pt idx="133">
                  <c:v>5</c:v>
                </c:pt>
                <c:pt idx="134">
                  <c:v>5</c:v>
                </c:pt>
                <c:pt idx="135">
                  <c:v>5</c:v>
                </c:pt>
                <c:pt idx="136">
                  <c:v>5</c:v>
                </c:pt>
                <c:pt idx="137">
                  <c:v>5</c:v>
                </c:pt>
                <c:pt idx="138">
                  <c:v>5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7</c:v>
                </c:pt>
                <c:pt idx="144">
                  <c:v>8</c:v>
                </c:pt>
                <c:pt idx="145">
                  <c:v>8</c:v>
                </c:pt>
                <c:pt idx="146">
                  <c:v>8</c:v>
                </c:pt>
                <c:pt idx="147">
                  <c:v>9</c:v>
                </c:pt>
                <c:pt idx="148">
                  <c:v>9</c:v>
                </c:pt>
                <c:pt idx="149">
                  <c:v>9</c:v>
                </c:pt>
                <c:pt idx="150">
                  <c:v>9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9</c:v>
                </c:pt>
                <c:pt idx="156">
                  <c:v>9</c:v>
                </c:pt>
                <c:pt idx="157">
                  <c:v>9</c:v>
                </c:pt>
                <c:pt idx="158">
                  <c:v>10</c:v>
                </c:pt>
                <c:pt idx="159">
                  <c:v>10</c:v>
                </c:pt>
                <c:pt idx="160">
                  <c:v>10</c:v>
                </c:pt>
                <c:pt idx="161">
                  <c:v>10</c:v>
                </c:pt>
                <c:pt idx="162">
                  <c:v>10</c:v>
                </c:pt>
                <c:pt idx="163">
                  <c:v>10</c:v>
                </c:pt>
                <c:pt idx="164">
                  <c:v>10</c:v>
                </c:pt>
                <c:pt idx="165">
                  <c:v>10</c:v>
                </c:pt>
                <c:pt idx="166">
                  <c:v>10</c:v>
                </c:pt>
                <c:pt idx="167">
                  <c:v>11</c:v>
                </c:pt>
                <c:pt idx="168">
                  <c:v>11</c:v>
                </c:pt>
                <c:pt idx="169">
                  <c:v>11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12</c:v>
                </c:pt>
                <c:pt idx="174">
                  <c:v>12</c:v>
                </c:pt>
                <c:pt idx="175">
                  <c:v>12</c:v>
                </c:pt>
                <c:pt idx="176">
                  <c:v>12</c:v>
                </c:pt>
                <c:pt idx="177">
                  <c:v>12</c:v>
                </c:pt>
                <c:pt idx="178">
                  <c:v>12</c:v>
                </c:pt>
                <c:pt idx="179">
                  <c:v>12</c:v>
                </c:pt>
                <c:pt idx="180">
                  <c:v>12</c:v>
                </c:pt>
                <c:pt idx="181">
                  <c:v>12</c:v>
                </c:pt>
                <c:pt idx="182">
                  <c:v>13</c:v>
                </c:pt>
                <c:pt idx="183">
                  <c:v>14</c:v>
                </c:pt>
                <c:pt idx="184">
                  <c:v>15</c:v>
                </c:pt>
                <c:pt idx="185">
                  <c:v>15</c:v>
                </c:pt>
                <c:pt idx="186">
                  <c:v>16</c:v>
                </c:pt>
                <c:pt idx="187">
                  <c:v>16</c:v>
                </c:pt>
                <c:pt idx="188">
                  <c:v>16</c:v>
                </c:pt>
                <c:pt idx="189">
                  <c:v>16</c:v>
                </c:pt>
                <c:pt idx="190">
                  <c:v>16</c:v>
                </c:pt>
                <c:pt idx="191">
                  <c:v>17</c:v>
                </c:pt>
                <c:pt idx="192">
                  <c:v>17</c:v>
                </c:pt>
                <c:pt idx="193">
                  <c:v>18</c:v>
                </c:pt>
                <c:pt idx="194">
                  <c:v>18</c:v>
                </c:pt>
                <c:pt idx="195">
                  <c:v>18</c:v>
                </c:pt>
                <c:pt idx="196">
                  <c:v>19</c:v>
                </c:pt>
                <c:pt idx="197">
                  <c:v>19</c:v>
                </c:pt>
                <c:pt idx="198">
                  <c:v>19</c:v>
                </c:pt>
                <c:pt idx="199">
                  <c:v>19</c:v>
                </c:pt>
                <c:pt idx="200">
                  <c:v>19</c:v>
                </c:pt>
                <c:pt idx="201">
                  <c:v>19</c:v>
                </c:pt>
                <c:pt idx="202">
                  <c:v>20</c:v>
                </c:pt>
                <c:pt idx="203">
                  <c:v>20</c:v>
                </c:pt>
                <c:pt idx="204">
                  <c:v>20</c:v>
                </c:pt>
                <c:pt idx="205">
                  <c:v>20</c:v>
                </c:pt>
                <c:pt idx="206">
                  <c:v>20</c:v>
                </c:pt>
                <c:pt idx="207">
                  <c:v>20</c:v>
                </c:pt>
                <c:pt idx="208">
                  <c:v>20</c:v>
                </c:pt>
                <c:pt idx="209">
                  <c:v>20</c:v>
                </c:pt>
                <c:pt idx="210">
                  <c:v>20</c:v>
                </c:pt>
                <c:pt idx="211">
                  <c:v>21</c:v>
                </c:pt>
                <c:pt idx="212">
                  <c:v>21</c:v>
                </c:pt>
                <c:pt idx="213">
                  <c:v>21</c:v>
                </c:pt>
                <c:pt idx="214">
                  <c:v>22</c:v>
                </c:pt>
                <c:pt idx="215">
                  <c:v>22</c:v>
                </c:pt>
                <c:pt idx="216">
                  <c:v>23</c:v>
                </c:pt>
                <c:pt idx="217">
                  <c:v>23</c:v>
                </c:pt>
                <c:pt idx="218">
                  <c:v>23</c:v>
                </c:pt>
                <c:pt idx="219">
                  <c:v>23</c:v>
                </c:pt>
                <c:pt idx="220">
                  <c:v>23</c:v>
                </c:pt>
                <c:pt idx="221">
                  <c:v>23</c:v>
                </c:pt>
                <c:pt idx="222">
                  <c:v>23</c:v>
                </c:pt>
                <c:pt idx="223">
                  <c:v>23</c:v>
                </c:pt>
                <c:pt idx="224">
                  <c:v>23</c:v>
                </c:pt>
                <c:pt idx="225">
                  <c:v>23</c:v>
                </c:pt>
                <c:pt idx="226">
                  <c:v>23</c:v>
                </c:pt>
                <c:pt idx="227">
                  <c:v>23</c:v>
                </c:pt>
                <c:pt idx="228">
                  <c:v>23</c:v>
                </c:pt>
                <c:pt idx="229">
                  <c:v>23</c:v>
                </c:pt>
                <c:pt idx="230">
                  <c:v>23</c:v>
                </c:pt>
                <c:pt idx="231">
                  <c:v>23</c:v>
                </c:pt>
                <c:pt idx="232">
                  <c:v>23</c:v>
                </c:pt>
                <c:pt idx="233">
                  <c:v>23</c:v>
                </c:pt>
                <c:pt idx="234">
                  <c:v>23</c:v>
                </c:pt>
                <c:pt idx="235">
                  <c:v>23</c:v>
                </c:pt>
                <c:pt idx="236">
                  <c:v>23</c:v>
                </c:pt>
                <c:pt idx="237">
                  <c:v>23</c:v>
                </c:pt>
                <c:pt idx="238">
                  <c:v>23</c:v>
                </c:pt>
                <c:pt idx="239">
                  <c:v>23</c:v>
                </c:pt>
                <c:pt idx="240">
                  <c:v>23</c:v>
                </c:pt>
                <c:pt idx="241">
                  <c:v>23</c:v>
                </c:pt>
                <c:pt idx="242">
                  <c:v>24</c:v>
                </c:pt>
                <c:pt idx="243">
                  <c:v>24</c:v>
                </c:pt>
                <c:pt idx="244">
                  <c:v>24</c:v>
                </c:pt>
                <c:pt idx="245">
                  <c:v>24</c:v>
                </c:pt>
                <c:pt idx="246">
                  <c:v>24</c:v>
                </c:pt>
                <c:pt idx="247">
                  <c:v>24</c:v>
                </c:pt>
                <c:pt idx="248">
                  <c:v>24</c:v>
                </c:pt>
                <c:pt idx="249">
                  <c:v>25</c:v>
                </c:pt>
                <c:pt idx="250">
                  <c:v>25</c:v>
                </c:pt>
                <c:pt idx="251">
                  <c:v>26</c:v>
                </c:pt>
                <c:pt idx="252">
                  <c:v>26</c:v>
                </c:pt>
                <c:pt idx="253">
                  <c:v>26</c:v>
                </c:pt>
                <c:pt idx="254">
                  <c:v>26</c:v>
                </c:pt>
                <c:pt idx="255">
                  <c:v>26</c:v>
                </c:pt>
                <c:pt idx="256">
                  <c:v>26</c:v>
                </c:pt>
                <c:pt idx="257">
                  <c:v>26</c:v>
                </c:pt>
                <c:pt idx="258">
                  <c:v>26</c:v>
                </c:pt>
                <c:pt idx="259">
                  <c:v>26</c:v>
                </c:pt>
                <c:pt idx="260">
                  <c:v>26</c:v>
                </c:pt>
                <c:pt idx="261">
                  <c:v>26</c:v>
                </c:pt>
                <c:pt idx="262">
                  <c:v>27</c:v>
                </c:pt>
                <c:pt idx="263">
                  <c:v>28</c:v>
                </c:pt>
                <c:pt idx="264">
                  <c:v>28</c:v>
                </c:pt>
                <c:pt idx="265">
                  <c:v>28</c:v>
                </c:pt>
                <c:pt idx="266">
                  <c:v>28</c:v>
                </c:pt>
                <c:pt idx="267">
                  <c:v>28</c:v>
                </c:pt>
                <c:pt idx="268">
                  <c:v>28</c:v>
                </c:pt>
                <c:pt idx="269">
                  <c:v>28</c:v>
                </c:pt>
                <c:pt idx="270">
                  <c:v>28</c:v>
                </c:pt>
                <c:pt idx="271">
                  <c:v>28</c:v>
                </c:pt>
                <c:pt idx="272">
                  <c:v>28</c:v>
                </c:pt>
                <c:pt idx="273">
                  <c:v>28</c:v>
                </c:pt>
                <c:pt idx="274">
                  <c:v>29</c:v>
                </c:pt>
                <c:pt idx="275">
                  <c:v>29</c:v>
                </c:pt>
                <c:pt idx="276">
                  <c:v>29</c:v>
                </c:pt>
                <c:pt idx="277">
                  <c:v>29</c:v>
                </c:pt>
                <c:pt idx="278">
                  <c:v>29</c:v>
                </c:pt>
                <c:pt idx="279">
                  <c:v>29</c:v>
                </c:pt>
                <c:pt idx="280">
                  <c:v>29</c:v>
                </c:pt>
                <c:pt idx="281">
                  <c:v>29</c:v>
                </c:pt>
                <c:pt idx="282">
                  <c:v>29</c:v>
                </c:pt>
                <c:pt idx="283">
                  <c:v>29</c:v>
                </c:pt>
                <c:pt idx="284">
                  <c:v>29</c:v>
                </c:pt>
                <c:pt idx="285">
                  <c:v>29</c:v>
                </c:pt>
                <c:pt idx="286">
                  <c:v>29</c:v>
                </c:pt>
                <c:pt idx="287">
                  <c:v>29</c:v>
                </c:pt>
                <c:pt idx="288">
                  <c:v>29</c:v>
                </c:pt>
                <c:pt idx="289">
                  <c:v>29</c:v>
                </c:pt>
                <c:pt idx="290">
                  <c:v>29</c:v>
                </c:pt>
                <c:pt idx="291">
                  <c:v>29</c:v>
                </c:pt>
                <c:pt idx="292">
                  <c:v>29</c:v>
                </c:pt>
                <c:pt idx="293">
                  <c:v>29</c:v>
                </c:pt>
                <c:pt idx="294">
                  <c:v>29</c:v>
                </c:pt>
                <c:pt idx="295">
                  <c:v>29</c:v>
                </c:pt>
                <c:pt idx="296">
                  <c:v>29</c:v>
                </c:pt>
                <c:pt idx="297">
                  <c:v>29</c:v>
                </c:pt>
                <c:pt idx="298">
                  <c:v>29</c:v>
                </c:pt>
                <c:pt idx="299">
                  <c:v>29</c:v>
                </c:pt>
                <c:pt idx="300">
                  <c:v>29</c:v>
                </c:pt>
                <c:pt idx="301">
                  <c:v>29</c:v>
                </c:pt>
                <c:pt idx="302">
                  <c:v>29</c:v>
                </c:pt>
                <c:pt idx="303">
                  <c:v>29</c:v>
                </c:pt>
                <c:pt idx="304">
                  <c:v>29</c:v>
                </c:pt>
                <c:pt idx="305">
                  <c:v>29</c:v>
                </c:pt>
                <c:pt idx="306">
                  <c:v>29</c:v>
                </c:pt>
                <c:pt idx="307">
                  <c:v>29</c:v>
                </c:pt>
                <c:pt idx="308">
                  <c:v>29</c:v>
                </c:pt>
                <c:pt idx="309">
                  <c:v>29</c:v>
                </c:pt>
                <c:pt idx="310">
                  <c:v>29</c:v>
                </c:pt>
                <c:pt idx="311">
                  <c:v>29</c:v>
                </c:pt>
                <c:pt idx="312">
                  <c:v>29</c:v>
                </c:pt>
                <c:pt idx="313">
                  <c:v>29</c:v>
                </c:pt>
                <c:pt idx="314">
                  <c:v>29</c:v>
                </c:pt>
                <c:pt idx="315">
                  <c:v>29</c:v>
                </c:pt>
                <c:pt idx="316">
                  <c:v>29</c:v>
                </c:pt>
                <c:pt idx="317">
                  <c:v>29</c:v>
                </c:pt>
                <c:pt idx="318">
                  <c:v>29</c:v>
                </c:pt>
                <c:pt idx="319">
                  <c:v>29</c:v>
                </c:pt>
                <c:pt idx="320">
                  <c:v>29</c:v>
                </c:pt>
                <c:pt idx="321">
                  <c:v>29</c:v>
                </c:pt>
                <c:pt idx="322">
                  <c:v>29</c:v>
                </c:pt>
                <c:pt idx="323">
                  <c:v>29</c:v>
                </c:pt>
                <c:pt idx="324">
                  <c:v>29</c:v>
                </c:pt>
                <c:pt idx="325">
                  <c:v>29</c:v>
                </c:pt>
                <c:pt idx="326">
                  <c:v>29</c:v>
                </c:pt>
                <c:pt idx="327">
                  <c:v>29</c:v>
                </c:pt>
                <c:pt idx="328">
                  <c:v>29</c:v>
                </c:pt>
                <c:pt idx="329">
                  <c:v>29</c:v>
                </c:pt>
                <c:pt idx="330">
                  <c:v>29</c:v>
                </c:pt>
                <c:pt idx="331">
                  <c:v>29</c:v>
                </c:pt>
                <c:pt idx="332">
                  <c:v>29</c:v>
                </c:pt>
                <c:pt idx="333">
                  <c:v>29</c:v>
                </c:pt>
                <c:pt idx="334">
                  <c:v>29</c:v>
                </c:pt>
                <c:pt idx="335">
                  <c:v>29</c:v>
                </c:pt>
                <c:pt idx="336">
                  <c:v>29</c:v>
                </c:pt>
                <c:pt idx="337">
                  <c:v>29</c:v>
                </c:pt>
                <c:pt idx="338">
                  <c:v>29</c:v>
                </c:pt>
                <c:pt idx="339">
                  <c:v>29</c:v>
                </c:pt>
                <c:pt idx="340">
                  <c:v>29</c:v>
                </c:pt>
                <c:pt idx="341">
                  <c:v>29</c:v>
                </c:pt>
                <c:pt idx="342">
                  <c:v>29</c:v>
                </c:pt>
                <c:pt idx="343">
                  <c:v>29</c:v>
                </c:pt>
                <c:pt idx="344">
                  <c:v>29</c:v>
                </c:pt>
                <c:pt idx="345">
                  <c:v>29</c:v>
                </c:pt>
                <c:pt idx="346">
                  <c:v>29</c:v>
                </c:pt>
                <c:pt idx="347">
                  <c:v>29</c:v>
                </c:pt>
                <c:pt idx="348">
                  <c:v>29</c:v>
                </c:pt>
                <c:pt idx="349">
                  <c:v>29</c:v>
                </c:pt>
                <c:pt idx="350">
                  <c:v>29</c:v>
                </c:pt>
                <c:pt idx="351">
                  <c:v>29</c:v>
                </c:pt>
                <c:pt idx="352">
                  <c:v>29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29</c:v>
                </c:pt>
                <c:pt idx="357">
                  <c:v>29</c:v>
                </c:pt>
                <c:pt idx="358">
                  <c:v>29</c:v>
                </c:pt>
                <c:pt idx="359">
                  <c:v>29</c:v>
                </c:pt>
                <c:pt idx="360">
                  <c:v>29</c:v>
                </c:pt>
                <c:pt idx="361">
                  <c:v>29</c:v>
                </c:pt>
                <c:pt idx="362">
                  <c:v>29</c:v>
                </c:pt>
                <c:pt idx="363">
                  <c:v>29</c:v>
                </c:pt>
                <c:pt idx="364">
                  <c:v>29</c:v>
                </c:pt>
                <c:pt idx="365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F31-7C41-BE67-518BB11B14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9806965"/>
        <c:axId val="55108564"/>
      </c:lineChart>
      <c:catAx>
        <c:axId val="3980696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cs-CZ"/>
          </a:p>
        </c:txPr>
        <c:crossAx val="55108564"/>
        <c:crosses val="autoZero"/>
        <c:auto val="1"/>
        <c:lblAlgn val="ctr"/>
        <c:lblOffset val="100"/>
        <c:noMultiLvlLbl val="0"/>
      </c:catAx>
      <c:valAx>
        <c:axId val="5510856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  <a:endParaRPr lang="cs-CZ"/>
          </a:p>
        </c:txPr>
        <c:crossAx val="3980696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  <a:endParaRPr lang="cs-CZ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 /><Relationship Id="rId18" Type="http://schemas.openxmlformats.org/officeDocument/2006/relationships/chart" Target="../charts/chart18.xml" /><Relationship Id="rId26" Type="http://schemas.openxmlformats.org/officeDocument/2006/relationships/chart" Target="../charts/chart26.xml" /><Relationship Id="rId39" Type="http://schemas.openxmlformats.org/officeDocument/2006/relationships/chart" Target="../charts/chart39.xml" /><Relationship Id="rId3" Type="http://schemas.openxmlformats.org/officeDocument/2006/relationships/chart" Target="../charts/chart3.xml" /><Relationship Id="rId21" Type="http://schemas.openxmlformats.org/officeDocument/2006/relationships/chart" Target="../charts/chart21.xml" /><Relationship Id="rId34" Type="http://schemas.openxmlformats.org/officeDocument/2006/relationships/chart" Target="../charts/chart34.xml" /><Relationship Id="rId42" Type="http://schemas.openxmlformats.org/officeDocument/2006/relationships/chart" Target="../charts/chart42.xml" /><Relationship Id="rId47" Type="http://schemas.openxmlformats.org/officeDocument/2006/relationships/chart" Target="../charts/chart47.xml" /><Relationship Id="rId50" Type="http://schemas.openxmlformats.org/officeDocument/2006/relationships/chart" Target="../charts/chart50.xml" /><Relationship Id="rId7" Type="http://schemas.openxmlformats.org/officeDocument/2006/relationships/chart" Target="../charts/chart7.xml" /><Relationship Id="rId12" Type="http://schemas.openxmlformats.org/officeDocument/2006/relationships/chart" Target="../charts/chart12.xml" /><Relationship Id="rId17" Type="http://schemas.openxmlformats.org/officeDocument/2006/relationships/chart" Target="../charts/chart17.xml" /><Relationship Id="rId25" Type="http://schemas.openxmlformats.org/officeDocument/2006/relationships/chart" Target="../charts/chart25.xml" /><Relationship Id="rId33" Type="http://schemas.openxmlformats.org/officeDocument/2006/relationships/chart" Target="../charts/chart33.xml" /><Relationship Id="rId38" Type="http://schemas.openxmlformats.org/officeDocument/2006/relationships/chart" Target="../charts/chart38.xml" /><Relationship Id="rId46" Type="http://schemas.openxmlformats.org/officeDocument/2006/relationships/chart" Target="../charts/chart46.xml" /><Relationship Id="rId2" Type="http://schemas.openxmlformats.org/officeDocument/2006/relationships/chart" Target="../charts/chart2.xml" /><Relationship Id="rId16" Type="http://schemas.openxmlformats.org/officeDocument/2006/relationships/chart" Target="../charts/chart16.xml" /><Relationship Id="rId20" Type="http://schemas.openxmlformats.org/officeDocument/2006/relationships/chart" Target="../charts/chart20.xml" /><Relationship Id="rId29" Type="http://schemas.openxmlformats.org/officeDocument/2006/relationships/chart" Target="../charts/chart29.xml" /><Relationship Id="rId41" Type="http://schemas.openxmlformats.org/officeDocument/2006/relationships/chart" Target="../charts/chart41.xml" /><Relationship Id="rId54" Type="http://schemas.openxmlformats.org/officeDocument/2006/relationships/chart" Target="../charts/chart54.xml" /><Relationship Id="rId1" Type="http://schemas.openxmlformats.org/officeDocument/2006/relationships/chart" Target="../charts/chart1.xml" /><Relationship Id="rId6" Type="http://schemas.openxmlformats.org/officeDocument/2006/relationships/chart" Target="../charts/chart6.xml" /><Relationship Id="rId11" Type="http://schemas.openxmlformats.org/officeDocument/2006/relationships/chart" Target="../charts/chart11.xml" /><Relationship Id="rId24" Type="http://schemas.openxmlformats.org/officeDocument/2006/relationships/chart" Target="../charts/chart24.xml" /><Relationship Id="rId32" Type="http://schemas.openxmlformats.org/officeDocument/2006/relationships/chart" Target="../charts/chart32.xml" /><Relationship Id="rId37" Type="http://schemas.openxmlformats.org/officeDocument/2006/relationships/chart" Target="../charts/chart37.xml" /><Relationship Id="rId40" Type="http://schemas.openxmlformats.org/officeDocument/2006/relationships/chart" Target="../charts/chart40.xml" /><Relationship Id="rId45" Type="http://schemas.openxmlformats.org/officeDocument/2006/relationships/chart" Target="../charts/chart45.xml" /><Relationship Id="rId53" Type="http://schemas.openxmlformats.org/officeDocument/2006/relationships/chart" Target="../charts/chart53.xml" /><Relationship Id="rId5" Type="http://schemas.openxmlformats.org/officeDocument/2006/relationships/chart" Target="../charts/chart5.xml" /><Relationship Id="rId15" Type="http://schemas.openxmlformats.org/officeDocument/2006/relationships/chart" Target="../charts/chart15.xml" /><Relationship Id="rId23" Type="http://schemas.openxmlformats.org/officeDocument/2006/relationships/chart" Target="../charts/chart23.xml" /><Relationship Id="rId28" Type="http://schemas.openxmlformats.org/officeDocument/2006/relationships/chart" Target="../charts/chart28.xml" /><Relationship Id="rId36" Type="http://schemas.openxmlformats.org/officeDocument/2006/relationships/chart" Target="../charts/chart36.xml" /><Relationship Id="rId49" Type="http://schemas.openxmlformats.org/officeDocument/2006/relationships/chart" Target="../charts/chart49.xml" /><Relationship Id="rId10" Type="http://schemas.openxmlformats.org/officeDocument/2006/relationships/chart" Target="../charts/chart10.xml" /><Relationship Id="rId19" Type="http://schemas.openxmlformats.org/officeDocument/2006/relationships/chart" Target="../charts/chart19.xml" /><Relationship Id="rId31" Type="http://schemas.openxmlformats.org/officeDocument/2006/relationships/chart" Target="../charts/chart31.xml" /><Relationship Id="rId44" Type="http://schemas.openxmlformats.org/officeDocument/2006/relationships/chart" Target="../charts/chart44.xml" /><Relationship Id="rId52" Type="http://schemas.openxmlformats.org/officeDocument/2006/relationships/chart" Target="../charts/chart52.xml" /><Relationship Id="rId4" Type="http://schemas.openxmlformats.org/officeDocument/2006/relationships/chart" Target="../charts/chart4.xml" /><Relationship Id="rId9" Type="http://schemas.openxmlformats.org/officeDocument/2006/relationships/chart" Target="../charts/chart9.xml" /><Relationship Id="rId14" Type="http://schemas.openxmlformats.org/officeDocument/2006/relationships/chart" Target="../charts/chart14.xml" /><Relationship Id="rId22" Type="http://schemas.openxmlformats.org/officeDocument/2006/relationships/chart" Target="../charts/chart22.xml" /><Relationship Id="rId27" Type="http://schemas.openxmlformats.org/officeDocument/2006/relationships/chart" Target="../charts/chart27.xml" /><Relationship Id="rId30" Type="http://schemas.openxmlformats.org/officeDocument/2006/relationships/chart" Target="../charts/chart30.xml" /><Relationship Id="rId35" Type="http://schemas.openxmlformats.org/officeDocument/2006/relationships/chart" Target="../charts/chart35.xml" /><Relationship Id="rId43" Type="http://schemas.openxmlformats.org/officeDocument/2006/relationships/chart" Target="../charts/chart43.xml" /><Relationship Id="rId48" Type="http://schemas.openxmlformats.org/officeDocument/2006/relationships/chart" Target="../charts/chart48.xml" /><Relationship Id="rId8" Type="http://schemas.openxmlformats.org/officeDocument/2006/relationships/chart" Target="../charts/chart8.xml" /><Relationship Id="rId51" Type="http://schemas.openxmlformats.org/officeDocument/2006/relationships/chart" Target="../charts/chart51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35</xdr:col>
      <xdr:colOff>15480</xdr:colOff>
      <xdr:row>7</xdr:row>
      <xdr:rowOff>64440</xdr:rowOff>
    </xdr:from>
    <xdr:to>
      <xdr:col>52</xdr:col>
      <xdr:colOff>794160</xdr:colOff>
      <xdr:row>62</xdr:row>
      <xdr:rowOff>134280</xdr:rowOff>
    </xdr:to>
    <xdr:graphicFrame macro="">
      <xdr:nvGraphicFramePr>
        <xdr:cNvPr id="2" name="shap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35</xdr:col>
      <xdr:colOff>25200</xdr:colOff>
      <xdr:row>118</xdr:row>
      <xdr:rowOff>118440</xdr:rowOff>
    </xdr:from>
    <xdr:to>
      <xdr:col>53</xdr:col>
      <xdr:colOff>1080</xdr:colOff>
      <xdr:row>174</xdr:row>
      <xdr:rowOff>35280</xdr:rowOff>
    </xdr:to>
    <xdr:graphicFrame macro="">
      <xdr:nvGraphicFramePr>
        <xdr:cNvPr id="3" name="shap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35</xdr:col>
      <xdr:colOff>21240</xdr:colOff>
      <xdr:row>174</xdr:row>
      <xdr:rowOff>107280</xdr:rowOff>
    </xdr:from>
    <xdr:to>
      <xdr:col>52</xdr:col>
      <xdr:colOff>796320</xdr:colOff>
      <xdr:row>230</xdr:row>
      <xdr:rowOff>31680</xdr:rowOff>
    </xdr:to>
    <xdr:graphicFrame macro="">
      <xdr:nvGraphicFramePr>
        <xdr:cNvPr id="4" name="shap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68</xdr:col>
      <xdr:colOff>224280</xdr:colOff>
      <xdr:row>147</xdr:row>
      <xdr:rowOff>160920</xdr:rowOff>
    </xdr:from>
    <xdr:to>
      <xdr:col>83</xdr:col>
      <xdr:colOff>115200</xdr:colOff>
      <xdr:row>196</xdr:row>
      <xdr:rowOff>120600</xdr:rowOff>
    </xdr:to>
    <xdr:graphicFrame macro="">
      <xdr:nvGraphicFramePr>
        <xdr:cNvPr id="5" name="shap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53</xdr:col>
      <xdr:colOff>623520</xdr:colOff>
      <xdr:row>45</xdr:row>
      <xdr:rowOff>56520</xdr:rowOff>
    </xdr:from>
    <xdr:to>
      <xdr:col>69</xdr:col>
      <xdr:colOff>7920</xdr:colOff>
      <xdr:row>99</xdr:row>
      <xdr:rowOff>18000</xdr:rowOff>
    </xdr:to>
    <xdr:graphicFrame macro="">
      <xdr:nvGraphicFramePr>
        <xdr:cNvPr id="6" name="shap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68</xdr:col>
      <xdr:colOff>786240</xdr:colOff>
      <xdr:row>47</xdr:row>
      <xdr:rowOff>46800</xdr:rowOff>
    </xdr:from>
    <xdr:to>
      <xdr:col>83</xdr:col>
      <xdr:colOff>57240</xdr:colOff>
      <xdr:row>94</xdr:row>
      <xdr:rowOff>27360</xdr:rowOff>
    </xdr:to>
    <xdr:graphicFrame macro="">
      <xdr:nvGraphicFramePr>
        <xdr:cNvPr id="7" name="Graf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82</xdr:col>
      <xdr:colOff>742680</xdr:colOff>
      <xdr:row>37</xdr:row>
      <xdr:rowOff>133560</xdr:rowOff>
    </xdr:from>
    <xdr:to>
      <xdr:col>96</xdr:col>
      <xdr:colOff>809640</xdr:colOff>
      <xdr:row>73</xdr:row>
      <xdr:rowOff>53280</xdr:rowOff>
    </xdr:to>
    <xdr:graphicFrame macro="">
      <xdr:nvGraphicFramePr>
        <xdr:cNvPr id="8" name="Graf 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83</xdr:col>
      <xdr:colOff>29160</xdr:colOff>
      <xdr:row>73</xdr:row>
      <xdr:rowOff>17640</xdr:rowOff>
    </xdr:from>
    <xdr:to>
      <xdr:col>97</xdr:col>
      <xdr:colOff>76320</xdr:colOff>
      <xdr:row>108</xdr:row>
      <xdr:rowOff>104760</xdr:rowOff>
    </xdr:to>
    <xdr:graphicFrame macro="">
      <xdr:nvGraphicFramePr>
        <xdr:cNvPr id="9" name="Graf 9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83</xdr:col>
      <xdr:colOff>37800</xdr:colOff>
      <xdr:row>108</xdr:row>
      <xdr:rowOff>93600</xdr:rowOff>
    </xdr:from>
    <xdr:to>
      <xdr:col>97</xdr:col>
      <xdr:colOff>46800</xdr:colOff>
      <xdr:row>150</xdr:row>
      <xdr:rowOff>32760</xdr:rowOff>
    </xdr:to>
    <xdr:graphicFrame macro="">
      <xdr:nvGraphicFramePr>
        <xdr:cNvPr id="10" name="Graf 10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83</xdr:col>
      <xdr:colOff>61560</xdr:colOff>
      <xdr:row>150</xdr:row>
      <xdr:rowOff>12600</xdr:rowOff>
    </xdr:from>
    <xdr:to>
      <xdr:col>97</xdr:col>
      <xdr:colOff>46800</xdr:colOff>
      <xdr:row>187</xdr:row>
      <xdr:rowOff>81000</xdr:rowOff>
    </xdr:to>
    <xdr:graphicFrame macro="">
      <xdr:nvGraphicFramePr>
        <xdr:cNvPr id="11" name="Graf 1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83</xdr:col>
      <xdr:colOff>78120</xdr:colOff>
      <xdr:row>187</xdr:row>
      <xdr:rowOff>137880</xdr:rowOff>
    </xdr:from>
    <xdr:to>
      <xdr:col>97</xdr:col>
      <xdr:colOff>57240</xdr:colOff>
      <xdr:row>228</xdr:row>
      <xdr:rowOff>7920</xdr:rowOff>
    </xdr:to>
    <xdr:graphicFrame macro="">
      <xdr:nvGraphicFramePr>
        <xdr:cNvPr id="12" name="Graf 12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83</xdr:col>
      <xdr:colOff>51120</xdr:colOff>
      <xdr:row>227</xdr:row>
      <xdr:rowOff>138960</xdr:rowOff>
    </xdr:from>
    <xdr:to>
      <xdr:col>97</xdr:col>
      <xdr:colOff>70560</xdr:colOff>
      <xdr:row>273</xdr:row>
      <xdr:rowOff>6480</xdr:rowOff>
    </xdr:to>
    <xdr:graphicFrame macro="">
      <xdr:nvGraphicFramePr>
        <xdr:cNvPr id="13" name="Graf 1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96</xdr:col>
      <xdr:colOff>831960</xdr:colOff>
      <xdr:row>37</xdr:row>
      <xdr:rowOff>64440</xdr:rowOff>
    </xdr:from>
    <xdr:to>
      <xdr:col>113</xdr:col>
      <xdr:colOff>574560</xdr:colOff>
      <xdr:row>80</xdr:row>
      <xdr:rowOff>86400</xdr:rowOff>
    </xdr:to>
    <xdr:graphicFrame macro="">
      <xdr:nvGraphicFramePr>
        <xdr:cNvPr id="14" name="Graf 14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96</xdr:col>
      <xdr:colOff>783720</xdr:colOff>
      <xdr:row>79</xdr:row>
      <xdr:rowOff>144360</xdr:rowOff>
    </xdr:from>
    <xdr:to>
      <xdr:col>113</xdr:col>
      <xdr:colOff>565200</xdr:colOff>
      <xdr:row>120</xdr:row>
      <xdr:rowOff>145080</xdr:rowOff>
    </xdr:to>
    <xdr:graphicFrame macro="">
      <xdr:nvGraphicFramePr>
        <xdr:cNvPr id="15" name="Graf 15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96</xdr:col>
      <xdr:colOff>792000</xdr:colOff>
      <xdr:row>121</xdr:row>
      <xdr:rowOff>9000</xdr:rowOff>
    </xdr:from>
    <xdr:to>
      <xdr:col>113</xdr:col>
      <xdr:colOff>583560</xdr:colOff>
      <xdr:row>160</xdr:row>
      <xdr:rowOff>106560</xdr:rowOff>
    </xdr:to>
    <xdr:graphicFrame macro="">
      <xdr:nvGraphicFramePr>
        <xdr:cNvPr id="16" name="Graf 16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96</xdr:col>
      <xdr:colOff>808200</xdr:colOff>
      <xdr:row>161</xdr:row>
      <xdr:rowOff>2160</xdr:rowOff>
    </xdr:from>
    <xdr:to>
      <xdr:col>113</xdr:col>
      <xdr:colOff>583560</xdr:colOff>
      <xdr:row>200</xdr:row>
      <xdr:rowOff>74160</xdr:rowOff>
    </xdr:to>
    <xdr:graphicFrame macro="">
      <xdr:nvGraphicFramePr>
        <xdr:cNvPr id="17" name="Graf 17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96</xdr:col>
      <xdr:colOff>831960</xdr:colOff>
      <xdr:row>200</xdr:row>
      <xdr:rowOff>69840</xdr:rowOff>
    </xdr:from>
    <xdr:to>
      <xdr:col>113</xdr:col>
      <xdr:colOff>583560</xdr:colOff>
      <xdr:row>232</xdr:row>
      <xdr:rowOff>15840</xdr:rowOff>
    </xdr:to>
    <xdr:graphicFrame macro="">
      <xdr:nvGraphicFramePr>
        <xdr:cNvPr id="18" name="Graf 18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96</xdr:col>
      <xdr:colOff>833400</xdr:colOff>
      <xdr:row>231</xdr:row>
      <xdr:rowOff>135720</xdr:rowOff>
    </xdr:from>
    <xdr:to>
      <xdr:col>113</xdr:col>
      <xdr:colOff>565200</xdr:colOff>
      <xdr:row>272</xdr:row>
      <xdr:rowOff>125280</xdr:rowOff>
    </xdr:to>
    <xdr:graphicFrame macro="">
      <xdr:nvGraphicFramePr>
        <xdr:cNvPr id="19" name="Graf 19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 editAs="oneCell">
    <xdr:from>
      <xdr:col>98</xdr:col>
      <xdr:colOff>299880</xdr:colOff>
      <xdr:row>5</xdr:row>
      <xdr:rowOff>123840</xdr:rowOff>
    </xdr:from>
    <xdr:to>
      <xdr:col>111</xdr:col>
      <xdr:colOff>401760</xdr:colOff>
      <xdr:row>37</xdr:row>
      <xdr:rowOff>1080</xdr:rowOff>
    </xdr:to>
    <xdr:graphicFrame macro="">
      <xdr:nvGraphicFramePr>
        <xdr:cNvPr id="20" name="Graf 20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111</xdr:col>
      <xdr:colOff>375840</xdr:colOff>
      <xdr:row>5</xdr:row>
      <xdr:rowOff>151560</xdr:rowOff>
    </xdr:from>
    <xdr:to>
      <xdr:col>125</xdr:col>
      <xdr:colOff>276480</xdr:colOff>
      <xdr:row>37</xdr:row>
      <xdr:rowOff>86760</xdr:rowOff>
    </xdr:to>
    <xdr:graphicFrame macro="">
      <xdr:nvGraphicFramePr>
        <xdr:cNvPr id="21" name="Graf 21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 editAs="oneCell">
    <xdr:from>
      <xdr:col>68</xdr:col>
      <xdr:colOff>276480</xdr:colOff>
      <xdr:row>94</xdr:row>
      <xdr:rowOff>78840</xdr:rowOff>
    </xdr:from>
    <xdr:to>
      <xdr:col>83</xdr:col>
      <xdr:colOff>37440</xdr:colOff>
      <xdr:row>147</xdr:row>
      <xdr:rowOff>157320</xdr:rowOff>
    </xdr:to>
    <xdr:graphicFrame macro="">
      <xdr:nvGraphicFramePr>
        <xdr:cNvPr id="22" name="Graf 22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 editAs="oneCell">
    <xdr:from>
      <xdr:col>155</xdr:col>
      <xdr:colOff>5040</xdr:colOff>
      <xdr:row>74</xdr:row>
      <xdr:rowOff>68400</xdr:rowOff>
    </xdr:from>
    <xdr:to>
      <xdr:col>170</xdr:col>
      <xdr:colOff>524520</xdr:colOff>
      <xdr:row>106</xdr:row>
      <xdr:rowOff>1080</xdr:rowOff>
    </xdr:to>
    <xdr:graphicFrame macro="">
      <xdr:nvGraphicFramePr>
        <xdr:cNvPr id="23" name="Graf 23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 editAs="oneCell">
    <xdr:from>
      <xdr:col>170</xdr:col>
      <xdr:colOff>597600</xdr:colOff>
      <xdr:row>74</xdr:row>
      <xdr:rowOff>87120</xdr:rowOff>
    </xdr:from>
    <xdr:to>
      <xdr:col>185</xdr:col>
      <xdr:colOff>590040</xdr:colOff>
      <xdr:row>105</xdr:row>
      <xdr:rowOff>119880</xdr:rowOff>
    </xdr:to>
    <xdr:graphicFrame macro="">
      <xdr:nvGraphicFramePr>
        <xdr:cNvPr id="24" name="Graf 24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 editAs="oneCell">
    <xdr:from>
      <xdr:col>185</xdr:col>
      <xdr:colOff>574920</xdr:colOff>
      <xdr:row>74</xdr:row>
      <xdr:rowOff>91800</xdr:rowOff>
    </xdr:from>
    <xdr:to>
      <xdr:col>201</xdr:col>
      <xdr:colOff>561960</xdr:colOff>
      <xdr:row>105</xdr:row>
      <xdr:rowOff>138240</xdr:rowOff>
    </xdr:to>
    <xdr:graphicFrame macro="">
      <xdr:nvGraphicFramePr>
        <xdr:cNvPr id="25" name="Graf 25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 editAs="oneCell">
    <xdr:from>
      <xdr:col>201</xdr:col>
      <xdr:colOff>583200</xdr:colOff>
      <xdr:row>74</xdr:row>
      <xdr:rowOff>106560</xdr:rowOff>
    </xdr:from>
    <xdr:to>
      <xdr:col>217</xdr:col>
      <xdr:colOff>523800</xdr:colOff>
      <xdr:row>105</xdr:row>
      <xdr:rowOff>120960</xdr:rowOff>
    </xdr:to>
    <xdr:graphicFrame macro="">
      <xdr:nvGraphicFramePr>
        <xdr:cNvPr id="26" name="Graf 26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 editAs="oneCell">
    <xdr:from>
      <xdr:col>155</xdr:col>
      <xdr:colOff>10080</xdr:colOff>
      <xdr:row>106</xdr:row>
      <xdr:rowOff>23040</xdr:rowOff>
    </xdr:from>
    <xdr:to>
      <xdr:col>171</xdr:col>
      <xdr:colOff>12240</xdr:colOff>
      <xdr:row>136</xdr:row>
      <xdr:rowOff>143280</xdr:rowOff>
    </xdr:to>
    <xdr:graphicFrame macro="">
      <xdr:nvGraphicFramePr>
        <xdr:cNvPr id="27" name="Graf 27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 editAs="oneCell">
    <xdr:from>
      <xdr:col>170</xdr:col>
      <xdr:colOff>569160</xdr:colOff>
      <xdr:row>106</xdr:row>
      <xdr:rowOff>16200</xdr:rowOff>
    </xdr:from>
    <xdr:to>
      <xdr:col>185</xdr:col>
      <xdr:colOff>549720</xdr:colOff>
      <xdr:row>137</xdr:row>
      <xdr:rowOff>41040</xdr:rowOff>
    </xdr:to>
    <xdr:graphicFrame macro="">
      <xdr:nvGraphicFramePr>
        <xdr:cNvPr id="28" name="Graf 28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 editAs="oneCell">
    <xdr:from>
      <xdr:col>185</xdr:col>
      <xdr:colOff>524880</xdr:colOff>
      <xdr:row>105</xdr:row>
      <xdr:rowOff>130680</xdr:rowOff>
    </xdr:from>
    <xdr:to>
      <xdr:col>201</xdr:col>
      <xdr:colOff>531360</xdr:colOff>
      <xdr:row>137</xdr:row>
      <xdr:rowOff>15480</xdr:rowOff>
    </xdr:to>
    <xdr:graphicFrame macro="">
      <xdr:nvGraphicFramePr>
        <xdr:cNvPr id="29" name="Graf 29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 editAs="oneCell">
    <xdr:from>
      <xdr:col>201</xdr:col>
      <xdr:colOff>543240</xdr:colOff>
      <xdr:row>106</xdr:row>
      <xdr:rowOff>26640</xdr:rowOff>
    </xdr:from>
    <xdr:to>
      <xdr:col>217</xdr:col>
      <xdr:colOff>535680</xdr:colOff>
      <xdr:row>136</xdr:row>
      <xdr:rowOff>102960</xdr:rowOff>
    </xdr:to>
    <xdr:graphicFrame macro="">
      <xdr:nvGraphicFramePr>
        <xdr:cNvPr id="30" name="Graf 30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 editAs="oneCell">
    <xdr:from>
      <xdr:col>154</xdr:col>
      <xdr:colOff>615240</xdr:colOff>
      <xdr:row>136</xdr:row>
      <xdr:rowOff>102600</xdr:rowOff>
    </xdr:from>
    <xdr:to>
      <xdr:col>171</xdr:col>
      <xdr:colOff>29160</xdr:colOff>
      <xdr:row>167</xdr:row>
      <xdr:rowOff>124200</xdr:rowOff>
    </xdr:to>
    <xdr:graphicFrame macro="">
      <xdr:nvGraphicFramePr>
        <xdr:cNvPr id="31" name="Graf 31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 editAs="oneCell">
    <xdr:from>
      <xdr:col>170</xdr:col>
      <xdr:colOff>573840</xdr:colOff>
      <xdr:row>137</xdr:row>
      <xdr:rowOff>27000</xdr:rowOff>
    </xdr:from>
    <xdr:to>
      <xdr:col>186</xdr:col>
      <xdr:colOff>77760</xdr:colOff>
      <xdr:row>168</xdr:row>
      <xdr:rowOff>6480</xdr:rowOff>
    </xdr:to>
    <xdr:graphicFrame macro="">
      <xdr:nvGraphicFramePr>
        <xdr:cNvPr id="32" name="Graf 32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 editAs="oneCell">
    <xdr:from>
      <xdr:col>186</xdr:col>
      <xdr:colOff>33840</xdr:colOff>
      <xdr:row>137</xdr:row>
      <xdr:rowOff>-720</xdr:rowOff>
    </xdr:from>
    <xdr:to>
      <xdr:col>201</xdr:col>
      <xdr:colOff>595440</xdr:colOff>
      <xdr:row>168</xdr:row>
      <xdr:rowOff>19440</xdr:rowOff>
    </xdr:to>
    <xdr:graphicFrame macro="">
      <xdr:nvGraphicFramePr>
        <xdr:cNvPr id="33" name="Graf 33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 editAs="oneCell">
    <xdr:from>
      <xdr:col>201</xdr:col>
      <xdr:colOff>615600</xdr:colOff>
      <xdr:row>136</xdr:row>
      <xdr:rowOff>131400</xdr:rowOff>
    </xdr:from>
    <xdr:to>
      <xdr:col>217</xdr:col>
      <xdr:colOff>453240</xdr:colOff>
      <xdr:row>167</xdr:row>
      <xdr:rowOff>146880</xdr:rowOff>
    </xdr:to>
    <xdr:graphicFrame macro="">
      <xdr:nvGraphicFramePr>
        <xdr:cNvPr id="34" name="Graf 34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 editAs="oneCell">
    <xdr:from>
      <xdr:col>217</xdr:col>
      <xdr:colOff>486000</xdr:colOff>
      <xdr:row>74</xdr:row>
      <xdr:rowOff>84600</xdr:rowOff>
    </xdr:from>
    <xdr:to>
      <xdr:col>231</xdr:col>
      <xdr:colOff>305280</xdr:colOff>
      <xdr:row>103</xdr:row>
      <xdr:rowOff>141120</xdr:rowOff>
    </xdr:to>
    <xdr:graphicFrame macro="">
      <xdr:nvGraphicFramePr>
        <xdr:cNvPr id="35" name="Graf 35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217</xdr:col>
      <xdr:colOff>511920</xdr:colOff>
      <xdr:row>103</xdr:row>
      <xdr:rowOff>143640</xdr:rowOff>
    </xdr:from>
    <xdr:to>
      <xdr:col>231</xdr:col>
      <xdr:colOff>371160</xdr:colOff>
      <xdr:row>133</xdr:row>
      <xdr:rowOff>38520</xdr:rowOff>
    </xdr:to>
    <xdr:graphicFrame macro="">
      <xdr:nvGraphicFramePr>
        <xdr:cNvPr id="36" name="Graf 36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 editAs="oneCell">
    <xdr:from>
      <xdr:col>217</xdr:col>
      <xdr:colOff>419760</xdr:colOff>
      <xdr:row>133</xdr:row>
      <xdr:rowOff>0</xdr:rowOff>
    </xdr:from>
    <xdr:to>
      <xdr:col>231</xdr:col>
      <xdr:colOff>317160</xdr:colOff>
      <xdr:row>162</xdr:row>
      <xdr:rowOff>56520</xdr:rowOff>
    </xdr:to>
    <xdr:graphicFrame macro="">
      <xdr:nvGraphicFramePr>
        <xdr:cNvPr id="37" name="Graf 37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 editAs="oneCell">
    <xdr:from>
      <xdr:col>217</xdr:col>
      <xdr:colOff>490680</xdr:colOff>
      <xdr:row>162</xdr:row>
      <xdr:rowOff>24120</xdr:rowOff>
    </xdr:from>
    <xdr:to>
      <xdr:col>231</xdr:col>
      <xdr:colOff>388080</xdr:colOff>
      <xdr:row>191</xdr:row>
      <xdr:rowOff>80640</xdr:rowOff>
    </xdr:to>
    <xdr:graphicFrame macro="">
      <xdr:nvGraphicFramePr>
        <xdr:cNvPr id="38" name="Graf 38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 editAs="oneCell">
    <xdr:from>
      <xdr:col>115</xdr:col>
      <xdr:colOff>10080</xdr:colOff>
      <xdr:row>38</xdr:row>
      <xdr:rowOff>18000</xdr:rowOff>
    </xdr:from>
    <xdr:to>
      <xdr:col>131</xdr:col>
      <xdr:colOff>109080</xdr:colOff>
      <xdr:row>73</xdr:row>
      <xdr:rowOff>40320</xdr:rowOff>
    </xdr:to>
    <xdr:graphicFrame macro="">
      <xdr:nvGraphicFramePr>
        <xdr:cNvPr id="39" name="Graf 39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 editAs="oneCell">
    <xdr:from>
      <xdr:col>131</xdr:col>
      <xdr:colOff>31320</xdr:colOff>
      <xdr:row>38</xdr:row>
      <xdr:rowOff>83520</xdr:rowOff>
    </xdr:from>
    <xdr:to>
      <xdr:col>147</xdr:col>
      <xdr:colOff>503640</xdr:colOff>
      <xdr:row>72</xdr:row>
      <xdr:rowOff>138600</xdr:rowOff>
    </xdr:to>
    <xdr:graphicFrame macro="">
      <xdr:nvGraphicFramePr>
        <xdr:cNvPr id="40" name="Graf 40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 editAs="oneCell">
    <xdr:from>
      <xdr:col>115</xdr:col>
      <xdr:colOff>0</xdr:colOff>
      <xdr:row>72</xdr:row>
      <xdr:rowOff>159840</xdr:rowOff>
    </xdr:from>
    <xdr:to>
      <xdr:col>131</xdr:col>
      <xdr:colOff>92520</xdr:colOff>
      <xdr:row>104</xdr:row>
      <xdr:rowOff>6840</xdr:rowOff>
    </xdr:to>
    <xdr:graphicFrame macro="">
      <xdr:nvGraphicFramePr>
        <xdr:cNvPr id="41" name="Graf 41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 editAs="oneCell">
    <xdr:from>
      <xdr:col>115</xdr:col>
      <xdr:colOff>0</xdr:colOff>
      <xdr:row>104</xdr:row>
      <xdr:rowOff>17640</xdr:rowOff>
    </xdr:from>
    <xdr:to>
      <xdr:col>130</xdr:col>
      <xdr:colOff>536760</xdr:colOff>
      <xdr:row>135</xdr:row>
      <xdr:rowOff>88920</xdr:rowOff>
    </xdr:to>
    <xdr:graphicFrame macro="">
      <xdr:nvGraphicFramePr>
        <xdr:cNvPr id="42" name="Graf 42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 editAs="oneCell">
    <xdr:from>
      <xdr:col>115</xdr:col>
      <xdr:colOff>9000</xdr:colOff>
      <xdr:row>135</xdr:row>
      <xdr:rowOff>116640</xdr:rowOff>
    </xdr:from>
    <xdr:to>
      <xdr:col>130</xdr:col>
      <xdr:colOff>435960</xdr:colOff>
      <xdr:row>169</xdr:row>
      <xdr:rowOff>66960</xdr:rowOff>
    </xdr:to>
    <xdr:graphicFrame macro="">
      <xdr:nvGraphicFramePr>
        <xdr:cNvPr id="43" name="Graf 43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 editAs="oneCell">
    <xdr:from>
      <xdr:col>115</xdr:col>
      <xdr:colOff>9000</xdr:colOff>
      <xdr:row>169</xdr:row>
      <xdr:rowOff>65880</xdr:rowOff>
    </xdr:from>
    <xdr:to>
      <xdr:col>131</xdr:col>
      <xdr:colOff>720</xdr:colOff>
      <xdr:row>203</xdr:row>
      <xdr:rowOff>19800</xdr:rowOff>
    </xdr:to>
    <xdr:graphicFrame macro="">
      <xdr:nvGraphicFramePr>
        <xdr:cNvPr id="44" name="Graf 44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 editAs="oneCell">
    <xdr:from>
      <xdr:col>115</xdr:col>
      <xdr:colOff>9000</xdr:colOff>
      <xdr:row>202</xdr:row>
      <xdr:rowOff>144360</xdr:rowOff>
    </xdr:from>
    <xdr:to>
      <xdr:col>130</xdr:col>
      <xdr:colOff>374400</xdr:colOff>
      <xdr:row>236</xdr:row>
      <xdr:rowOff>40320</xdr:rowOff>
    </xdr:to>
    <xdr:graphicFrame macro="">
      <xdr:nvGraphicFramePr>
        <xdr:cNvPr id="45" name="Graf 45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 editAs="oneCell">
    <xdr:from>
      <xdr:col>131</xdr:col>
      <xdr:colOff>12600</xdr:colOff>
      <xdr:row>72</xdr:row>
      <xdr:rowOff>62280</xdr:rowOff>
    </xdr:from>
    <xdr:to>
      <xdr:col>147</xdr:col>
      <xdr:colOff>520920</xdr:colOff>
      <xdr:row>104</xdr:row>
      <xdr:rowOff>54720</xdr:rowOff>
    </xdr:to>
    <xdr:graphicFrame macro="">
      <xdr:nvGraphicFramePr>
        <xdr:cNvPr id="46" name="Graf 46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 editAs="oneCell">
    <xdr:from>
      <xdr:col>130</xdr:col>
      <xdr:colOff>500040</xdr:colOff>
      <xdr:row>104</xdr:row>
      <xdr:rowOff>53280</xdr:rowOff>
    </xdr:from>
    <xdr:to>
      <xdr:col>147</xdr:col>
      <xdr:colOff>493920</xdr:colOff>
      <xdr:row>136</xdr:row>
      <xdr:rowOff>75960</xdr:rowOff>
    </xdr:to>
    <xdr:graphicFrame macro="">
      <xdr:nvGraphicFramePr>
        <xdr:cNvPr id="47" name="Graf 47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 editAs="oneCell">
    <xdr:from>
      <xdr:col>130</xdr:col>
      <xdr:colOff>423000</xdr:colOff>
      <xdr:row>136</xdr:row>
      <xdr:rowOff>54360</xdr:rowOff>
    </xdr:from>
    <xdr:to>
      <xdr:col>147</xdr:col>
      <xdr:colOff>485640</xdr:colOff>
      <xdr:row>169</xdr:row>
      <xdr:rowOff>45360</xdr:rowOff>
    </xdr:to>
    <xdr:graphicFrame macro="">
      <xdr:nvGraphicFramePr>
        <xdr:cNvPr id="48" name="Graf 48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 editAs="oneCell">
    <xdr:from>
      <xdr:col>130</xdr:col>
      <xdr:colOff>583200</xdr:colOff>
      <xdr:row>169</xdr:row>
      <xdr:rowOff>77760</xdr:rowOff>
    </xdr:from>
    <xdr:to>
      <xdr:col>147</xdr:col>
      <xdr:colOff>601920</xdr:colOff>
      <xdr:row>202</xdr:row>
      <xdr:rowOff>28080</xdr:rowOff>
    </xdr:to>
    <xdr:graphicFrame macro="">
      <xdr:nvGraphicFramePr>
        <xdr:cNvPr id="49" name="Graf 49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 editAs="oneCell">
    <xdr:from>
      <xdr:col>130</xdr:col>
      <xdr:colOff>192960</xdr:colOff>
      <xdr:row>202</xdr:row>
      <xdr:rowOff>36000</xdr:rowOff>
    </xdr:from>
    <xdr:to>
      <xdr:col>147</xdr:col>
      <xdr:colOff>644040</xdr:colOff>
      <xdr:row>235</xdr:row>
      <xdr:rowOff>128160</xdr:rowOff>
    </xdr:to>
    <xdr:graphicFrame macro="">
      <xdr:nvGraphicFramePr>
        <xdr:cNvPr id="50" name="Graf 50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 editAs="oneCell">
    <xdr:from>
      <xdr:col>221</xdr:col>
      <xdr:colOff>618120</xdr:colOff>
      <xdr:row>38</xdr:row>
      <xdr:rowOff>75600</xdr:rowOff>
    </xdr:from>
    <xdr:to>
      <xdr:col>237</xdr:col>
      <xdr:colOff>518400</xdr:colOff>
      <xdr:row>74</xdr:row>
      <xdr:rowOff>1059</xdr:rowOff>
    </xdr:to>
    <xdr:graphicFrame macro="">
      <xdr:nvGraphicFramePr>
        <xdr:cNvPr id="51" name="Graf 51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 editAs="oneCell">
    <xdr:from>
      <xdr:col>35</xdr:col>
      <xdr:colOff>2880</xdr:colOff>
      <xdr:row>63</xdr:row>
      <xdr:rowOff>9360</xdr:rowOff>
    </xdr:from>
    <xdr:to>
      <xdr:col>52</xdr:col>
      <xdr:colOff>781560</xdr:colOff>
      <xdr:row>118</xdr:row>
      <xdr:rowOff>79200</xdr:rowOff>
    </xdr:to>
    <xdr:graphicFrame macro="">
      <xdr:nvGraphicFramePr>
        <xdr:cNvPr id="52" name="shape 2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 editAs="oneCell">
    <xdr:from>
      <xdr:col>53</xdr:col>
      <xdr:colOff>27720</xdr:colOff>
      <xdr:row>147</xdr:row>
      <xdr:rowOff>91440</xdr:rowOff>
    </xdr:from>
    <xdr:to>
      <xdr:col>68</xdr:col>
      <xdr:colOff>312120</xdr:colOff>
      <xdr:row>197</xdr:row>
      <xdr:rowOff>99360</xdr:rowOff>
    </xdr:to>
    <xdr:graphicFrame macro="">
      <xdr:nvGraphicFramePr>
        <xdr:cNvPr id="53" name="Graf 52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 editAs="oneCell">
    <xdr:from>
      <xdr:col>126</xdr:col>
      <xdr:colOff>185400</xdr:colOff>
      <xdr:row>1</xdr:row>
      <xdr:rowOff>46080</xdr:rowOff>
    </xdr:from>
    <xdr:to>
      <xdr:col>146</xdr:col>
      <xdr:colOff>18720</xdr:colOff>
      <xdr:row>38</xdr:row>
      <xdr:rowOff>19080</xdr:rowOff>
    </xdr:to>
    <xdr:graphicFrame macro="">
      <xdr:nvGraphicFramePr>
        <xdr:cNvPr id="54" name="Graf 5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 editAs="oneCell">
    <xdr:from>
      <xdr:col>35</xdr:col>
      <xdr:colOff>6840</xdr:colOff>
      <xdr:row>374</xdr:row>
      <xdr:rowOff>19080</xdr:rowOff>
    </xdr:from>
    <xdr:to>
      <xdr:col>52</xdr:col>
      <xdr:colOff>128520</xdr:colOff>
      <xdr:row>428</xdr:row>
      <xdr:rowOff>66600</xdr:rowOff>
    </xdr:to>
    <xdr:graphicFrame macro="">
      <xdr:nvGraphicFramePr>
        <xdr:cNvPr id="55" name="Graf 54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iv Office 2013–2022">
  <a:themeElements>
    <a:clrScheme name="Office 2013 –⁠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X741"/>
  <sheetViews>
    <sheetView tabSelected="1" topLeftCell="AD575" zoomScale="65" zoomScaleNormal="65" workbookViewId="0">
      <selection activeCell="AG598" sqref="AG598"/>
    </sheetView>
  </sheetViews>
  <sheetFormatPr defaultColWidth="9.16796875" defaultRowHeight="12.75" customHeight="1"/>
  <cols>
    <col min="1" max="1" width="12.9453125" style="1" customWidth="1"/>
    <col min="2" max="4" width="12.13671875" style="1" customWidth="1"/>
    <col min="5" max="34" width="12.13671875" style="2" customWidth="1"/>
    <col min="35" max="35" width="11.8671875" style="1" customWidth="1"/>
    <col min="36" max="36" width="13.34765625" style="1" customWidth="1"/>
    <col min="37" max="37" width="14.5625" style="1" customWidth="1"/>
    <col min="38" max="38" width="15.5078125" style="1" customWidth="1"/>
    <col min="39" max="39" width="15.37109375" style="1" customWidth="1"/>
    <col min="40" max="40" width="13.34765625" style="1" customWidth="1"/>
    <col min="41" max="41" width="14.6953125" style="1" customWidth="1"/>
    <col min="42" max="42" width="13.88671875" style="1" customWidth="1"/>
    <col min="43" max="43" width="11.32421875" style="1" customWidth="1"/>
    <col min="44" max="44" width="12.5390625" style="1" customWidth="1"/>
    <col min="45" max="45" width="12.40625" style="1" customWidth="1"/>
    <col min="46" max="52" width="12.13671875" style="1" customWidth="1"/>
    <col min="53" max="54" width="12" style="1" customWidth="1"/>
    <col min="55" max="57" width="12.13671875" style="1" customWidth="1"/>
    <col min="58" max="58" width="14.0234375" style="1" customWidth="1"/>
    <col min="59" max="59" width="15.5078125" style="1" customWidth="1"/>
    <col min="60" max="60" width="14.0234375" style="1" customWidth="1"/>
    <col min="61" max="61" width="14.42578125" style="1" customWidth="1"/>
    <col min="62" max="62" width="13.6171875" style="1" customWidth="1"/>
    <col min="63" max="63" width="14.15625" style="1" customWidth="1"/>
    <col min="64" max="64" width="16.98828125" style="1" customWidth="1"/>
    <col min="65" max="65" width="13.078125" style="1" customWidth="1"/>
    <col min="66" max="66" width="14.96875" style="1" customWidth="1"/>
    <col min="67" max="68" width="12" style="1" customWidth="1"/>
    <col min="69" max="69" width="12.13671875" style="1" customWidth="1"/>
    <col min="70" max="70" width="12.26953125" style="1" customWidth="1"/>
    <col min="71" max="71" width="16.71875" style="1" customWidth="1"/>
    <col min="72" max="72" width="17.2578125" style="1" customWidth="1"/>
    <col min="73" max="73" width="12.80859375" style="1" customWidth="1"/>
    <col min="74" max="74" width="12" style="1" customWidth="1"/>
    <col min="75" max="77" width="12.13671875" style="1" customWidth="1"/>
    <col min="78" max="79" width="12" style="1" customWidth="1"/>
    <col min="80" max="81" width="12.13671875" style="1" customWidth="1"/>
    <col min="82" max="82" width="12.80859375" style="1" customWidth="1"/>
    <col min="83" max="83" width="12.13671875" style="1" customWidth="1"/>
    <col min="84" max="84" width="14.0234375" style="1" customWidth="1"/>
    <col min="85" max="85" width="9.70703125" style="1" customWidth="1"/>
    <col min="86" max="87" width="10.65234375" style="1" customWidth="1"/>
    <col min="88" max="88" width="8.62890625" style="1" customWidth="1"/>
    <col min="89" max="91" width="9.16796875" style="1"/>
    <col min="92" max="92" width="8.76171875" style="1" customWidth="1"/>
    <col min="93" max="93" width="10.65234375" style="1" customWidth="1"/>
    <col min="94" max="94" width="12.26953125" style="1" customWidth="1"/>
    <col min="95" max="95" width="10.65234375" style="1" customWidth="1"/>
    <col min="96" max="96" width="12.13671875" style="1" customWidth="1"/>
    <col min="97" max="97" width="12.26953125" style="1" customWidth="1"/>
    <col min="98" max="98" width="10.11328125" style="1" customWidth="1"/>
    <col min="99" max="99" width="9.3046875" style="1" customWidth="1"/>
    <col min="100" max="100" width="9.16796875" style="1"/>
    <col min="101" max="101" width="9.9765625" style="1" customWidth="1"/>
    <col min="102" max="102" width="9.03515625" style="1" customWidth="1"/>
    <col min="103" max="103" width="9.57421875" style="1" customWidth="1"/>
    <col min="104" max="104" width="15.1015625" style="1" customWidth="1"/>
    <col min="105" max="113" width="9.16796875" style="1"/>
    <col min="114" max="114" width="8.8984375" style="1" customWidth="1"/>
    <col min="115" max="115" width="11.0546875" style="1" customWidth="1"/>
    <col min="116" max="116" width="10.65234375" style="1" customWidth="1"/>
    <col min="117" max="165" width="9.16796875" style="1"/>
    <col min="166" max="166" width="10.24609375" style="1" customWidth="1"/>
    <col min="167" max="16384" width="9.16796875" style="1"/>
  </cols>
  <sheetData>
    <row r="1" spans="1:122" ht="12.75" customHeight="1">
      <c r="A1" s="135" t="s">
        <v>0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5"/>
      <c r="AE1" s="135"/>
      <c r="AF1" s="135"/>
      <c r="AG1" s="135"/>
      <c r="AH1" s="135"/>
      <c r="AJ1" s="136" t="s">
        <v>1</v>
      </c>
      <c r="AK1" s="136"/>
      <c r="AL1" s="136"/>
      <c r="AM1" s="136"/>
      <c r="AN1" s="136"/>
      <c r="AO1" s="136"/>
      <c r="AQ1" s="137" t="s">
        <v>2</v>
      </c>
      <c r="AR1" s="137"/>
      <c r="AS1" s="137"/>
      <c r="AT1" s="137"/>
      <c r="AU1" s="137"/>
      <c r="AV1" s="137"/>
      <c r="BM1" s="3"/>
      <c r="BN1" s="3"/>
      <c r="BO1" s="3"/>
      <c r="BP1" s="3"/>
      <c r="BR1" s="3"/>
      <c r="BS1" s="3"/>
      <c r="BT1" s="3"/>
      <c r="BU1" s="3"/>
      <c r="BV1" s="3"/>
      <c r="BW1" s="3"/>
    </row>
    <row r="2" spans="1:122">
      <c r="A2" s="135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J2" s="136"/>
      <c r="AK2" s="136"/>
      <c r="AL2" s="136"/>
      <c r="AM2" s="136"/>
      <c r="AN2" s="136"/>
      <c r="AO2" s="136"/>
      <c r="AQ2" s="137"/>
      <c r="AR2" s="137"/>
      <c r="AS2" s="137"/>
      <c r="AT2" s="137"/>
      <c r="AU2" s="137"/>
      <c r="AV2" s="137"/>
      <c r="BM2" s="3"/>
      <c r="BN2" s="3"/>
      <c r="BO2" s="3"/>
      <c r="BP2" s="3"/>
      <c r="BR2" s="3"/>
      <c r="BS2" s="3"/>
      <c r="BT2" s="3"/>
      <c r="BU2" s="3"/>
      <c r="BV2" s="3"/>
      <c r="BW2" s="3"/>
    </row>
    <row r="3" spans="1:122" ht="12.75" customHeight="1">
      <c r="A3" s="135"/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  <c r="AD3" s="135"/>
      <c r="AE3" s="135"/>
      <c r="AF3" s="135"/>
      <c r="AG3" s="135"/>
      <c r="AH3" s="135"/>
      <c r="AJ3" s="138" t="s">
        <v>3</v>
      </c>
      <c r="AK3" s="139" t="s">
        <v>4</v>
      </c>
      <c r="AL3" s="139"/>
      <c r="AM3" s="139"/>
      <c r="AQ3" s="140" t="s">
        <v>5</v>
      </c>
      <c r="AR3" s="140"/>
      <c r="AS3" s="140"/>
      <c r="AT3" s="140"/>
      <c r="AU3" s="140"/>
      <c r="AV3" s="140"/>
      <c r="BM3" s="3"/>
      <c r="BN3" s="3"/>
      <c r="BO3" s="3"/>
      <c r="BP3" s="3"/>
      <c r="BR3" s="3"/>
      <c r="BS3" s="3"/>
      <c r="BT3" s="3"/>
      <c r="BU3" s="3"/>
      <c r="BV3" s="3"/>
      <c r="BW3" s="3"/>
      <c r="DM3" s="3"/>
      <c r="DN3" s="3"/>
      <c r="DO3" s="3"/>
      <c r="DP3" s="3"/>
      <c r="DQ3" s="3"/>
      <c r="DR3" s="3"/>
    </row>
    <row r="4" spans="1:122" ht="12.75" customHeight="1">
      <c r="A4" s="4" t="s">
        <v>6</v>
      </c>
      <c r="B4" s="5" t="s">
        <v>7</v>
      </c>
      <c r="C4" s="6" t="s">
        <v>8</v>
      </c>
      <c r="D4" s="7" t="s">
        <v>9</v>
      </c>
      <c r="E4" s="8">
        <v>1999</v>
      </c>
      <c r="F4" s="8">
        <v>2000</v>
      </c>
      <c r="G4" s="8">
        <v>2001</v>
      </c>
      <c r="H4" s="8">
        <v>2002</v>
      </c>
      <c r="I4" s="8">
        <v>2003</v>
      </c>
      <c r="J4" s="8">
        <v>2004</v>
      </c>
      <c r="K4" s="8">
        <v>2005</v>
      </c>
      <c r="L4" s="8">
        <v>2006</v>
      </c>
      <c r="M4" s="8">
        <v>2007</v>
      </c>
      <c r="N4" s="8">
        <v>2008</v>
      </c>
      <c r="O4" s="8">
        <v>2009</v>
      </c>
      <c r="P4" s="8">
        <v>2010</v>
      </c>
      <c r="Q4" s="8">
        <v>2011</v>
      </c>
      <c r="R4" s="8">
        <v>2012</v>
      </c>
      <c r="S4" s="8">
        <v>2013</v>
      </c>
      <c r="T4" s="8">
        <v>2014</v>
      </c>
      <c r="U4" s="8">
        <v>2015</v>
      </c>
      <c r="V4" s="8">
        <v>2016</v>
      </c>
      <c r="W4" s="8">
        <v>2017</v>
      </c>
      <c r="X4" s="8">
        <v>2018</v>
      </c>
      <c r="Y4" s="8">
        <v>2019</v>
      </c>
      <c r="Z4" s="8">
        <v>2020</v>
      </c>
      <c r="AA4" s="8">
        <v>2021</v>
      </c>
      <c r="AB4" s="8">
        <v>2022</v>
      </c>
      <c r="AC4" s="8">
        <v>2023</v>
      </c>
      <c r="AD4" s="8">
        <v>2024</v>
      </c>
      <c r="AE4" s="8">
        <v>2025</v>
      </c>
      <c r="AF4" s="8">
        <v>2026</v>
      </c>
      <c r="AG4" s="8">
        <v>2027</v>
      </c>
      <c r="AH4" s="8">
        <v>2028</v>
      </c>
      <c r="AJ4" s="138"/>
      <c r="AK4" s="141" t="s">
        <v>10</v>
      </c>
      <c r="AL4" s="141"/>
      <c r="AM4" s="141"/>
      <c r="AQ4" s="140"/>
      <c r="AR4" s="140"/>
      <c r="AS4" s="140"/>
      <c r="AT4" s="140"/>
      <c r="AU4" s="140"/>
      <c r="AV4" s="140"/>
      <c r="BM4" s="3"/>
      <c r="BN4" s="3"/>
      <c r="BO4" s="3"/>
      <c r="BP4" s="3"/>
      <c r="BR4" s="3"/>
      <c r="BS4" s="3"/>
      <c r="BT4" s="3"/>
      <c r="BU4" s="3"/>
      <c r="BV4" s="3"/>
      <c r="BW4" s="3"/>
      <c r="DM4" s="3"/>
      <c r="DN4" s="3"/>
      <c r="DO4" s="3"/>
      <c r="DP4" s="3"/>
      <c r="DQ4" s="3"/>
      <c r="DR4" s="3"/>
    </row>
    <row r="5" spans="1:122">
      <c r="A5" s="10" t="s">
        <v>11</v>
      </c>
      <c r="B5" s="11">
        <f>AVERAGE(E5:AE5)</f>
        <v>0</v>
      </c>
      <c r="C5" s="2">
        <f>MIN(E5:AE5)</f>
        <v>0</v>
      </c>
      <c r="D5" s="12">
        <f>MAX(E5:AE5)</f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0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/>
      <c r="AH5" s="13"/>
      <c r="AJ5" s="138"/>
      <c r="AK5" s="142" t="s">
        <v>12</v>
      </c>
      <c r="AL5" s="142"/>
      <c r="AM5" s="142"/>
      <c r="BM5" s="3"/>
      <c r="BN5" s="3"/>
      <c r="BO5" s="3"/>
      <c r="BP5" s="3"/>
      <c r="BR5" s="3"/>
      <c r="BS5" s="3"/>
      <c r="BT5" s="3"/>
      <c r="BU5" s="3"/>
      <c r="BV5" s="3"/>
      <c r="BW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DM5" s="3"/>
      <c r="DN5" s="3"/>
      <c r="DO5" s="3"/>
      <c r="DP5" s="3"/>
      <c r="DQ5" s="3"/>
      <c r="DR5" s="3"/>
    </row>
    <row r="6" spans="1:122">
      <c r="A6" s="10" t="s">
        <v>13</v>
      </c>
      <c r="B6" s="11">
        <f>AVERAGE(E6:AE6)</f>
        <v>0</v>
      </c>
      <c r="C6" s="2">
        <f>MIN(E6:AE6)</f>
        <v>0</v>
      </c>
      <c r="D6" s="12">
        <f>MAX(E6:AE6)</f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0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13">
        <v>0</v>
      </c>
      <c r="AF6" s="13">
        <v>0</v>
      </c>
      <c r="AG6" s="13"/>
      <c r="AH6" s="13"/>
      <c r="AJ6" s="143" t="s">
        <v>14</v>
      </c>
      <c r="AK6" s="143"/>
      <c r="AL6" s="143"/>
      <c r="AM6" s="143"/>
      <c r="AN6" s="143"/>
      <c r="BM6" s="3"/>
      <c r="BN6" s="3"/>
      <c r="BO6" s="3"/>
      <c r="BP6" s="3"/>
      <c r="BR6" s="3"/>
      <c r="BS6" s="3"/>
      <c r="BT6" s="3"/>
      <c r="BU6" s="3"/>
      <c r="BV6" s="3"/>
      <c r="BW6" s="3"/>
      <c r="DM6" s="3"/>
      <c r="DN6" s="3"/>
      <c r="DO6" s="3"/>
      <c r="DP6" s="3"/>
      <c r="DQ6" s="3"/>
      <c r="DR6" s="3"/>
    </row>
    <row r="7" spans="1:122">
      <c r="A7" s="10" t="s">
        <v>15</v>
      </c>
      <c r="B7" s="11">
        <f>AVERAGE(E7:AE7)</f>
        <v>3.7037037037037035E-2</v>
      </c>
      <c r="C7" s="2">
        <f>MIN(E7:AE7)</f>
        <v>0</v>
      </c>
      <c r="D7" s="12">
        <f>MAX(E7:AE7)</f>
        <v>1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3">
        <v>0</v>
      </c>
      <c r="O7" s="13">
        <v>0</v>
      </c>
      <c r="P7" s="13">
        <v>0</v>
      </c>
      <c r="Q7" s="13">
        <v>0</v>
      </c>
      <c r="R7" s="13">
        <v>0</v>
      </c>
      <c r="S7" s="13">
        <v>0</v>
      </c>
      <c r="T7" s="13">
        <v>0</v>
      </c>
      <c r="U7" s="13">
        <v>0</v>
      </c>
      <c r="V7" s="13">
        <v>0</v>
      </c>
      <c r="W7" s="13">
        <v>0</v>
      </c>
      <c r="X7" s="13">
        <v>1</v>
      </c>
      <c r="Y7" s="13">
        <v>0</v>
      </c>
      <c r="Z7" s="13">
        <v>0</v>
      </c>
      <c r="AA7" s="13">
        <v>0</v>
      </c>
      <c r="AB7" s="14">
        <v>0</v>
      </c>
      <c r="AC7" s="13">
        <v>0</v>
      </c>
      <c r="AD7" s="13">
        <v>0</v>
      </c>
      <c r="AE7" s="13">
        <v>0</v>
      </c>
      <c r="AF7" s="13">
        <v>0</v>
      </c>
      <c r="AG7" s="13"/>
      <c r="AH7" s="13"/>
      <c r="BD7" s="3"/>
      <c r="BE7" s="3"/>
      <c r="BF7" s="3"/>
      <c r="BG7" s="3"/>
      <c r="BH7" s="15" t="s">
        <v>16</v>
      </c>
      <c r="BI7" s="16" t="s">
        <v>17</v>
      </c>
      <c r="BJ7" s="17" t="s">
        <v>18</v>
      </c>
      <c r="BK7" s="18" t="s">
        <v>19</v>
      </c>
      <c r="BL7" s="19" t="s">
        <v>20</v>
      </c>
      <c r="BP7" s="2"/>
      <c r="BR7" s="3"/>
      <c r="BS7" s="3"/>
      <c r="BT7" s="3"/>
      <c r="BU7" s="3"/>
      <c r="BV7" s="3"/>
      <c r="BW7" s="3"/>
      <c r="CB7" s="131" t="s">
        <v>21</v>
      </c>
      <c r="CC7" s="131"/>
      <c r="CD7" s="131"/>
      <c r="CE7" s="131"/>
      <c r="CF7" s="131"/>
      <c r="CG7" s="20"/>
      <c r="CH7" s="8" t="s">
        <v>22</v>
      </c>
      <c r="CI7" s="8" t="s">
        <v>23</v>
      </c>
      <c r="CJ7" s="8" t="s">
        <v>24</v>
      </c>
      <c r="CK7" s="8" t="s">
        <v>25</v>
      </c>
      <c r="CL7" s="8" t="s">
        <v>26</v>
      </c>
      <c r="CM7" s="8" t="s">
        <v>27</v>
      </c>
      <c r="CN7" s="8" t="s">
        <v>28</v>
      </c>
      <c r="CO7" s="8" t="s">
        <v>29</v>
      </c>
      <c r="CP7" s="8" t="s">
        <v>30</v>
      </c>
      <c r="CQ7" s="8" t="s">
        <v>31</v>
      </c>
      <c r="CR7" s="8" t="s">
        <v>32</v>
      </c>
      <c r="CS7" s="8" t="s">
        <v>33</v>
      </c>
      <c r="CT7" s="2" t="s">
        <v>34</v>
      </c>
      <c r="DM7" s="3"/>
      <c r="DN7" s="3"/>
      <c r="DO7" s="3"/>
      <c r="DP7" s="3"/>
      <c r="DQ7" s="3"/>
      <c r="DR7" s="3"/>
    </row>
    <row r="8" spans="1:122">
      <c r="A8" s="10" t="s">
        <v>35</v>
      </c>
      <c r="B8" s="11">
        <f>AVERAGE(E8:AE8)</f>
        <v>7.407407407407407E-2</v>
      </c>
      <c r="C8" s="2">
        <f>MIN(E8:AE8)</f>
        <v>0</v>
      </c>
      <c r="D8" s="12">
        <f>MAX(E8:AE8)</f>
        <v>1</v>
      </c>
      <c r="E8" s="13">
        <v>0</v>
      </c>
      <c r="F8" s="13">
        <v>0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21">
        <v>1</v>
      </c>
      <c r="X8" s="13">
        <v>1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/>
      <c r="AH8" s="13"/>
      <c r="AJ8" s="22"/>
      <c r="AK8" s="22"/>
      <c r="AL8" s="22"/>
      <c r="AM8" s="22"/>
      <c r="AN8" s="22"/>
      <c r="AO8" s="22"/>
      <c r="AP8" s="22"/>
      <c r="AQ8" s="22"/>
      <c r="AR8" s="22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CG8" s="23">
        <v>1999</v>
      </c>
      <c r="CH8" s="13">
        <v>0</v>
      </c>
      <c r="CI8" s="13">
        <v>0</v>
      </c>
      <c r="CJ8" s="13">
        <v>0</v>
      </c>
      <c r="CK8" s="13">
        <v>1</v>
      </c>
      <c r="CL8" s="13">
        <v>6</v>
      </c>
      <c r="CM8" s="13">
        <v>4</v>
      </c>
      <c r="CN8" s="13">
        <v>5</v>
      </c>
      <c r="CO8" s="13">
        <v>1</v>
      </c>
      <c r="CP8" s="13">
        <v>3</v>
      </c>
      <c r="CQ8" s="13">
        <v>0</v>
      </c>
      <c r="CR8" s="13">
        <v>0</v>
      </c>
      <c r="CS8" s="13">
        <v>0</v>
      </c>
      <c r="CT8" s="2">
        <f>SUM(CH8:CS8)</f>
        <v>20</v>
      </c>
      <c r="DM8" s="3"/>
      <c r="DN8" s="3"/>
      <c r="DO8" s="3"/>
      <c r="DP8" s="3"/>
      <c r="DQ8" s="3"/>
      <c r="DR8" s="3"/>
    </row>
    <row r="9" spans="1:122">
      <c r="A9" s="10" t="s">
        <v>36</v>
      </c>
      <c r="B9" s="11">
        <f>AVERAGE(E9:AE9)</f>
        <v>0.1111111111111111</v>
      </c>
      <c r="C9" s="2">
        <f>MIN(E9:AE9)</f>
        <v>0</v>
      </c>
      <c r="D9" s="12">
        <f>MAX(E9:AE9)</f>
        <v>1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0</v>
      </c>
      <c r="P9" s="13">
        <v>0</v>
      </c>
      <c r="Q9" s="13">
        <v>0</v>
      </c>
      <c r="R9" s="21">
        <v>1</v>
      </c>
      <c r="S9" s="13">
        <v>0</v>
      </c>
      <c r="T9" s="13">
        <v>0</v>
      </c>
      <c r="U9" s="13">
        <v>0</v>
      </c>
      <c r="V9" s="13">
        <v>0</v>
      </c>
      <c r="W9" s="13">
        <v>1</v>
      </c>
      <c r="X9" s="13">
        <v>1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/>
      <c r="AH9" s="13"/>
      <c r="AJ9" s="22"/>
      <c r="AK9" s="22"/>
      <c r="AL9" s="22"/>
      <c r="AM9" s="22"/>
      <c r="AN9" s="22"/>
      <c r="AO9" s="22"/>
      <c r="AP9" s="22"/>
      <c r="AQ9" s="22"/>
      <c r="AR9" s="22"/>
      <c r="BD9" s="15" t="s">
        <v>37</v>
      </c>
      <c r="BE9" s="24"/>
      <c r="BF9" s="24"/>
      <c r="BG9" s="4" t="s">
        <v>38</v>
      </c>
      <c r="BH9" s="25"/>
      <c r="BI9" s="16" t="s">
        <v>17</v>
      </c>
      <c r="BJ9" s="26" t="s">
        <v>39</v>
      </c>
      <c r="BK9" s="27" t="s">
        <v>40</v>
      </c>
      <c r="BL9" s="19" t="s">
        <v>41</v>
      </c>
      <c r="BM9" s="3"/>
      <c r="BN9" s="28" t="s">
        <v>42</v>
      </c>
      <c r="BO9" s="29"/>
      <c r="BP9" s="29"/>
      <c r="BQ9" s="3"/>
      <c r="BR9" s="28" t="s">
        <v>43</v>
      </c>
      <c r="BS9" s="132" t="s">
        <v>44</v>
      </c>
      <c r="BT9" s="132"/>
      <c r="BU9" s="133" t="s">
        <v>45</v>
      </c>
      <c r="BV9" s="133"/>
      <c r="BW9" s="133"/>
      <c r="BX9" s="133"/>
      <c r="BY9" s="30">
        <v>0</v>
      </c>
      <c r="BZ9" s="134" t="s">
        <v>46</v>
      </c>
      <c r="CA9" s="134"/>
      <c r="CB9" s="31"/>
      <c r="CC9" s="32"/>
      <c r="CD9" s="32"/>
      <c r="CG9" s="23">
        <v>2000</v>
      </c>
      <c r="CH9" s="13">
        <v>0</v>
      </c>
      <c r="CI9" s="13">
        <v>0</v>
      </c>
      <c r="CJ9" s="13">
        <v>2</v>
      </c>
      <c r="CK9" s="13">
        <v>2</v>
      </c>
      <c r="CL9" s="13">
        <v>6</v>
      </c>
      <c r="CM9" s="13">
        <v>7</v>
      </c>
      <c r="CN9" s="13">
        <v>6</v>
      </c>
      <c r="CO9" s="13">
        <v>4</v>
      </c>
      <c r="CP9" s="13">
        <v>0</v>
      </c>
      <c r="CQ9" s="13">
        <v>0</v>
      </c>
      <c r="CR9" s="13">
        <v>1</v>
      </c>
      <c r="CS9" s="13">
        <v>0</v>
      </c>
      <c r="CT9" s="2">
        <f>SUM(CH9:CS9)</f>
        <v>28</v>
      </c>
      <c r="CU9" s="3"/>
      <c r="CV9" s="3"/>
      <c r="CW9" s="3"/>
      <c r="CX9" s="3"/>
      <c r="CY9" s="3"/>
      <c r="CZ9" s="3"/>
      <c r="DA9" s="3"/>
      <c r="DE9" s="3"/>
      <c r="DF9" s="3"/>
      <c r="DG9" s="3"/>
      <c r="DH9" s="3"/>
      <c r="DI9" s="3"/>
      <c r="DJ9" s="3"/>
      <c r="DM9" s="3"/>
      <c r="DN9" s="3"/>
      <c r="DO9" s="3"/>
      <c r="DP9" s="3"/>
      <c r="DQ9" s="3"/>
      <c r="DR9" s="3"/>
    </row>
    <row r="10" spans="1:122">
      <c r="A10" s="10" t="s">
        <v>47</v>
      </c>
      <c r="B10" s="11">
        <f>AVERAGE(E10:AE10)</f>
        <v>0.1111111111111111</v>
      </c>
      <c r="C10" s="2">
        <f>MIN(E10:AE10)</f>
        <v>0</v>
      </c>
      <c r="D10" s="12">
        <f>MAX(E10:AE10)</f>
        <v>1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0</v>
      </c>
      <c r="P10" s="13">
        <v>0</v>
      </c>
      <c r="Q10" s="13">
        <v>0</v>
      </c>
      <c r="R10" s="13">
        <v>1</v>
      </c>
      <c r="S10" s="13">
        <v>0</v>
      </c>
      <c r="T10" s="13">
        <v>0</v>
      </c>
      <c r="U10" s="13">
        <v>0</v>
      </c>
      <c r="V10" s="13">
        <v>0</v>
      </c>
      <c r="W10" s="13">
        <v>1</v>
      </c>
      <c r="X10" s="13">
        <v>1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/>
      <c r="AH10" s="13"/>
      <c r="AJ10" s="22"/>
      <c r="AK10" s="22"/>
      <c r="AL10" s="22"/>
      <c r="AM10" s="22"/>
      <c r="AN10" s="22"/>
      <c r="AO10" s="22"/>
      <c r="AP10" s="22"/>
      <c r="AQ10" s="22"/>
      <c r="AR10" s="22"/>
      <c r="BE10" s="23">
        <v>1999</v>
      </c>
      <c r="BF10" s="13">
        <v>20</v>
      </c>
      <c r="BH10" s="33">
        <v>1999</v>
      </c>
      <c r="BI10" s="34">
        <v>1</v>
      </c>
      <c r="BJ10" s="34">
        <v>1</v>
      </c>
      <c r="BK10" s="34">
        <v>0</v>
      </c>
      <c r="BL10" s="34">
        <v>9</v>
      </c>
      <c r="BM10" s="3"/>
      <c r="BN10" s="3"/>
      <c r="BO10" s="35">
        <v>1999</v>
      </c>
      <c r="BP10" s="36">
        <f>BF10-BL10</f>
        <v>11</v>
      </c>
      <c r="BQ10" s="3"/>
      <c r="BR10" s="3"/>
      <c r="BS10" s="127"/>
      <c r="BT10" s="127"/>
      <c r="BU10" s="128"/>
      <c r="BV10" s="128"/>
      <c r="BW10" s="128"/>
      <c r="BX10" s="128"/>
      <c r="BY10" s="37"/>
      <c r="BZ10" s="3"/>
      <c r="CA10" s="3"/>
      <c r="CB10" s="38">
        <v>1999</v>
      </c>
      <c r="CC10" s="39" t="str">
        <f>IFERROR("1 : " &amp; TEXT(BF10/BP10, "0,00"), "")</f>
        <v>1 : 1,82</v>
      </c>
      <c r="CD10" s="40">
        <f>IFERROR(BF10/BP10, "")</f>
        <v>1.8181818181818181</v>
      </c>
      <c r="CG10" s="23">
        <v>2001</v>
      </c>
      <c r="CH10" s="13">
        <v>0</v>
      </c>
      <c r="CI10" s="13">
        <v>0</v>
      </c>
      <c r="CJ10" s="13">
        <v>0</v>
      </c>
      <c r="CK10" s="13">
        <v>1</v>
      </c>
      <c r="CL10" s="13">
        <v>4</v>
      </c>
      <c r="CM10" s="13">
        <v>5</v>
      </c>
      <c r="CN10" s="13">
        <v>4</v>
      </c>
      <c r="CO10" s="13">
        <v>8</v>
      </c>
      <c r="CP10" s="13">
        <v>0</v>
      </c>
      <c r="CQ10" s="13">
        <v>0</v>
      </c>
      <c r="CR10" s="13">
        <v>0</v>
      </c>
      <c r="CS10" s="13">
        <v>0</v>
      </c>
      <c r="CT10" s="2">
        <f>SUM(CH10:CS10)</f>
        <v>22</v>
      </c>
      <c r="CU10" s="3"/>
      <c r="CV10" s="3"/>
      <c r="DE10" s="3"/>
      <c r="DF10" s="3"/>
      <c r="DG10" s="3"/>
      <c r="DH10" s="3"/>
      <c r="DI10" s="3"/>
      <c r="DJ10" s="3"/>
      <c r="DM10" s="3"/>
      <c r="DN10" s="3"/>
      <c r="DO10" s="3"/>
      <c r="DP10" s="3"/>
      <c r="DQ10" s="3"/>
      <c r="DR10" s="3"/>
    </row>
    <row r="11" spans="1:122">
      <c r="A11" s="10" t="s">
        <v>48</v>
      </c>
      <c r="B11" s="11">
        <f>AVERAGE(E11:AE11)</f>
        <v>0.1111111111111111</v>
      </c>
      <c r="C11" s="2">
        <f>MIN(E11:AE11)</f>
        <v>0</v>
      </c>
      <c r="D11" s="12">
        <f>MAX(E11:AE11)</f>
        <v>1</v>
      </c>
      <c r="E11" s="13">
        <v>0</v>
      </c>
      <c r="F11" s="13">
        <v>0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3">
        <v>0</v>
      </c>
      <c r="N11" s="13">
        <v>0</v>
      </c>
      <c r="O11" s="13">
        <v>0</v>
      </c>
      <c r="P11" s="13">
        <v>0</v>
      </c>
      <c r="Q11" s="13">
        <v>0</v>
      </c>
      <c r="R11" s="13">
        <v>1</v>
      </c>
      <c r="S11" s="13">
        <v>0</v>
      </c>
      <c r="T11" s="13">
        <v>0</v>
      </c>
      <c r="U11" s="13">
        <v>0</v>
      </c>
      <c r="V11" s="13">
        <v>0</v>
      </c>
      <c r="W11" s="13">
        <v>1</v>
      </c>
      <c r="X11" s="13">
        <v>1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13">
        <v>0</v>
      </c>
      <c r="AG11" s="13"/>
      <c r="AH11" s="13"/>
      <c r="AJ11" s="22"/>
      <c r="AK11" s="22"/>
      <c r="AL11" s="22"/>
      <c r="AM11" s="22"/>
      <c r="AN11" s="22"/>
      <c r="AO11" s="22"/>
      <c r="AP11" s="22"/>
      <c r="AQ11" s="22"/>
      <c r="AR11" s="22"/>
      <c r="BE11" s="23">
        <v>2000</v>
      </c>
      <c r="BF11" s="13">
        <v>28</v>
      </c>
      <c r="BH11" s="23">
        <v>2000</v>
      </c>
      <c r="BI11" s="13">
        <v>0</v>
      </c>
      <c r="BJ11" s="13">
        <v>1</v>
      </c>
      <c r="BK11" s="13">
        <v>0</v>
      </c>
      <c r="BL11" s="13">
        <v>15</v>
      </c>
      <c r="BM11" s="3"/>
      <c r="BN11" s="3"/>
      <c r="BO11" s="35">
        <v>2000</v>
      </c>
      <c r="BP11" s="36">
        <f>BF11-BL11</f>
        <v>13</v>
      </c>
      <c r="BQ11" s="3"/>
      <c r="BR11" s="3"/>
      <c r="BS11" s="126" t="s">
        <v>49</v>
      </c>
      <c r="BT11" s="126"/>
      <c r="BU11" s="120" t="s">
        <v>50</v>
      </c>
      <c r="BV11" s="120"/>
      <c r="BW11" s="120"/>
      <c r="BX11" s="120"/>
      <c r="BY11" s="37">
        <v>-1</v>
      </c>
      <c r="BZ11" s="3"/>
      <c r="CA11" s="3"/>
      <c r="CB11" s="41">
        <v>2000</v>
      </c>
      <c r="CC11" s="39" t="str">
        <f>IFERROR("1 : " &amp; TEXT(BF11/BP11, "0,00"), "")</f>
        <v>1 : 2,15</v>
      </c>
      <c r="CD11" s="42">
        <f>IFERROR(BF11/BP11, "")</f>
        <v>2.1538461538461537</v>
      </c>
      <c r="CG11" s="23">
        <v>2002</v>
      </c>
      <c r="CH11" s="13">
        <v>0</v>
      </c>
      <c r="CI11" s="13">
        <v>2</v>
      </c>
      <c r="CJ11" s="13">
        <v>0</v>
      </c>
      <c r="CK11" s="13">
        <v>1</v>
      </c>
      <c r="CL11" s="13">
        <v>5</v>
      </c>
      <c r="CM11" s="13">
        <v>4</v>
      </c>
      <c r="CN11" s="13">
        <v>7</v>
      </c>
      <c r="CO11" s="13">
        <v>6</v>
      </c>
      <c r="CP11" s="13">
        <v>5</v>
      </c>
      <c r="CQ11" s="13">
        <v>0</v>
      </c>
      <c r="CR11" s="13">
        <v>0</v>
      </c>
      <c r="CS11" s="13">
        <v>0</v>
      </c>
      <c r="CT11" s="2">
        <f>SUM(CH11:CS11)</f>
        <v>30</v>
      </c>
      <c r="CU11" s="3"/>
      <c r="CV11" s="3"/>
      <c r="DE11" s="3"/>
      <c r="DF11" s="3"/>
      <c r="DG11" s="3"/>
      <c r="DH11" s="3"/>
      <c r="DI11" s="3"/>
      <c r="DJ11" s="3"/>
      <c r="DM11" s="3"/>
      <c r="DN11" s="3"/>
      <c r="DO11" s="3"/>
      <c r="DP11" s="3"/>
      <c r="DQ11" s="3"/>
      <c r="DR11" s="3"/>
    </row>
    <row r="12" spans="1:122">
      <c r="A12" s="10" t="s">
        <v>51</v>
      </c>
      <c r="B12" s="11">
        <f>AVERAGE(E12:AE12)</f>
        <v>0.1111111111111111</v>
      </c>
      <c r="C12" s="2">
        <f>MIN(E12:AE12)</f>
        <v>0</v>
      </c>
      <c r="D12" s="12">
        <f>MAX(E12:AE12)</f>
        <v>1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3">
        <v>0</v>
      </c>
      <c r="N12" s="13">
        <v>0</v>
      </c>
      <c r="O12" s="13">
        <v>0</v>
      </c>
      <c r="P12" s="13">
        <v>0</v>
      </c>
      <c r="Q12" s="13">
        <v>0</v>
      </c>
      <c r="R12" s="13">
        <v>1</v>
      </c>
      <c r="S12" s="13">
        <v>0</v>
      </c>
      <c r="T12" s="13">
        <v>0</v>
      </c>
      <c r="U12" s="13">
        <v>0</v>
      </c>
      <c r="V12" s="13">
        <v>0</v>
      </c>
      <c r="W12" s="13">
        <v>1</v>
      </c>
      <c r="X12" s="13">
        <v>1</v>
      </c>
      <c r="Y12" s="14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/>
      <c r="AH12" s="13"/>
      <c r="AJ12" s="22"/>
      <c r="AK12" s="22"/>
      <c r="AL12" s="22"/>
      <c r="AM12" s="22"/>
      <c r="AN12" s="22"/>
      <c r="AO12" s="22"/>
      <c r="AP12" s="22"/>
      <c r="AQ12" s="22"/>
      <c r="AR12" s="22"/>
      <c r="BE12" s="23">
        <v>2001</v>
      </c>
      <c r="BF12" s="13">
        <v>22</v>
      </c>
      <c r="BH12" s="23">
        <v>2001</v>
      </c>
      <c r="BI12" s="13">
        <v>2</v>
      </c>
      <c r="BJ12" s="13">
        <v>1</v>
      </c>
      <c r="BK12" s="13">
        <v>0</v>
      </c>
      <c r="BL12" s="13">
        <v>8</v>
      </c>
      <c r="BM12" s="3"/>
      <c r="BN12" s="3"/>
      <c r="BO12" s="35">
        <v>2001</v>
      </c>
      <c r="BP12" s="36">
        <f>BF12-BL12</f>
        <v>14</v>
      </c>
      <c r="BQ12" s="3"/>
      <c r="BR12" s="3"/>
      <c r="BS12" s="126" t="s">
        <v>52</v>
      </c>
      <c r="BT12" s="126"/>
      <c r="BU12" s="120" t="s">
        <v>53</v>
      </c>
      <c r="BV12" s="120"/>
      <c r="BW12" s="120"/>
      <c r="BX12" s="120"/>
      <c r="BY12" s="37">
        <v>-2</v>
      </c>
      <c r="BZ12" s="3"/>
      <c r="CA12" s="3"/>
      <c r="CB12" s="41">
        <v>2001</v>
      </c>
      <c r="CC12" s="39" t="str">
        <f>IFERROR("1 : " &amp; TEXT(BF12/BP12, "0,00"), "")</f>
        <v>1 : 1,57</v>
      </c>
      <c r="CD12" s="42">
        <f>IFERROR(BF12/BP12, "")</f>
        <v>1.5714285714285714</v>
      </c>
      <c r="CG12" s="23">
        <v>2003</v>
      </c>
      <c r="CH12" s="13">
        <v>0</v>
      </c>
      <c r="CI12" s="13">
        <v>0</v>
      </c>
      <c r="CJ12" s="13">
        <v>0</v>
      </c>
      <c r="CK12" s="13">
        <v>1</v>
      </c>
      <c r="CL12" s="13">
        <v>7</v>
      </c>
      <c r="CM12" s="13">
        <v>7</v>
      </c>
      <c r="CN12" s="13">
        <v>10</v>
      </c>
      <c r="CO12" s="13">
        <v>4</v>
      </c>
      <c r="CP12" s="13">
        <v>0</v>
      </c>
      <c r="CQ12" s="13">
        <v>0</v>
      </c>
      <c r="CR12" s="13">
        <v>0</v>
      </c>
      <c r="CS12" s="13">
        <v>1</v>
      </c>
      <c r="CT12" s="2">
        <f>SUM(CH12:CS12)</f>
        <v>30</v>
      </c>
      <c r="CU12" s="3"/>
      <c r="CV12" s="3"/>
      <c r="DE12" s="3"/>
      <c r="DF12" s="3"/>
      <c r="DG12" s="3"/>
      <c r="DH12" s="3"/>
      <c r="DI12" s="3"/>
      <c r="DJ12" s="3"/>
      <c r="DM12" s="3"/>
      <c r="DN12" s="3"/>
      <c r="DO12" s="3"/>
      <c r="DP12" s="3"/>
      <c r="DQ12" s="3"/>
      <c r="DR12" s="3"/>
    </row>
    <row r="13" spans="1:122">
      <c r="A13" s="10" t="s">
        <v>54</v>
      </c>
      <c r="B13" s="11">
        <f>AVERAGE(E13:AE13)</f>
        <v>0.1111111111111111</v>
      </c>
      <c r="C13" s="2">
        <f>MIN(E13:AE13)</f>
        <v>0</v>
      </c>
      <c r="D13" s="12">
        <f>MAX(E13:AE13)</f>
        <v>1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3">
        <v>1</v>
      </c>
      <c r="S13" s="13">
        <v>0</v>
      </c>
      <c r="T13" s="13">
        <v>0</v>
      </c>
      <c r="U13" s="13">
        <v>0</v>
      </c>
      <c r="V13" s="13">
        <v>0</v>
      </c>
      <c r="W13" s="13">
        <v>1</v>
      </c>
      <c r="X13" s="13">
        <v>1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s="13"/>
      <c r="AH13" s="13"/>
      <c r="AJ13" s="22"/>
      <c r="AK13" s="22"/>
      <c r="AL13" s="22"/>
      <c r="AM13" s="22"/>
      <c r="AN13" s="22"/>
      <c r="AO13" s="22"/>
      <c r="AP13" s="22"/>
      <c r="AQ13" s="22"/>
      <c r="AR13" s="22"/>
      <c r="BE13" s="23">
        <v>2002</v>
      </c>
      <c r="BF13" s="13">
        <v>30</v>
      </c>
      <c r="BH13" s="23">
        <v>2002</v>
      </c>
      <c r="BI13" s="13">
        <v>2</v>
      </c>
      <c r="BJ13" s="13">
        <v>3</v>
      </c>
      <c r="BK13" s="13">
        <v>0</v>
      </c>
      <c r="BL13" s="13">
        <v>9</v>
      </c>
      <c r="BM13" s="3"/>
      <c r="BN13" s="3"/>
      <c r="BO13" s="35">
        <v>2002</v>
      </c>
      <c r="BP13" s="36">
        <f>BF13-BL13</f>
        <v>21</v>
      </c>
      <c r="BQ13" s="3"/>
      <c r="BR13" s="3"/>
      <c r="BS13" s="126" t="s">
        <v>55</v>
      </c>
      <c r="BT13" s="126"/>
      <c r="BU13" s="120" t="s">
        <v>56</v>
      </c>
      <c r="BV13" s="120"/>
      <c r="BW13" s="120"/>
      <c r="BX13" s="120"/>
      <c r="BY13" s="37">
        <v>-3</v>
      </c>
      <c r="BZ13" s="3"/>
      <c r="CA13" s="3"/>
      <c r="CB13" s="41">
        <v>2002</v>
      </c>
      <c r="CC13" s="39" t="str">
        <f>IFERROR("1 : " &amp; TEXT(BF13/BP13, "0,00"), "")</f>
        <v>1 : 1,43</v>
      </c>
      <c r="CD13" s="42">
        <f>IFERROR(BF13/BP13, "")</f>
        <v>1.4285714285714286</v>
      </c>
      <c r="CG13" s="23">
        <v>2004</v>
      </c>
      <c r="CH13" s="13">
        <v>0</v>
      </c>
      <c r="CI13" s="13">
        <v>0</v>
      </c>
      <c r="CJ13" s="13">
        <v>0</v>
      </c>
      <c r="CK13" s="13">
        <v>3</v>
      </c>
      <c r="CL13" s="13">
        <v>8</v>
      </c>
      <c r="CM13" s="13">
        <v>5</v>
      </c>
      <c r="CN13" s="13">
        <v>9</v>
      </c>
      <c r="CO13" s="13">
        <v>8</v>
      </c>
      <c r="CP13" s="13">
        <v>0</v>
      </c>
      <c r="CQ13" s="13">
        <v>1</v>
      </c>
      <c r="CR13" s="13">
        <v>0</v>
      </c>
      <c r="CS13" s="13">
        <v>0</v>
      </c>
      <c r="CT13" s="2">
        <f>SUM(CH13:CS13)</f>
        <v>34</v>
      </c>
      <c r="CU13" s="3"/>
      <c r="CV13" s="3"/>
      <c r="DE13" s="3"/>
      <c r="DF13" s="3"/>
      <c r="DG13" s="3"/>
      <c r="DH13" s="3"/>
      <c r="DI13" s="3"/>
      <c r="DJ13" s="3"/>
      <c r="DM13" s="3"/>
      <c r="DN13" s="3"/>
      <c r="DO13" s="3"/>
      <c r="DP13" s="3"/>
      <c r="DQ13" s="3"/>
      <c r="DR13" s="3"/>
    </row>
    <row r="14" spans="1:122">
      <c r="A14" s="10" t="s">
        <v>57</v>
      </c>
      <c r="B14" s="11">
        <f>AVERAGE(E14:AE14)</f>
        <v>0.1111111111111111</v>
      </c>
      <c r="C14" s="2">
        <f>MIN(E14:AE14)</f>
        <v>0</v>
      </c>
      <c r="D14" s="12">
        <f>MAX(E14:AE14)</f>
        <v>1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3">
        <v>0</v>
      </c>
      <c r="N14" s="13">
        <v>0</v>
      </c>
      <c r="O14" s="13">
        <v>0</v>
      </c>
      <c r="P14" s="13">
        <v>0</v>
      </c>
      <c r="Q14" s="13">
        <v>0</v>
      </c>
      <c r="R14" s="13">
        <v>1</v>
      </c>
      <c r="S14" s="13">
        <v>0</v>
      </c>
      <c r="T14" s="13">
        <v>0</v>
      </c>
      <c r="U14" s="13">
        <v>0</v>
      </c>
      <c r="V14" s="13">
        <v>0</v>
      </c>
      <c r="W14" s="13">
        <v>1</v>
      </c>
      <c r="X14" s="13">
        <v>1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/>
      <c r="AH14" s="13"/>
      <c r="AJ14" s="22"/>
      <c r="AK14" s="22"/>
      <c r="AL14" s="22"/>
      <c r="AM14" s="22"/>
      <c r="AN14" s="22"/>
      <c r="AO14" s="22"/>
      <c r="AP14" s="22"/>
      <c r="AQ14" s="22"/>
      <c r="AR14" s="22"/>
      <c r="BE14" s="23">
        <v>2003</v>
      </c>
      <c r="BF14" s="13">
        <v>30</v>
      </c>
      <c r="BH14" s="23">
        <v>2003</v>
      </c>
      <c r="BI14" s="13">
        <v>2</v>
      </c>
      <c r="BJ14" s="13">
        <v>5</v>
      </c>
      <c r="BK14" s="13">
        <v>0</v>
      </c>
      <c r="BL14" s="13">
        <v>11</v>
      </c>
      <c r="BM14" s="3"/>
      <c r="BN14" s="3"/>
      <c r="BO14" s="35">
        <v>2003</v>
      </c>
      <c r="BP14" s="36">
        <f>BF14-BL14</f>
        <v>19</v>
      </c>
      <c r="BQ14" s="3"/>
      <c r="BR14" s="3"/>
      <c r="BS14" s="127"/>
      <c r="BT14" s="127"/>
      <c r="BU14" s="128"/>
      <c r="BV14" s="128"/>
      <c r="BW14" s="128"/>
      <c r="BX14" s="128"/>
      <c r="BY14" s="37"/>
      <c r="BZ14" s="3"/>
      <c r="CA14" s="3"/>
      <c r="CB14" s="41">
        <v>2003</v>
      </c>
      <c r="CC14" s="39" t="str">
        <f>IFERROR("1 : " &amp; TEXT(BF14/BP14, "0,00"), "")</f>
        <v>1 : 1,58</v>
      </c>
      <c r="CD14" s="42">
        <f>IFERROR(BF14/BP14, "")</f>
        <v>1.5789473684210527</v>
      </c>
      <c r="CG14" s="23">
        <v>2005</v>
      </c>
      <c r="CH14" s="13">
        <v>0</v>
      </c>
      <c r="CI14" s="13">
        <v>0</v>
      </c>
      <c r="CJ14" s="13">
        <v>0</v>
      </c>
      <c r="CK14" s="13">
        <v>2</v>
      </c>
      <c r="CL14" s="13">
        <v>6</v>
      </c>
      <c r="CM14" s="13">
        <v>5</v>
      </c>
      <c r="CN14" s="13">
        <v>9</v>
      </c>
      <c r="CO14" s="13">
        <v>4</v>
      </c>
      <c r="CP14" s="13">
        <v>1</v>
      </c>
      <c r="CQ14" s="13">
        <v>0</v>
      </c>
      <c r="CR14" s="13">
        <v>0</v>
      </c>
      <c r="CS14" s="13">
        <v>1</v>
      </c>
      <c r="CT14" s="2">
        <f>SUM(CH14:CS14)</f>
        <v>28</v>
      </c>
      <c r="CU14" s="3"/>
      <c r="CV14" s="3"/>
      <c r="DE14" s="3"/>
      <c r="DF14" s="3"/>
      <c r="DG14" s="3"/>
      <c r="DH14" s="3"/>
      <c r="DI14" s="3"/>
      <c r="DJ14" s="3"/>
      <c r="DM14" s="3"/>
      <c r="DN14" s="3"/>
      <c r="DO14" s="3"/>
      <c r="DP14" s="3"/>
      <c r="DQ14" s="3"/>
      <c r="DR14" s="3"/>
    </row>
    <row r="15" spans="1:122">
      <c r="A15" s="10" t="s">
        <v>58</v>
      </c>
      <c r="B15" s="11">
        <f>AVERAGE(E15:AE15)</f>
        <v>0.1111111111111111</v>
      </c>
      <c r="C15" s="2">
        <f>MIN(E15:AE15)</f>
        <v>0</v>
      </c>
      <c r="D15" s="12">
        <f>MAX(E15:AE15)</f>
        <v>1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1</v>
      </c>
      <c r="S15" s="13">
        <v>0</v>
      </c>
      <c r="T15" s="13">
        <v>0</v>
      </c>
      <c r="U15" s="13">
        <v>0</v>
      </c>
      <c r="V15" s="13">
        <v>0</v>
      </c>
      <c r="W15" s="13">
        <v>1</v>
      </c>
      <c r="X15" s="13">
        <v>1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/>
      <c r="AH15" s="13"/>
      <c r="AJ15" s="22"/>
      <c r="AK15" s="22"/>
      <c r="AL15" s="22"/>
      <c r="AM15" s="22"/>
      <c r="AN15" s="22"/>
      <c r="AO15" s="22"/>
      <c r="AP15" s="22"/>
      <c r="AQ15" s="22"/>
      <c r="AR15" s="22"/>
      <c r="BE15" s="23">
        <v>2004</v>
      </c>
      <c r="BF15" s="13">
        <v>34</v>
      </c>
      <c r="BH15" s="23">
        <v>2004</v>
      </c>
      <c r="BI15" s="13">
        <v>3</v>
      </c>
      <c r="BJ15" s="13">
        <v>0</v>
      </c>
      <c r="BK15" s="13">
        <v>0</v>
      </c>
      <c r="BL15" s="13">
        <v>15</v>
      </c>
      <c r="BM15" s="3"/>
      <c r="BN15" s="3"/>
      <c r="BO15" s="35">
        <v>2004</v>
      </c>
      <c r="BP15" s="36">
        <f>BF15-BL15</f>
        <v>19</v>
      </c>
      <c r="BQ15" s="3"/>
      <c r="BR15" s="3"/>
      <c r="BS15" s="126" t="s">
        <v>59</v>
      </c>
      <c r="BT15" s="126"/>
      <c r="BU15" s="120" t="s">
        <v>60</v>
      </c>
      <c r="BV15" s="120"/>
      <c r="BW15" s="120"/>
      <c r="BX15" s="120"/>
      <c r="BY15" s="37">
        <v>1</v>
      </c>
      <c r="CB15" s="41">
        <v>2004</v>
      </c>
      <c r="CC15" s="39" t="str">
        <f>IFERROR("1 : " &amp; TEXT(BF15/BP15, "0,00"), "")</f>
        <v>1 : 1,79</v>
      </c>
      <c r="CD15" s="42">
        <f>IFERROR(BF15/BP15, "0,00")</f>
        <v>1.7894736842105263</v>
      </c>
      <c r="CG15" s="23">
        <v>2006</v>
      </c>
      <c r="CH15" s="13">
        <v>0</v>
      </c>
      <c r="CI15" s="13">
        <v>0</v>
      </c>
      <c r="CJ15" s="13">
        <v>0</v>
      </c>
      <c r="CK15" s="13">
        <v>4</v>
      </c>
      <c r="CL15" s="13">
        <v>4</v>
      </c>
      <c r="CM15" s="13">
        <v>6</v>
      </c>
      <c r="CN15" s="13">
        <v>11</v>
      </c>
      <c r="CO15" s="13">
        <v>4</v>
      </c>
      <c r="CP15" s="13">
        <v>0</v>
      </c>
      <c r="CQ15" s="13">
        <v>2</v>
      </c>
      <c r="CR15" s="13">
        <v>0</v>
      </c>
      <c r="CS15" s="13">
        <v>0</v>
      </c>
      <c r="CT15" s="2">
        <f>SUM(CH15:CS15)</f>
        <v>31</v>
      </c>
      <c r="CU15" s="3"/>
      <c r="CV15" s="3"/>
      <c r="DE15" s="3"/>
      <c r="DF15" s="3"/>
      <c r="DG15" s="3"/>
      <c r="DH15" s="3"/>
      <c r="DI15" s="3"/>
      <c r="DJ15" s="3"/>
      <c r="DM15" s="3"/>
      <c r="DN15" s="3"/>
      <c r="DO15" s="3"/>
      <c r="DP15" s="3"/>
      <c r="DQ15" s="3"/>
      <c r="DR15" s="3"/>
    </row>
    <row r="16" spans="1:122">
      <c r="A16" s="10" t="s">
        <v>61</v>
      </c>
      <c r="B16" s="11">
        <f>AVERAGE(E16:AE16)</f>
        <v>0.14814814814814814</v>
      </c>
      <c r="C16" s="2">
        <f>MIN(E16:AE16)</f>
        <v>0</v>
      </c>
      <c r="D16" s="12">
        <f>MAX(E16:AE16)</f>
        <v>2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3">
        <v>0</v>
      </c>
      <c r="N16" s="13">
        <v>0</v>
      </c>
      <c r="O16" s="13">
        <v>0</v>
      </c>
      <c r="P16" s="13">
        <v>0</v>
      </c>
      <c r="Q16" s="13">
        <v>0</v>
      </c>
      <c r="R16" s="13">
        <v>2</v>
      </c>
      <c r="S16" s="13">
        <v>0</v>
      </c>
      <c r="T16" s="13">
        <v>0</v>
      </c>
      <c r="U16" s="13">
        <v>0</v>
      </c>
      <c r="V16" s="13">
        <v>0</v>
      </c>
      <c r="W16" s="13">
        <v>1</v>
      </c>
      <c r="X16" s="13">
        <v>1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/>
      <c r="AH16" s="13"/>
      <c r="AJ16" s="22"/>
      <c r="AK16" s="22"/>
      <c r="AL16" s="22"/>
      <c r="AM16" s="22"/>
      <c r="AN16" s="22"/>
      <c r="AO16" s="22"/>
      <c r="AP16" s="22"/>
      <c r="AQ16" s="22"/>
      <c r="AR16" s="22"/>
      <c r="BE16" s="23">
        <v>2005</v>
      </c>
      <c r="BF16" s="13">
        <v>28</v>
      </c>
      <c r="BH16" s="23">
        <v>2005</v>
      </c>
      <c r="BI16" s="13">
        <v>1</v>
      </c>
      <c r="BJ16" s="13">
        <v>1</v>
      </c>
      <c r="BK16" s="13">
        <v>2</v>
      </c>
      <c r="BL16" s="13">
        <v>8</v>
      </c>
      <c r="BM16" s="3"/>
      <c r="BN16" s="3"/>
      <c r="BO16" s="35">
        <v>2005</v>
      </c>
      <c r="BP16" s="36">
        <f>BF16-BL16</f>
        <v>20</v>
      </c>
      <c r="BQ16" s="3"/>
      <c r="BR16" s="3"/>
      <c r="BS16" s="126" t="s">
        <v>62</v>
      </c>
      <c r="BT16" s="126"/>
      <c r="BU16" s="120" t="s">
        <v>63</v>
      </c>
      <c r="BV16" s="120"/>
      <c r="BW16" s="120"/>
      <c r="BX16" s="120"/>
      <c r="BY16" s="37">
        <v>2</v>
      </c>
      <c r="CA16" s="2"/>
      <c r="CB16" s="41">
        <v>2005</v>
      </c>
      <c r="CC16" s="39" t="str">
        <f>IFERROR("1 : " &amp; TEXT(BF16/BP16, "0,00"), "")</f>
        <v>1 : 1,40</v>
      </c>
      <c r="CD16" s="42">
        <f>IFERROR(BF16/BP16, "")</f>
        <v>1.4</v>
      </c>
      <c r="CG16" s="23">
        <v>2007</v>
      </c>
      <c r="CH16" s="13">
        <v>1</v>
      </c>
      <c r="CI16" s="13">
        <v>1</v>
      </c>
      <c r="CJ16" s="13">
        <v>0</v>
      </c>
      <c r="CK16" s="13">
        <v>1</v>
      </c>
      <c r="CL16" s="13">
        <v>6</v>
      </c>
      <c r="CM16" s="13">
        <v>7</v>
      </c>
      <c r="CN16" s="13">
        <v>7</v>
      </c>
      <c r="CO16" s="13">
        <v>9</v>
      </c>
      <c r="CP16" s="13">
        <v>0</v>
      </c>
      <c r="CQ16" s="13">
        <v>0</v>
      </c>
      <c r="CR16" s="13">
        <v>0</v>
      </c>
      <c r="CS16" s="13">
        <v>1</v>
      </c>
      <c r="CT16" s="2">
        <f>SUM(CH16:CS16)</f>
        <v>33</v>
      </c>
      <c r="CU16" s="3"/>
      <c r="CV16" s="3"/>
      <c r="DE16" s="3"/>
      <c r="DF16" s="3"/>
      <c r="DG16" s="3"/>
      <c r="DH16" s="3"/>
      <c r="DI16" s="3"/>
      <c r="DJ16" s="3"/>
      <c r="DM16" s="3"/>
      <c r="DN16" s="3"/>
      <c r="DO16" s="3"/>
      <c r="DP16" s="3"/>
      <c r="DQ16" s="3"/>
      <c r="DR16" s="3"/>
    </row>
    <row r="17" spans="1:122">
      <c r="A17" s="10" t="s">
        <v>64</v>
      </c>
      <c r="B17" s="11">
        <f>AVERAGE(E17:AE17)</f>
        <v>0.14814814814814814</v>
      </c>
      <c r="C17" s="2">
        <f>MIN(E17:AE17)</f>
        <v>0</v>
      </c>
      <c r="D17" s="12">
        <f>MAX(E17:AE17)</f>
        <v>2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4">
        <v>0</v>
      </c>
      <c r="L17" s="13">
        <v>0</v>
      </c>
      <c r="M17" s="13">
        <v>0</v>
      </c>
      <c r="N17" s="13">
        <v>0</v>
      </c>
      <c r="O17" s="13">
        <v>0</v>
      </c>
      <c r="P17" s="13">
        <v>0</v>
      </c>
      <c r="Q17" s="13">
        <v>0</v>
      </c>
      <c r="R17" s="13">
        <v>2</v>
      </c>
      <c r="S17" s="13">
        <v>0</v>
      </c>
      <c r="T17" s="13">
        <v>0</v>
      </c>
      <c r="U17" s="13">
        <v>0</v>
      </c>
      <c r="V17" s="13">
        <v>0</v>
      </c>
      <c r="W17" s="13">
        <v>1</v>
      </c>
      <c r="X17" s="13">
        <v>1</v>
      </c>
      <c r="Y17" s="14">
        <v>0</v>
      </c>
      <c r="Z17" s="13">
        <v>0</v>
      </c>
      <c r="AA17" s="14">
        <v>0</v>
      </c>
      <c r="AB17" s="13">
        <v>0</v>
      </c>
      <c r="AC17" s="13">
        <v>0</v>
      </c>
      <c r="AD17" s="13">
        <v>0</v>
      </c>
      <c r="AE17" s="13">
        <v>0</v>
      </c>
      <c r="AF17" s="13">
        <v>0</v>
      </c>
      <c r="AG17" s="13"/>
      <c r="AH17" s="13"/>
      <c r="AJ17" s="22"/>
      <c r="AK17" s="22"/>
      <c r="AL17" s="22"/>
      <c r="AM17" s="22"/>
      <c r="AN17" s="22"/>
      <c r="AO17" s="22"/>
      <c r="AP17" s="22"/>
      <c r="AQ17" s="22"/>
      <c r="AR17" s="22"/>
      <c r="BE17" s="23">
        <v>2006</v>
      </c>
      <c r="BF17" s="13">
        <v>31</v>
      </c>
      <c r="BH17" s="23">
        <v>2006</v>
      </c>
      <c r="BI17" s="13">
        <v>2</v>
      </c>
      <c r="BJ17" s="13">
        <v>2</v>
      </c>
      <c r="BK17" s="13">
        <v>0</v>
      </c>
      <c r="BL17" s="13">
        <v>9</v>
      </c>
      <c r="BM17" s="3"/>
      <c r="BN17" s="3"/>
      <c r="BO17" s="35">
        <v>2006</v>
      </c>
      <c r="BP17" s="36">
        <f>BF17-BL17</f>
        <v>22</v>
      </c>
      <c r="BQ17" s="3"/>
      <c r="BR17" s="3"/>
      <c r="BS17" s="129" t="s">
        <v>65</v>
      </c>
      <c r="BT17" s="129"/>
      <c r="BU17" s="130" t="s">
        <v>66</v>
      </c>
      <c r="BV17" s="130"/>
      <c r="BW17" s="130"/>
      <c r="BX17" s="130"/>
      <c r="BY17" s="44">
        <v>3</v>
      </c>
      <c r="CA17" s="2"/>
      <c r="CB17" s="41">
        <v>2006</v>
      </c>
      <c r="CC17" s="39" t="str">
        <f>IFERROR("1 : " &amp; TEXT(BF17/BP17, "0,00"), "")</f>
        <v>1 : 1,41</v>
      </c>
      <c r="CD17" s="42">
        <f>IFERROR(BF17/BP17, "")</f>
        <v>1.4090909090909092</v>
      </c>
      <c r="CG17" s="23">
        <v>2008</v>
      </c>
      <c r="CH17" s="13">
        <v>0</v>
      </c>
      <c r="CI17" s="13">
        <v>0</v>
      </c>
      <c r="CJ17" s="13">
        <v>1</v>
      </c>
      <c r="CK17" s="13">
        <v>2</v>
      </c>
      <c r="CL17" s="13">
        <v>7</v>
      </c>
      <c r="CM17" s="13">
        <v>8</v>
      </c>
      <c r="CN17" s="13">
        <v>3</v>
      </c>
      <c r="CO17" s="13">
        <v>4</v>
      </c>
      <c r="CP17" s="13">
        <v>1</v>
      </c>
      <c r="CQ17" s="13">
        <v>0</v>
      </c>
      <c r="CR17" s="13">
        <v>0</v>
      </c>
      <c r="CS17" s="13">
        <v>0</v>
      </c>
      <c r="CT17" s="2">
        <f>SUM(CH17:CS17)</f>
        <v>26</v>
      </c>
      <c r="CU17" s="3"/>
      <c r="CV17" s="3"/>
      <c r="DE17" s="3"/>
      <c r="DF17" s="3"/>
      <c r="DG17" s="3"/>
      <c r="DH17" s="3"/>
      <c r="DI17" s="3"/>
      <c r="DJ17" s="3"/>
      <c r="DM17" s="3"/>
      <c r="DN17" s="3"/>
      <c r="DO17" s="3"/>
      <c r="DP17" s="3"/>
      <c r="DQ17" s="3"/>
      <c r="DR17" s="3"/>
    </row>
    <row r="18" spans="1:122">
      <c r="A18" s="10" t="s">
        <v>67</v>
      </c>
      <c r="B18" s="11">
        <f>AVERAGE(E18:AE18)</f>
        <v>0.18518518518518517</v>
      </c>
      <c r="C18" s="2">
        <f>MIN(E18:AE18)</f>
        <v>0</v>
      </c>
      <c r="D18" s="12">
        <f>MAX(E18:AE18)</f>
        <v>2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0</v>
      </c>
      <c r="M18" s="13">
        <v>0</v>
      </c>
      <c r="N18" s="13">
        <v>0</v>
      </c>
      <c r="O18" s="13">
        <v>0</v>
      </c>
      <c r="P18" s="13">
        <v>0</v>
      </c>
      <c r="Q18" s="13">
        <v>0</v>
      </c>
      <c r="R18" s="13">
        <v>2</v>
      </c>
      <c r="S18" s="13">
        <v>0</v>
      </c>
      <c r="T18" s="13">
        <v>0</v>
      </c>
      <c r="U18" s="13">
        <v>0</v>
      </c>
      <c r="V18" s="13">
        <v>0</v>
      </c>
      <c r="W18" s="13">
        <v>1</v>
      </c>
      <c r="X18" s="13">
        <v>1</v>
      </c>
      <c r="Y18" s="21">
        <v>1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G18" s="13"/>
      <c r="AH18" s="13"/>
      <c r="AJ18" s="22"/>
      <c r="AK18" s="22"/>
      <c r="AL18" s="22"/>
      <c r="AM18" s="22"/>
      <c r="AN18" s="22"/>
      <c r="AO18" s="22"/>
      <c r="AP18" s="22"/>
      <c r="AQ18" s="22"/>
      <c r="AR18" s="22"/>
      <c r="BE18" s="23">
        <v>2007</v>
      </c>
      <c r="BF18" s="13">
        <v>33</v>
      </c>
      <c r="BH18" s="23">
        <v>2007</v>
      </c>
      <c r="BI18" s="13">
        <v>3</v>
      </c>
      <c r="BJ18" s="13">
        <v>3</v>
      </c>
      <c r="BK18" s="13">
        <v>0</v>
      </c>
      <c r="BL18" s="13">
        <v>12</v>
      </c>
      <c r="BM18" s="3"/>
      <c r="BN18" s="3"/>
      <c r="BO18" s="35">
        <v>2007</v>
      </c>
      <c r="BP18" s="36">
        <f>BF18-BL18</f>
        <v>21</v>
      </c>
      <c r="BQ18" s="3"/>
      <c r="BR18" s="3"/>
      <c r="BS18" s="121" t="s">
        <v>43</v>
      </c>
      <c r="BT18" s="121"/>
      <c r="BU18" s="45" t="s">
        <v>68</v>
      </c>
      <c r="BV18" s="122" t="s">
        <v>69</v>
      </c>
      <c r="BW18" s="122"/>
      <c r="BX18" s="122"/>
      <c r="BY18" s="45" t="s">
        <v>70</v>
      </c>
      <c r="CA18" s="3"/>
      <c r="CB18" s="41">
        <v>2007</v>
      </c>
      <c r="CC18" s="39" t="str">
        <f>IFERROR("1 : " &amp; TEXT(BF18/BP18, "0,00"), "")</f>
        <v>1 : 1,57</v>
      </c>
      <c r="CD18" s="42">
        <f>IFERROR(BF18/BP18, "")</f>
        <v>1.5714285714285714</v>
      </c>
      <c r="CG18" s="23">
        <v>2009</v>
      </c>
      <c r="CH18" s="13">
        <v>0</v>
      </c>
      <c r="CI18" s="13">
        <v>0</v>
      </c>
      <c r="CJ18" s="13">
        <v>1</v>
      </c>
      <c r="CK18" s="13">
        <v>1</v>
      </c>
      <c r="CL18" s="13">
        <v>7</v>
      </c>
      <c r="CM18" s="13">
        <v>7</v>
      </c>
      <c r="CN18" s="13">
        <v>8</v>
      </c>
      <c r="CO18" s="13">
        <v>5</v>
      </c>
      <c r="CP18" s="13">
        <v>0</v>
      </c>
      <c r="CQ18" s="13">
        <v>0</v>
      </c>
      <c r="CR18" s="13">
        <v>0</v>
      </c>
      <c r="CS18" s="13">
        <v>0</v>
      </c>
      <c r="CT18" s="2">
        <f>SUM(CH18:CS18)</f>
        <v>29</v>
      </c>
      <c r="CU18" s="3"/>
      <c r="CV18" s="3"/>
      <c r="DE18" s="3"/>
      <c r="DF18" s="3"/>
      <c r="DG18" s="3"/>
      <c r="DH18" s="3"/>
      <c r="DI18" s="3"/>
      <c r="DJ18" s="3"/>
      <c r="DM18" s="3"/>
      <c r="DN18" s="3"/>
      <c r="DO18" s="3"/>
      <c r="DP18" s="3"/>
      <c r="DQ18" s="3"/>
      <c r="DR18" s="3"/>
    </row>
    <row r="19" spans="1:122">
      <c r="A19" s="10" t="s">
        <v>71</v>
      </c>
      <c r="B19" s="11">
        <f>AVERAGE(E19:AE19)</f>
        <v>0.18518518518518517</v>
      </c>
      <c r="C19" s="2">
        <f>MIN(E19:AE19)</f>
        <v>0</v>
      </c>
      <c r="D19" s="12">
        <f>MAX(E19:AE19)</f>
        <v>2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0</v>
      </c>
      <c r="M19" s="13">
        <v>0</v>
      </c>
      <c r="N19" s="13">
        <v>0</v>
      </c>
      <c r="O19" s="13">
        <v>0</v>
      </c>
      <c r="P19" s="13">
        <v>0</v>
      </c>
      <c r="Q19" s="13">
        <v>0</v>
      </c>
      <c r="R19" s="13">
        <v>2</v>
      </c>
      <c r="S19" s="13">
        <v>0</v>
      </c>
      <c r="T19" s="13">
        <v>0</v>
      </c>
      <c r="U19" s="13">
        <v>0</v>
      </c>
      <c r="V19" s="13">
        <v>0</v>
      </c>
      <c r="W19" s="13">
        <v>1</v>
      </c>
      <c r="X19" s="13">
        <v>1</v>
      </c>
      <c r="Y19" s="13">
        <v>1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/>
      <c r="AH19" s="13"/>
      <c r="AJ19" s="22"/>
      <c r="AK19" s="22"/>
      <c r="AL19" s="22"/>
      <c r="AM19" s="22"/>
      <c r="AN19" s="22"/>
      <c r="AO19" s="22"/>
      <c r="AP19" s="22"/>
      <c r="AQ19" s="22"/>
      <c r="AR19" s="22"/>
      <c r="BE19" s="23">
        <v>2008</v>
      </c>
      <c r="BF19" s="13">
        <v>26</v>
      </c>
      <c r="BH19" s="23">
        <v>2008</v>
      </c>
      <c r="BI19" s="13">
        <v>1</v>
      </c>
      <c r="BJ19" s="13">
        <v>0</v>
      </c>
      <c r="BK19" s="13">
        <v>1</v>
      </c>
      <c r="BL19" s="13">
        <v>8</v>
      </c>
      <c r="BM19" s="3"/>
      <c r="BN19" s="3"/>
      <c r="BO19" s="35">
        <v>2008</v>
      </c>
      <c r="BP19" s="36">
        <f>BF19-BL19</f>
        <v>18</v>
      </c>
      <c r="BQ19" s="3"/>
      <c r="BR19" s="3"/>
      <c r="BS19" s="123" t="s">
        <v>72</v>
      </c>
      <c r="BT19" s="123"/>
      <c r="BU19" s="36">
        <v>20</v>
      </c>
      <c r="BV19" s="124" t="s">
        <v>73</v>
      </c>
      <c r="BW19" s="124"/>
      <c r="BX19" s="124"/>
      <c r="BY19" s="37">
        <v>-3</v>
      </c>
      <c r="CA19" s="3"/>
      <c r="CB19" s="41">
        <v>2008</v>
      </c>
      <c r="CC19" s="39" t="str">
        <f>IFERROR("1 : " &amp; TEXT(BF19/BP19, "0,00"), "")</f>
        <v>1 : 1,44</v>
      </c>
      <c r="CD19" s="42">
        <f>IFERROR(BF19/BP19, "")</f>
        <v>1.4444444444444444</v>
      </c>
      <c r="CG19" s="23">
        <v>2010</v>
      </c>
      <c r="CH19" s="13">
        <v>0</v>
      </c>
      <c r="CI19" s="13">
        <v>0</v>
      </c>
      <c r="CJ19" s="13">
        <v>3</v>
      </c>
      <c r="CK19" s="13">
        <v>0</v>
      </c>
      <c r="CL19" s="13">
        <v>3</v>
      </c>
      <c r="CM19" s="13">
        <v>3</v>
      </c>
      <c r="CN19" s="13">
        <v>7</v>
      </c>
      <c r="CO19" s="13">
        <v>4</v>
      </c>
      <c r="CP19" s="13">
        <v>0</v>
      </c>
      <c r="CQ19" s="13">
        <v>0</v>
      </c>
      <c r="CR19" s="13">
        <v>0</v>
      </c>
      <c r="CS19" s="13">
        <v>0</v>
      </c>
      <c r="CT19" s="2">
        <f>SUM(CH19:CS19)</f>
        <v>20</v>
      </c>
      <c r="CU19" s="3"/>
      <c r="CV19" s="3"/>
      <c r="DE19" s="3"/>
      <c r="DF19" s="3"/>
      <c r="DG19" s="3"/>
      <c r="DH19" s="3"/>
      <c r="DI19" s="3"/>
      <c r="DJ19" s="3"/>
      <c r="DM19" s="3"/>
      <c r="DN19" s="3"/>
      <c r="DO19" s="3"/>
      <c r="DP19" s="3"/>
      <c r="DQ19" s="3"/>
      <c r="DR19" s="3"/>
    </row>
    <row r="20" spans="1:122">
      <c r="A20" s="10" t="s">
        <v>74</v>
      </c>
      <c r="B20" s="11">
        <f>AVERAGE(E20:AE20)</f>
        <v>0.22222222222222221</v>
      </c>
      <c r="C20" s="2">
        <f>MIN(E20:AE20)</f>
        <v>0</v>
      </c>
      <c r="D20" s="12">
        <f>MAX(E20:AE20)</f>
        <v>2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0</v>
      </c>
      <c r="Q20" s="13">
        <v>0</v>
      </c>
      <c r="R20" s="13">
        <v>2</v>
      </c>
      <c r="S20" s="13">
        <v>0</v>
      </c>
      <c r="T20" s="13">
        <v>0</v>
      </c>
      <c r="U20" s="13">
        <v>0</v>
      </c>
      <c r="V20" s="13">
        <v>0</v>
      </c>
      <c r="W20" s="13">
        <v>1</v>
      </c>
      <c r="X20" s="21">
        <v>2</v>
      </c>
      <c r="Y20" s="13">
        <v>1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3">
        <v>0</v>
      </c>
      <c r="AF20" s="13">
        <v>0</v>
      </c>
      <c r="AG20" s="13"/>
      <c r="AH20" s="13"/>
      <c r="AJ20" s="22"/>
      <c r="AK20" s="22"/>
      <c r="AL20" s="22"/>
      <c r="AM20" s="22"/>
      <c r="AN20" s="22"/>
      <c r="AO20" s="22"/>
      <c r="AP20" s="22"/>
      <c r="AQ20" s="22"/>
      <c r="AR20" s="22"/>
      <c r="BE20" s="23">
        <v>2009</v>
      </c>
      <c r="BF20" s="13">
        <v>29</v>
      </c>
      <c r="BH20" s="23">
        <v>2009</v>
      </c>
      <c r="BI20" s="13">
        <v>3</v>
      </c>
      <c r="BJ20" s="13">
        <v>3</v>
      </c>
      <c r="BK20" s="13">
        <v>1</v>
      </c>
      <c r="BL20" s="13">
        <v>11</v>
      </c>
      <c r="BM20" s="3"/>
      <c r="BN20" s="3"/>
      <c r="BO20" s="35">
        <v>2009</v>
      </c>
      <c r="BP20" s="36">
        <f>BF20-BL20</f>
        <v>18</v>
      </c>
      <c r="BQ20" s="3"/>
      <c r="BR20" s="3"/>
      <c r="BS20" s="112" t="s">
        <v>75</v>
      </c>
      <c r="BT20" s="112"/>
      <c r="BU20" s="36">
        <v>28</v>
      </c>
      <c r="BV20" s="124" t="s">
        <v>76</v>
      </c>
      <c r="BW20" s="124"/>
      <c r="BX20" s="124"/>
      <c r="BY20" s="37">
        <v>0</v>
      </c>
      <c r="CA20" s="2"/>
      <c r="CB20" s="41">
        <v>2009</v>
      </c>
      <c r="CC20" s="39" t="str">
        <f>IFERROR("1 : " &amp; TEXT(BF20/BP20, "0,00"), "")</f>
        <v>1 : 1,61</v>
      </c>
      <c r="CD20" s="42">
        <f>IFERROR(BF20/BP20, "")</f>
        <v>1.6111111111111112</v>
      </c>
      <c r="CG20" s="23">
        <v>2011</v>
      </c>
      <c r="CH20" s="13">
        <v>0</v>
      </c>
      <c r="CI20" s="13">
        <v>0</v>
      </c>
      <c r="CJ20" s="13">
        <v>0</v>
      </c>
      <c r="CK20" s="13">
        <v>2</v>
      </c>
      <c r="CL20" s="13">
        <v>7</v>
      </c>
      <c r="CM20" s="13">
        <v>8</v>
      </c>
      <c r="CN20" s="13">
        <v>7</v>
      </c>
      <c r="CO20" s="13">
        <v>5</v>
      </c>
      <c r="CP20" s="13">
        <v>3</v>
      </c>
      <c r="CQ20" s="13">
        <v>0</v>
      </c>
      <c r="CR20" s="13">
        <v>0</v>
      </c>
      <c r="CS20" s="13">
        <v>0</v>
      </c>
      <c r="CT20" s="2">
        <f>SUM(CH20:CS20)</f>
        <v>32</v>
      </c>
      <c r="CU20" s="3"/>
      <c r="CV20" s="3"/>
      <c r="DE20" s="3"/>
      <c r="DF20" s="3"/>
      <c r="DG20" s="3"/>
      <c r="DH20" s="3"/>
      <c r="DI20" s="3"/>
      <c r="DJ20" s="3"/>
      <c r="DM20" s="3"/>
      <c r="DN20" s="3"/>
      <c r="DO20" s="3"/>
      <c r="DP20" s="3"/>
      <c r="DQ20" s="3"/>
      <c r="DR20" s="3"/>
    </row>
    <row r="21" spans="1:122">
      <c r="A21" s="10" t="s">
        <v>77</v>
      </c>
      <c r="B21" s="11">
        <f>AVERAGE(E21:AE21)</f>
        <v>0.22222222222222221</v>
      </c>
      <c r="C21" s="2">
        <f>MIN(E21:AE21)</f>
        <v>0</v>
      </c>
      <c r="D21" s="12">
        <f>MAX(E21:AE21)</f>
        <v>2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0</v>
      </c>
      <c r="M21" s="13">
        <v>0</v>
      </c>
      <c r="N21" s="13">
        <v>0</v>
      </c>
      <c r="O21" s="13">
        <v>0</v>
      </c>
      <c r="P21" s="13">
        <v>0</v>
      </c>
      <c r="Q21" s="13">
        <v>0</v>
      </c>
      <c r="R21" s="13">
        <v>2</v>
      </c>
      <c r="S21" s="13">
        <v>0</v>
      </c>
      <c r="T21" s="13">
        <v>0</v>
      </c>
      <c r="U21" s="13">
        <v>0</v>
      </c>
      <c r="V21" s="13">
        <v>0</v>
      </c>
      <c r="W21" s="13">
        <v>1</v>
      </c>
      <c r="X21" s="13">
        <v>2</v>
      </c>
      <c r="Y21" s="13">
        <v>1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/>
      <c r="AH21" s="13"/>
      <c r="AJ21" s="22"/>
      <c r="AK21" s="22"/>
      <c r="AL21" s="22"/>
      <c r="AM21" s="22"/>
      <c r="AN21" s="22"/>
      <c r="AO21" s="22"/>
      <c r="AP21" s="22"/>
      <c r="AQ21" s="22"/>
      <c r="AR21" s="22"/>
      <c r="BE21" s="23">
        <v>2010</v>
      </c>
      <c r="BF21" s="13">
        <v>20</v>
      </c>
      <c r="BH21" s="23">
        <v>2010</v>
      </c>
      <c r="BI21" s="13">
        <v>0</v>
      </c>
      <c r="BJ21" s="13">
        <v>2</v>
      </c>
      <c r="BK21" s="13">
        <v>0</v>
      </c>
      <c r="BL21" s="13">
        <v>8</v>
      </c>
      <c r="BM21" s="3"/>
      <c r="BN21" s="3"/>
      <c r="BO21" s="35">
        <v>2010</v>
      </c>
      <c r="BP21" s="36">
        <f>BF21-BL21</f>
        <v>12</v>
      </c>
      <c r="BQ21" s="3"/>
      <c r="BR21" s="3"/>
      <c r="BS21" s="112" t="s">
        <v>78</v>
      </c>
      <c r="BT21" s="112"/>
      <c r="BU21" s="36">
        <v>22</v>
      </c>
      <c r="BV21" s="125" t="s">
        <v>79</v>
      </c>
      <c r="BW21" s="125"/>
      <c r="BX21" s="125"/>
      <c r="BY21" s="37">
        <v>-2</v>
      </c>
      <c r="CA21" s="2"/>
      <c r="CB21" s="41">
        <v>2010</v>
      </c>
      <c r="CC21" s="39" t="str">
        <f>IFERROR("1 : " &amp; TEXT(BF21/BP21, "0,00"), "")</f>
        <v>1 : 1,67</v>
      </c>
      <c r="CD21" s="42">
        <f>IFERROR(BF21/BP21, "")</f>
        <v>1.6666666666666667</v>
      </c>
      <c r="CG21" s="23">
        <v>2012</v>
      </c>
      <c r="CH21" s="13">
        <v>2</v>
      </c>
      <c r="CI21" s="13">
        <v>0</v>
      </c>
      <c r="CJ21" s="13">
        <v>0</v>
      </c>
      <c r="CK21" s="13">
        <v>1</v>
      </c>
      <c r="CL21" s="13">
        <v>6</v>
      </c>
      <c r="CM21" s="13">
        <v>6</v>
      </c>
      <c r="CN21" s="13">
        <v>10</v>
      </c>
      <c r="CO21" s="13">
        <v>6</v>
      </c>
      <c r="CP21" s="13">
        <v>2</v>
      </c>
      <c r="CQ21" s="13">
        <v>0</v>
      </c>
      <c r="CR21" s="13">
        <v>0</v>
      </c>
      <c r="CS21" s="13">
        <v>0</v>
      </c>
      <c r="CT21" s="2">
        <f>SUM(CH21:CS21)</f>
        <v>33</v>
      </c>
      <c r="CU21" s="3"/>
      <c r="CV21" s="3"/>
      <c r="DE21" s="3"/>
      <c r="DF21" s="3"/>
      <c r="DG21" s="3"/>
      <c r="DH21" s="3"/>
      <c r="DI21" s="3"/>
      <c r="DJ21" s="3"/>
      <c r="DM21" s="3"/>
      <c r="DN21" s="3"/>
      <c r="DO21" s="3"/>
      <c r="DP21" s="3"/>
      <c r="DQ21" s="3"/>
      <c r="DR21" s="3"/>
    </row>
    <row r="22" spans="1:122">
      <c r="A22" s="10" t="s">
        <v>80</v>
      </c>
      <c r="B22" s="11">
        <f>AVERAGE(E22:AE22)</f>
        <v>0.25925925925925924</v>
      </c>
      <c r="C22" s="2">
        <f>MIN(E22:AE22)</f>
        <v>0</v>
      </c>
      <c r="D22" s="12">
        <f>MAX(E22:AE22)</f>
        <v>2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0</v>
      </c>
      <c r="M22" s="47">
        <v>1</v>
      </c>
      <c r="N22" s="13">
        <v>0</v>
      </c>
      <c r="O22" s="13">
        <v>0</v>
      </c>
      <c r="P22" s="13">
        <v>0</v>
      </c>
      <c r="Q22" s="13">
        <v>0</v>
      </c>
      <c r="R22" s="13">
        <v>2</v>
      </c>
      <c r="S22" s="13">
        <v>0</v>
      </c>
      <c r="T22" s="13">
        <v>0</v>
      </c>
      <c r="U22" s="13">
        <v>0</v>
      </c>
      <c r="V22" s="13">
        <v>0</v>
      </c>
      <c r="W22" s="13">
        <v>1</v>
      </c>
      <c r="X22" s="13">
        <v>2</v>
      </c>
      <c r="Y22" s="13">
        <v>1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/>
      <c r="AH22" s="13"/>
      <c r="AJ22" s="22"/>
      <c r="AK22" s="22"/>
      <c r="AL22" s="22"/>
      <c r="AM22" s="22"/>
      <c r="AN22" s="22"/>
      <c r="AO22" s="22"/>
      <c r="AP22" s="22"/>
      <c r="AQ22" s="22"/>
      <c r="AR22" s="22"/>
      <c r="BE22" s="23">
        <v>2011</v>
      </c>
      <c r="BF22" s="13">
        <v>32</v>
      </c>
      <c r="BH22" s="23">
        <v>2011</v>
      </c>
      <c r="BI22" s="13">
        <v>4</v>
      </c>
      <c r="BJ22" s="13">
        <v>1</v>
      </c>
      <c r="BK22" s="13">
        <v>0</v>
      </c>
      <c r="BL22" s="13">
        <v>8</v>
      </c>
      <c r="BM22" s="3"/>
      <c r="BN22" s="3"/>
      <c r="BO22" s="35">
        <v>2011</v>
      </c>
      <c r="BP22" s="36">
        <f>BF22-BL22</f>
        <v>24</v>
      </c>
      <c r="BQ22" s="3"/>
      <c r="BR22" s="3"/>
      <c r="BS22" s="112" t="s">
        <v>81</v>
      </c>
      <c r="BT22" s="112"/>
      <c r="BU22" s="37">
        <v>30</v>
      </c>
      <c r="BV22" s="125" t="s">
        <v>76</v>
      </c>
      <c r="BW22" s="125"/>
      <c r="BX22" s="125"/>
      <c r="BY22" s="37">
        <v>0</v>
      </c>
      <c r="CA22" s="2"/>
      <c r="CB22" s="41">
        <v>2011</v>
      </c>
      <c r="CC22" s="39" t="str">
        <f>IFERROR("1 : " &amp; TEXT(BF22/BP22, "0,00"), "")</f>
        <v>1 : 1,33</v>
      </c>
      <c r="CD22" s="42">
        <f>IFERROR(BF22/BP22, "")</f>
        <v>1.3333333333333333</v>
      </c>
      <c r="CG22" s="23">
        <v>2013</v>
      </c>
      <c r="CH22" s="13">
        <v>0</v>
      </c>
      <c r="CI22" s="13">
        <v>0</v>
      </c>
      <c r="CJ22" s="13">
        <v>0</v>
      </c>
      <c r="CK22" s="13">
        <v>2</v>
      </c>
      <c r="CL22" s="13">
        <v>6</v>
      </c>
      <c r="CM22" s="13">
        <v>4</v>
      </c>
      <c r="CN22" s="13">
        <v>3</v>
      </c>
      <c r="CO22" s="13">
        <v>4</v>
      </c>
      <c r="CP22" s="13">
        <v>1</v>
      </c>
      <c r="CQ22" s="13">
        <v>0</v>
      </c>
      <c r="CR22" s="13">
        <v>0</v>
      </c>
      <c r="CS22" s="13">
        <v>0</v>
      </c>
      <c r="CT22" s="2">
        <f>SUM(CH22:CS22)</f>
        <v>20</v>
      </c>
      <c r="CU22" s="3"/>
      <c r="CV22" s="3"/>
      <c r="DE22" s="3"/>
      <c r="DF22" s="3"/>
      <c r="DG22" s="3"/>
      <c r="DH22" s="3"/>
      <c r="DI22" s="3"/>
      <c r="DJ22" s="3"/>
      <c r="DM22" s="3"/>
      <c r="DN22" s="3"/>
      <c r="DO22" s="3"/>
      <c r="DP22" s="3"/>
      <c r="DQ22" s="3"/>
      <c r="DR22" s="3"/>
    </row>
    <row r="23" spans="1:122">
      <c r="A23" s="10" t="s">
        <v>82</v>
      </c>
      <c r="B23" s="11">
        <f>AVERAGE(E23:AE23)</f>
        <v>0.25925925925925924</v>
      </c>
      <c r="C23" s="2">
        <f>MIN(E23:AE23)</f>
        <v>0</v>
      </c>
      <c r="D23" s="12">
        <f>MAX(E23:AE23)</f>
        <v>2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0</v>
      </c>
      <c r="M23" s="13">
        <v>1</v>
      </c>
      <c r="N23" s="13">
        <v>0</v>
      </c>
      <c r="O23" s="13">
        <v>0</v>
      </c>
      <c r="P23" s="13">
        <v>0</v>
      </c>
      <c r="Q23" s="13">
        <v>0</v>
      </c>
      <c r="R23" s="13">
        <v>2</v>
      </c>
      <c r="S23" s="13">
        <v>0</v>
      </c>
      <c r="T23" s="13">
        <v>0</v>
      </c>
      <c r="U23" s="13">
        <v>0</v>
      </c>
      <c r="V23" s="13">
        <v>0</v>
      </c>
      <c r="W23" s="13">
        <v>1</v>
      </c>
      <c r="X23" s="13">
        <v>2</v>
      </c>
      <c r="Y23" s="13">
        <v>1</v>
      </c>
      <c r="Z23" s="13">
        <v>0</v>
      </c>
      <c r="AA23" s="13">
        <v>0</v>
      </c>
      <c r="AB23" s="13">
        <v>0</v>
      </c>
      <c r="AC23" s="13">
        <v>0</v>
      </c>
      <c r="AD23" s="13">
        <v>0</v>
      </c>
      <c r="AE23" s="13">
        <v>0</v>
      </c>
      <c r="AF23" s="13">
        <v>0</v>
      </c>
      <c r="AG23" s="13"/>
      <c r="AH23" s="13"/>
      <c r="AJ23" s="22"/>
      <c r="AK23" s="22"/>
      <c r="AL23" s="22"/>
      <c r="AM23" s="22"/>
      <c r="AN23" s="22"/>
      <c r="AO23" s="22"/>
      <c r="AP23" s="22"/>
      <c r="AQ23" s="22"/>
      <c r="AR23" s="22"/>
      <c r="BE23" s="23">
        <v>2012</v>
      </c>
      <c r="BF23" s="13">
        <v>33</v>
      </c>
      <c r="BH23" s="23">
        <v>2012</v>
      </c>
      <c r="BI23" s="13">
        <v>2</v>
      </c>
      <c r="BJ23" s="13">
        <v>2</v>
      </c>
      <c r="BK23" s="13">
        <v>0</v>
      </c>
      <c r="BL23" s="13">
        <v>8</v>
      </c>
      <c r="BM23" s="3"/>
      <c r="BN23" s="3"/>
      <c r="BO23" s="35">
        <v>2012</v>
      </c>
      <c r="BP23" s="36">
        <f>BF23-BL23</f>
        <v>25</v>
      </c>
      <c r="BQ23" s="3"/>
      <c r="BR23" s="3"/>
      <c r="BS23" s="112" t="s">
        <v>83</v>
      </c>
      <c r="BT23" s="112"/>
      <c r="BU23" s="37">
        <v>30</v>
      </c>
      <c r="BV23" s="120" t="s">
        <v>84</v>
      </c>
      <c r="BW23" s="120"/>
      <c r="BX23" s="120"/>
      <c r="BY23" s="37">
        <v>0</v>
      </c>
      <c r="CA23" s="2"/>
      <c r="CB23" s="41">
        <v>2012</v>
      </c>
      <c r="CC23" s="39" t="str">
        <f>IFERROR("1 : " &amp; TEXT(BF23/BP23, "0,00"), "")</f>
        <v>1 : 1,32</v>
      </c>
      <c r="CD23" s="42">
        <f>IFERROR(BF23/BP23, "")</f>
        <v>1.32</v>
      </c>
      <c r="CG23" s="23">
        <v>2014</v>
      </c>
      <c r="CH23" s="13">
        <v>0</v>
      </c>
      <c r="CI23" s="13">
        <v>0</v>
      </c>
      <c r="CJ23" s="13">
        <v>0</v>
      </c>
      <c r="CK23" s="13">
        <v>6</v>
      </c>
      <c r="CL23" s="13">
        <v>7</v>
      </c>
      <c r="CM23" s="13">
        <v>3</v>
      </c>
      <c r="CN23" s="13">
        <v>13</v>
      </c>
      <c r="CO23" s="13">
        <v>5</v>
      </c>
      <c r="CP23" s="13">
        <v>5</v>
      </c>
      <c r="CQ23" s="13">
        <v>1</v>
      </c>
      <c r="CR23" s="13">
        <v>0</v>
      </c>
      <c r="CS23" s="13">
        <v>0</v>
      </c>
      <c r="CT23" s="2">
        <f>SUM(CH23:CS23)</f>
        <v>40</v>
      </c>
      <c r="CU23" s="3"/>
      <c r="CV23" s="3"/>
      <c r="DE23" s="3"/>
      <c r="DF23" s="3"/>
      <c r="DG23" s="3"/>
      <c r="DH23" s="3"/>
      <c r="DI23" s="3"/>
      <c r="DJ23" s="3"/>
      <c r="DM23" s="3"/>
      <c r="DN23" s="3"/>
      <c r="DO23" s="3"/>
      <c r="DP23" s="3"/>
      <c r="DQ23" s="3"/>
      <c r="DR23" s="3"/>
    </row>
    <row r="24" spans="1:122">
      <c r="A24" s="10" t="s">
        <v>85</v>
      </c>
      <c r="B24" s="11">
        <f>AVERAGE(E24:AE24)</f>
        <v>0.25925925925925924</v>
      </c>
      <c r="C24" s="2">
        <f>MIN(E24:AE24)</f>
        <v>0</v>
      </c>
      <c r="D24" s="12">
        <f>MAX(E24:AE24)</f>
        <v>2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</v>
      </c>
      <c r="M24" s="13">
        <v>1</v>
      </c>
      <c r="N24" s="13">
        <v>0</v>
      </c>
      <c r="O24" s="13">
        <v>0</v>
      </c>
      <c r="P24" s="13">
        <v>0</v>
      </c>
      <c r="Q24" s="13">
        <v>0</v>
      </c>
      <c r="R24" s="13">
        <v>2</v>
      </c>
      <c r="S24" s="13">
        <v>0</v>
      </c>
      <c r="T24" s="13">
        <v>0</v>
      </c>
      <c r="U24" s="13">
        <v>0</v>
      </c>
      <c r="V24" s="13">
        <v>0</v>
      </c>
      <c r="W24" s="13">
        <v>1</v>
      </c>
      <c r="X24" s="13">
        <v>2</v>
      </c>
      <c r="Y24" s="13">
        <v>1</v>
      </c>
      <c r="Z24" s="13">
        <v>0</v>
      </c>
      <c r="AA24" s="13">
        <v>0</v>
      </c>
      <c r="AB24" s="14">
        <v>0</v>
      </c>
      <c r="AC24" s="13">
        <v>0</v>
      </c>
      <c r="AD24" s="13">
        <v>0</v>
      </c>
      <c r="AE24" s="13">
        <v>0</v>
      </c>
      <c r="AF24" s="13">
        <v>0</v>
      </c>
      <c r="AG24" s="13"/>
      <c r="AH24" s="13"/>
      <c r="AJ24" s="22"/>
      <c r="AK24" s="22"/>
      <c r="AL24" s="22"/>
      <c r="AM24" s="22"/>
      <c r="AN24" s="22"/>
      <c r="AO24" s="22"/>
      <c r="AP24" s="22"/>
      <c r="AQ24" s="22"/>
      <c r="AR24" s="22"/>
      <c r="BE24" s="23">
        <v>2013</v>
      </c>
      <c r="BF24" s="13">
        <v>20</v>
      </c>
      <c r="BH24" s="23">
        <v>2013</v>
      </c>
      <c r="BI24" s="13">
        <v>1</v>
      </c>
      <c r="BJ24" s="13">
        <v>1</v>
      </c>
      <c r="BK24" s="13">
        <v>0</v>
      </c>
      <c r="BL24" s="13">
        <v>8</v>
      </c>
      <c r="BM24" s="3"/>
      <c r="BN24" s="3"/>
      <c r="BO24" s="35">
        <v>2013</v>
      </c>
      <c r="BP24" s="36">
        <f>BF24-BL24</f>
        <v>12</v>
      </c>
      <c r="BQ24" s="3"/>
      <c r="BR24" s="3"/>
      <c r="BS24" s="112" t="s">
        <v>86</v>
      </c>
      <c r="BT24" s="112"/>
      <c r="BU24" s="37">
        <v>34</v>
      </c>
      <c r="BV24" s="119" t="s">
        <v>87</v>
      </c>
      <c r="BW24" s="119"/>
      <c r="BX24" s="119"/>
      <c r="BY24" s="37">
        <v>2</v>
      </c>
      <c r="BZ24" s="3"/>
      <c r="CA24" s="3"/>
      <c r="CB24" s="41">
        <v>2013</v>
      </c>
      <c r="CC24" s="39" t="str">
        <f>IFERROR("1 : " &amp; TEXT(BF24/BP24, "0,00"), "")</f>
        <v>1 : 1,67</v>
      </c>
      <c r="CD24" s="42">
        <f>IFERROR(BF24/BP24, "")</f>
        <v>1.6666666666666667</v>
      </c>
      <c r="CG24" s="23">
        <v>2015</v>
      </c>
      <c r="CH24" s="13">
        <v>0</v>
      </c>
      <c r="CI24" s="13">
        <v>0</v>
      </c>
      <c r="CJ24" s="13">
        <v>1</v>
      </c>
      <c r="CK24" s="13">
        <v>3</v>
      </c>
      <c r="CL24" s="13">
        <v>2</v>
      </c>
      <c r="CM24" s="13">
        <v>7</v>
      </c>
      <c r="CN24" s="13">
        <v>9</v>
      </c>
      <c r="CO24" s="13">
        <v>4</v>
      </c>
      <c r="CP24" s="13">
        <v>2</v>
      </c>
      <c r="CQ24" s="13">
        <v>0</v>
      </c>
      <c r="CR24" s="13">
        <v>0</v>
      </c>
      <c r="CS24" s="13">
        <v>0</v>
      </c>
      <c r="CT24" s="2">
        <f>SUM(CH24:CS24)</f>
        <v>28</v>
      </c>
      <c r="CU24" s="3"/>
      <c r="CV24" s="3"/>
      <c r="DE24" s="3"/>
      <c r="DF24" s="3"/>
      <c r="DG24" s="3"/>
      <c r="DH24" s="3"/>
      <c r="DI24" s="3"/>
      <c r="DJ24" s="3"/>
      <c r="DM24" s="3"/>
      <c r="DN24" s="3"/>
      <c r="DO24" s="3"/>
      <c r="DP24" s="3"/>
      <c r="DQ24" s="3"/>
      <c r="DR24" s="3"/>
    </row>
    <row r="25" spans="1:122">
      <c r="A25" s="10" t="s">
        <v>88</v>
      </c>
      <c r="B25" s="11">
        <f>AVERAGE(E25:AE25)</f>
        <v>0.25925925925925924</v>
      </c>
      <c r="C25" s="2">
        <f>MIN(E25:AE25)</f>
        <v>0</v>
      </c>
      <c r="D25" s="12">
        <f>MAX(E25:AE25)</f>
        <v>2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0</v>
      </c>
      <c r="M25" s="13">
        <v>1</v>
      </c>
      <c r="N25" s="13">
        <v>0</v>
      </c>
      <c r="O25" s="13">
        <v>0</v>
      </c>
      <c r="P25" s="13">
        <v>0</v>
      </c>
      <c r="Q25" s="13">
        <v>0</v>
      </c>
      <c r="R25" s="13">
        <v>2</v>
      </c>
      <c r="S25" s="13">
        <v>0</v>
      </c>
      <c r="T25" s="13">
        <v>0</v>
      </c>
      <c r="U25" s="13">
        <v>0</v>
      </c>
      <c r="V25" s="13">
        <v>0</v>
      </c>
      <c r="W25" s="13">
        <v>1</v>
      </c>
      <c r="X25" s="13">
        <v>2</v>
      </c>
      <c r="Y25" s="13">
        <v>1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/>
      <c r="AH25" s="13"/>
      <c r="AJ25" s="22"/>
      <c r="AK25" s="22"/>
      <c r="AL25" s="22"/>
      <c r="AM25" s="22"/>
      <c r="AN25" s="22"/>
      <c r="AO25" s="22"/>
      <c r="AP25" s="22"/>
      <c r="AQ25" s="22"/>
      <c r="AR25" s="22"/>
      <c r="BE25" s="23">
        <v>2014</v>
      </c>
      <c r="BF25" s="13">
        <v>40</v>
      </c>
      <c r="BH25" s="23">
        <v>2014</v>
      </c>
      <c r="BI25" s="13">
        <v>0</v>
      </c>
      <c r="BJ25" s="13">
        <v>1</v>
      </c>
      <c r="BK25" s="13">
        <v>0</v>
      </c>
      <c r="BL25" s="13">
        <v>11</v>
      </c>
      <c r="BM25" s="3"/>
      <c r="BN25" s="3"/>
      <c r="BO25" s="35">
        <v>2014</v>
      </c>
      <c r="BP25" s="36">
        <f>BF25-BL25</f>
        <v>29</v>
      </c>
      <c r="BQ25" s="3"/>
      <c r="BR25" s="3"/>
      <c r="BS25" s="112" t="s">
        <v>89</v>
      </c>
      <c r="BT25" s="112"/>
      <c r="BU25" s="37">
        <v>28</v>
      </c>
      <c r="BV25" s="119" t="s">
        <v>76</v>
      </c>
      <c r="BW25" s="119"/>
      <c r="BX25" s="119"/>
      <c r="BY25" s="37">
        <v>0</v>
      </c>
      <c r="BZ25" s="3"/>
      <c r="CA25" s="3"/>
      <c r="CB25" s="41">
        <v>2014</v>
      </c>
      <c r="CC25" s="39" t="str">
        <f>IFERROR("1 : " &amp; TEXT(BF25/BP25, "0,00"), "")</f>
        <v>1 : 1,38</v>
      </c>
      <c r="CD25" s="42">
        <f>IFERROR(BF25/BP25, "")</f>
        <v>1.3793103448275863</v>
      </c>
      <c r="CG25" s="23">
        <v>2016</v>
      </c>
      <c r="CH25" s="13">
        <v>0</v>
      </c>
      <c r="CI25" s="13">
        <v>0</v>
      </c>
      <c r="CJ25" s="13">
        <v>0</v>
      </c>
      <c r="CK25" s="13">
        <v>1</v>
      </c>
      <c r="CL25" s="13">
        <v>5</v>
      </c>
      <c r="CM25" s="13">
        <v>13</v>
      </c>
      <c r="CN25" s="13">
        <v>11</v>
      </c>
      <c r="CO25" s="13">
        <v>2</v>
      </c>
      <c r="CP25" s="13">
        <v>1</v>
      </c>
      <c r="CQ25" s="13">
        <v>0</v>
      </c>
      <c r="CR25" s="13">
        <v>0</v>
      </c>
      <c r="CS25" s="13">
        <v>0</v>
      </c>
      <c r="CT25" s="2">
        <f>SUM(CH25:CS25)</f>
        <v>33</v>
      </c>
      <c r="CU25" s="3"/>
      <c r="CV25" s="3"/>
      <c r="DE25" s="3"/>
      <c r="DF25" s="3"/>
      <c r="DG25" s="3"/>
      <c r="DH25" s="3"/>
      <c r="DI25" s="3"/>
      <c r="DJ25" s="3"/>
      <c r="DM25" s="3"/>
      <c r="DN25" s="3"/>
      <c r="DO25" s="3"/>
      <c r="DP25" s="3"/>
      <c r="DQ25" s="3"/>
      <c r="DR25" s="3"/>
    </row>
    <row r="26" spans="1:122">
      <c r="A26" s="10" t="s">
        <v>90</v>
      </c>
      <c r="B26" s="11">
        <f>AVERAGE(E26:AE26)</f>
        <v>0.25925925925925924</v>
      </c>
      <c r="C26" s="2">
        <f>MIN(E26:AE26)</f>
        <v>0</v>
      </c>
      <c r="D26" s="12">
        <f>MAX(E26:AE26)</f>
        <v>2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1</v>
      </c>
      <c r="N26" s="13">
        <v>0</v>
      </c>
      <c r="O26" s="13">
        <v>0</v>
      </c>
      <c r="P26" s="13">
        <v>0</v>
      </c>
      <c r="Q26" s="13">
        <v>0</v>
      </c>
      <c r="R26" s="13">
        <v>2</v>
      </c>
      <c r="S26" s="13">
        <v>0</v>
      </c>
      <c r="T26" s="13">
        <v>0</v>
      </c>
      <c r="U26" s="13">
        <v>0</v>
      </c>
      <c r="V26" s="13">
        <v>0</v>
      </c>
      <c r="W26" s="13">
        <v>1</v>
      </c>
      <c r="X26" s="13">
        <v>2</v>
      </c>
      <c r="Y26" s="13">
        <v>1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13">
        <v>0</v>
      </c>
      <c r="AG26" s="13"/>
      <c r="AH26" s="13"/>
      <c r="BE26" s="23">
        <v>2015</v>
      </c>
      <c r="BF26" s="13">
        <v>28</v>
      </c>
      <c r="BH26" s="23">
        <v>2015</v>
      </c>
      <c r="BI26" s="13">
        <v>1</v>
      </c>
      <c r="BJ26" s="13">
        <v>2</v>
      </c>
      <c r="BK26" s="13">
        <v>0</v>
      </c>
      <c r="BL26" s="13">
        <v>9</v>
      </c>
      <c r="BM26" s="3"/>
      <c r="BN26" s="3"/>
      <c r="BO26" s="35">
        <v>2015</v>
      </c>
      <c r="BP26" s="36">
        <f>BF26-BL26</f>
        <v>19</v>
      </c>
      <c r="BQ26" s="3"/>
      <c r="BR26" s="3"/>
      <c r="BS26" s="112" t="s">
        <v>91</v>
      </c>
      <c r="BT26" s="112"/>
      <c r="BU26" s="37">
        <v>31</v>
      </c>
      <c r="BV26" s="119" t="s">
        <v>92</v>
      </c>
      <c r="BW26" s="119"/>
      <c r="BX26" s="119"/>
      <c r="BY26" s="37">
        <v>1</v>
      </c>
      <c r="BZ26" s="3"/>
      <c r="CA26" s="3"/>
      <c r="CB26" s="41">
        <v>2015</v>
      </c>
      <c r="CC26" s="39" t="str">
        <f>IFERROR("1 : " &amp; TEXT(BF26/BP26, "0,00"), "")</f>
        <v>1 : 1,47</v>
      </c>
      <c r="CD26" s="42">
        <f>IFERROR(BF26/BP26, "")</f>
        <v>1.4736842105263157</v>
      </c>
      <c r="CG26" s="23">
        <v>2017</v>
      </c>
      <c r="CH26" s="13">
        <v>1</v>
      </c>
      <c r="CI26" s="13">
        <v>0</v>
      </c>
      <c r="CJ26" s="13">
        <v>0</v>
      </c>
      <c r="CK26" s="13">
        <v>0</v>
      </c>
      <c r="CL26" s="13">
        <v>5</v>
      </c>
      <c r="CM26" s="13">
        <v>8</v>
      </c>
      <c r="CN26" s="13">
        <v>10</v>
      </c>
      <c r="CO26" s="13">
        <v>7</v>
      </c>
      <c r="CP26" s="13">
        <v>1</v>
      </c>
      <c r="CQ26" s="13">
        <v>1</v>
      </c>
      <c r="CR26" s="13">
        <v>0</v>
      </c>
      <c r="CS26" s="13">
        <v>0</v>
      </c>
      <c r="CT26" s="2">
        <f>SUM(CH26:CS26)</f>
        <v>33</v>
      </c>
      <c r="CU26" s="3"/>
      <c r="CV26" s="3"/>
      <c r="DE26" s="3"/>
      <c r="DF26" s="3"/>
      <c r="DG26" s="3"/>
      <c r="DH26" s="3"/>
      <c r="DI26" s="3"/>
      <c r="DJ26" s="3"/>
      <c r="DM26" s="3"/>
      <c r="DN26" s="3"/>
      <c r="DO26" s="3"/>
      <c r="DP26" s="3"/>
      <c r="DQ26" s="3"/>
      <c r="DR26" s="3"/>
    </row>
    <row r="27" spans="1:122">
      <c r="A27" s="10" t="s">
        <v>93</v>
      </c>
      <c r="B27" s="11">
        <f>AVERAGE(E27:AE27)</f>
        <v>0.25925925925925924</v>
      </c>
      <c r="C27" s="2">
        <f>MIN(E27:AE27)</f>
        <v>0</v>
      </c>
      <c r="D27" s="12">
        <f>MAX(E27:AE27)</f>
        <v>2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 s="14">
        <v>0</v>
      </c>
      <c r="L27" s="13">
        <v>0</v>
      </c>
      <c r="M27" s="13">
        <v>1</v>
      </c>
      <c r="N27" s="13">
        <v>0</v>
      </c>
      <c r="O27" s="13">
        <v>0</v>
      </c>
      <c r="P27" s="13">
        <v>0</v>
      </c>
      <c r="Q27" s="13">
        <v>0</v>
      </c>
      <c r="R27" s="13">
        <v>2</v>
      </c>
      <c r="S27" s="13">
        <v>0</v>
      </c>
      <c r="T27" s="13">
        <v>0</v>
      </c>
      <c r="U27" s="13">
        <v>0</v>
      </c>
      <c r="V27" s="13">
        <v>0</v>
      </c>
      <c r="W27" s="13">
        <v>1</v>
      </c>
      <c r="X27" s="13">
        <v>2</v>
      </c>
      <c r="Y27" s="13">
        <v>1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13">
        <v>0</v>
      </c>
      <c r="AF27" s="13">
        <v>0</v>
      </c>
      <c r="AG27" s="13"/>
      <c r="AH27" s="13"/>
      <c r="BE27" s="23">
        <v>2016</v>
      </c>
      <c r="BF27" s="13">
        <v>33</v>
      </c>
      <c r="BH27" s="23">
        <v>2016</v>
      </c>
      <c r="BI27" s="13">
        <v>0</v>
      </c>
      <c r="BJ27" s="13">
        <v>1</v>
      </c>
      <c r="BK27" s="13">
        <v>2</v>
      </c>
      <c r="BL27" s="13">
        <v>14</v>
      </c>
      <c r="BM27" s="3"/>
      <c r="BN27" s="3"/>
      <c r="BO27" s="35">
        <v>2016</v>
      </c>
      <c r="BP27" s="36">
        <f>BF27-BL27</f>
        <v>19</v>
      </c>
      <c r="BQ27" s="3"/>
      <c r="BR27" s="3"/>
      <c r="BS27" s="112" t="s">
        <v>94</v>
      </c>
      <c r="BT27" s="112"/>
      <c r="BU27" s="37">
        <v>33</v>
      </c>
      <c r="BV27" s="119" t="s">
        <v>87</v>
      </c>
      <c r="BW27" s="119"/>
      <c r="BX27" s="119"/>
      <c r="BY27" s="37">
        <v>2</v>
      </c>
      <c r="BZ27" s="3"/>
      <c r="CA27" s="3"/>
      <c r="CB27" s="41">
        <v>2016</v>
      </c>
      <c r="CC27" s="39" t="str">
        <f>IFERROR("1 : " &amp; TEXT(BF27/BP27, "0,00"), "")</f>
        <v>1 : 1,74</v>
      </c>
      <c r="CD27" s="42">
        <f>IFERROR(BF27/BP27, "")</f>
        <v>1.736842105263158</v>
      </c>
      <c r="CG27" s="23">
        <v>2018</v>
      </c>
      <c r="CH27" s="13">
        <v>2</v>
      </c>
      <c r="CI27" s="13">
        <v>0</v>
      </c>
      <c r="CJ27" s="13">
        <v>0</v>
      </c>
      <c r="CK27" s="13">
        <v>2</v>
      </c>
      <c r="CL27" s="13">
        <v>6</v>
      </c>
      <c r="CM27" s="13">
        <v>3</v>
      </c>
      <c r="CN27" s="13">
        <v>4</v>
      </c>
      <c r="CO27" s="13">
        <v>9</v>
      </c>
      <c r="CP27" s="13">
        <v>3</v>
      </c>
      <c r="CQ27" s="13">
        <v>0</v>
      </c>
      <c r="CR27" s="13">
        <v>0</v>
      </c>
      <c r="CS27" s="13">
        <v>0</v>
      </c>
      <c r="CT27" s="2">
        <f>SUM(CH27:CS27)</f>
        <v>29</v>
      </c>
      <c r="CU27" s="3"/>
      <c r="CV27" s="3"/>
      <c r="DE27" s="3"/>
      <c r="DF27" s="3"/>
      <c r="DG27" s="3"/>
      <c r="DH27" s="3"/>
      <c r="DI27" s="3"/>
      <c r="DJ27" s="3"/>
      <c r="DM27" s="3"/>
      <c r="DN27" s="3"/>
      <c r="DO27" s="3"/>
      <c r="DP27" s="3"/>
      <c r="DQ27" s="3"/>
      <c r="DR27" s="3"/>
    </row>
    <row r="28" spans="1:122">
      <c r="A28" s="10" t="s">
        <v>95</v>
      </c>
      <c r="B28" s="11">
        <f>AVERAGE(E28:AE28)</f>
        <v>0.25925925925925924</v>
      </c>
      <c r="C28" s="2">
        <f>MIN(E28:AE28)</f>
        <v>0</v>
      </c>
      <c r="D28" s="12">
        <f>MAX(E28:AE28)</f>
        <v>2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1</v>
      </c>
      <c r="N28" s="13">
        <v>0</v>
      </c>
      <c r="O28" s="13">
        <v>0</v>
      </c>
      <c r="P28" s="13">
        <v>0</v>
      </c>
      <c r="Q28" s="13">
        <v>0</v>
      </c>
      <c r="R28" s="13">
        <v>2</v>
      </c>
      <c r="S28" s="13">
        <v>0</v>
      </c>
      <c r="T28" s="13">
        <v>0</v>
      </c>
      <c r="U28" s="13">
        <v>0</v>
      </c>
      <c r="V28" s="13">
        <v>0</v>
      </c>
      <c r="W28" s="13">
        <v>1</v>
      </c>
      <c r="X28" s="13">
        <v>2</v>
      </c>
      <c r="Y28" s="13">
        <v>1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13">
        <v>0</v>
      </c>
      <c r="AF28" s="13">
        <v>0</v>
      </c>
      <c r="AG28" s="13"/>
      <c r="AH28" s="13"/>
      <c r="BE28" s="23">
        <v>2017</v>
      </c>
      <c r="BF28" s="13">
        <v>33</v>
      </c>
      <c r="BH28" s="23">
        <v>2017</v>
      </c>
      <c r="BI28" s="13">
        <v>3</v>
      </c>
      <c r="BJ28" s="13">
        <v>4</v>
      </c>
      <c r="BK28" s="13">
        <v>0</v>
      </c>
      <c r="BL28" s="13">
        <v>11</v>
      </c>
      <c r="BM28" s="3"/>
      <c r="BN28" s="3"/>
      <c r="BO28" s="35">
        <v>2017</v>
      </c>
      <c r="BP28" s="36">
        <f>BF28-BL28</f>
        <v>22</v>
      </c>
      <c r="BQ28" s="3"/>
      <c r="BR28" s="3"/>
      <c r="BS28" s="112" t="s">
        <v>96</v>
      </c>
      <c r="BT28" s="112"/>
      <c r="BU28" s="37">
        <v>27</v>
      </c>
      <c r="BV28" s="119" t="s">
        <v>76</v>
      </c>
      <c r="BW28" s="119"/>
      <c r="BX28" s="119"/>
      <c r="BY28" s="37">
        <v>0</v>
      </c>
      <c r="BZ28" s="3"/>
      <c r="CA28" s="3"/>
      <c r="CB28" s="41">
        <v>2017</v>
      </c>
      <c r="CC28" s="39" t="str">
        <f>IFERROR("1 : " &amp; TEXT(BF28/BP28, "0,00"), "")</f>
        <v>1 : 1,50</v>
      </c>
      <c r="CD28" s="42">
        <f>IFERROR(BF28/BP28, "")</f>
        <v>1.5</v>
      </c>
      <c r="CG28" s="23">
        <v>2019</v>
      </c>
      <c r="CH28" s="13">
        <v>1</v>
      </c>
      <c r="CI28" s="13">
        <v>0</v>
      </c>
      <c r="CJ28" s="13">
        <v>1</v>
      </c>
      <c r="CK28" s="13">
        <v>1</v>
      </c>
      <c r="CL28" s="13">
        <v>1</v>
      </c>
      <c r="CM28" s="13">
        <v>5</v>
      </c>
      <c r="CN28" s="13">
        <v>6</v>
      </c>
      <c r="CO28" s="13">
        <v>9</v>
      </c>
      <c r="CP28" s="13">
        <v>1</v>
      </c>
      <c r="CQ28" s="13">
        <v>0</v>
      </c>
      <c r="CR28" s="13">
        <v>0</v>
      </c>
      <c r="CS28" s="13">
        <v>0</v>
      </c>
      <c r="CT28" s="2">
        <f>SUM(CH28:CS28)</f>
        <v>25</v>
      </c>
      <c r="CU28" s="3"/>
      <c r="CV28" s="3"/>
      <c r="DE28" s="3"/>
      <c r="DF28" s="3"/>
      <c r="DG28" s="3"/>
      <c r="DH28" s="3"/>
      <c r="DI28" s="3"/>
      <c r="DJ28" s="3"/>
      <c r="DM28" s="3"/>
      <c r="DN28" s="3"/>
      <c r="DO28" s="3"/>
      <c r="DP28" s="3"/>
      <c r="DQ28" s="3"/>
      <c r="DR28" s="3"/>
    </row>
    <row r="29" spans="1:122">
      <c r="A29" s="10" t="s">
        <v>97</v>
      </c>
      <c r="B29" s="11">
        <f>AVERAGE(E29:AE29)</f>
        <v>0.25925925925925924</v>
      </c>
      <c r="C29" s="2">
        <f>MIN(E29:AE29)</f>
        <v>0</v>
      </c>
      <c r="D29" s="12">
        <f>MAX(E29:AE29)</f>
        <v>2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1</v>
      </c>
      <c r="N29" s="13">
        <v>0</v>
      </c>
      <c r="O29" s="13">
        <v>0</v>
      </c>
      <c r="P29" s="13">
        <v>0</v>
      </c>
      <c r="Q29" s="13">
        <v>0</v>
      </c>
      <c r="R29" s="13">
        <v>2</v>
      </c>
      <c r="S29" s="13">
        <v>0</v>
      </c>
      <c r="T29" s="13">
        <v>0</v>
      </c>
      <c r="U29" s="13">
        <v>0</v>
      </c>
      <c r="V29" s="13">
        <v>0</v>
      </c>
      <c r="W29" s="13">
        <v>1</v>
      </c>
      <c r="X29" s="13">
        <v>2</v>
      </c>
      <c r="Y29" s="13">
        <v>1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13">
        <v>0</v>
      </c>
      <c r="AF29" s="13">
        <v>0</v>
      </c>
      <c r="AG29" s="13"/>
      <c r="AH29" s="13"/>
      <c r="BE29" s="23">
        <v>2018</v>
      </c>
      <c r="BF29" s="13">
        <v>29</v>
      </c>
      <c r="BH29" s="23">
        <v>2018</v>
      </c>
      <c r="BI29" s="13">
        <v>2</v>
      </c>
      <c r="BJ29" s="13">
        <v>3</v>
      </c>
      <c r="BK29" s="13">
        <v>0</v>
      </c>
      <c r="BL29" s="13">
        <v>12</v>
      </c>
      <c r="BM29" s="3"/>
      <c r="BN29" s="3"/>
      <c r="BO29" s="35">
        <v>2018</v>
      </c>
      <c r="BP29" s="36">
        <f>BF29-BL29</f>
        <v>17</v>
      </c>
      <c r="BQ29" s="3"/>
      <c r="BR29" s="3"/>
      <c r="BS29" s="112" t="s">
        <v>98</v>
      </c>
      <c r="BT29" s="112"/>
      <c r="BU29" s="37">
        <v>30</v>
      </c>
      <c r="BV29" s="119" t="s">
        <v>76</v>
      </c>
      <c r="BW29" s="119"/>
      <c r="BX29" s="119"/>
      <c r="BY29" s="37">
        <v>0</v>
      </c>
      <c r="BZ29" s="3"/>
      <c r="CA29" s="3"/>
      <c r="CB29" s="41">
        <v>2018</v>
      </c>
      <c r="CC29" s="39" t="str">
        <f>IFERROR("1 : " &amp; TEXT(BF29/BP29, "0,00"), "")</f>
        <v>1 : 1,71</v>
      </c>
      <c r="CD29" s="42">
        <f>IFERROR(BF29/BP29, "")</f>
        <v>1.7058823529411764</v>
      </c>
      <c r="CG29" s="23">
        <v>2020</v>
      </c>
      <c r="CH29" s="13">
        <v>0</v>
      </c>
      <c r="CI29" s="13">
        <v>2</v>
      </c>
      <c r="CJ29" s="13">
        <v>0</v>
      </c>
      <c r="CK29" s="13">
        <v>0</v>
      </c>
      <c r="CL29" s="13">
        <v>0</v>
      </c>
      <c r="CM29" s="13">
        <v>8</v>
      </c>
      <c r="CN29" s="13">
        <v>4</v>
      </c>
      <c r="CO29" s="13">
        <v>6</v>
      </c>
      <c r="CP29" s="13">
        <v>2</v>
      </c>
      <c r="CQ29" s="13">
        <v>0</v>
      </c>
      <c r="CR29" s="13">
        <v>0</v>
      </c>
      <c r="CS29" s="13">
        <v>0</v>
      </c>
      <c r="CT29" s="2">
        <f>SUM(CH29:CS29)</f>
        <v>22</v>
      </c>
      <c r="CU29" s="3"/>
      <c r="CV29" s="3"/>
      <c r="DE29" s="3"/>
      <c r="DF29" s="3"/>
      <c r="DG29" s="3"/>
      <c r="DH29" s="3"/>
      <c r="DI29" s="3"/>
      <c r="DJ29" s="3"/>
    </row>
    <row r="30" spans="1:122">
      <c r="A30" s="10" t="s">
        <v>99</v>
      </c>
      <c r="B30" s="11">
        <f>AVERAGE(E30:AE30)</f>
        <v>0.25925925925925924</v>
      </c>
      <c r="C30" s="2">
        <f>MIN(E30:AE30)</f>
        <v>0</v>
      </c>
      <c r="D30" s="12">
        <f>MAX(E30:AE30)</f>
        <v>2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1</v>
      </c>
      <c r="N30" s="13">
        <v>0</v>
      </c>
      <c r="O30" s="13">
        <v>0</v>
      </c>
      <c r="P30" s="13">
        <v>0</v>
      </c>
      <c r="Q30" s="13">
        <v>0</v>
      </c>
      <c r="R30" s="13">
        <v>2</v>
      </c>
      <c r="S30" s="13">
        <v>0</v>
      </c>
      <c r="T30" s="13">
        <v>0</v>
      </c>
      <c r="U30" s="13">
        <v>0</v>
      </c>
      <c r="V30" s="13">
        <v>0</v>
      </c>
      <c r="W30" s="13">
        <v>1</v>
      </c>
      <c r="X30" s="13">
        <v>2</v>
      </c>
      <c r="Y30" s="13">
        <v>1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/>
      <c r="AH30" s="13"/>
      <c r="BE30" s="23">
        <v>2019</v>
      </c>
      <c r="BF30" s="13">
        <v>25</v>
      </c>
      <c r="BH30" s="23">
        <v>2019</v>
      </c>
      <c r="BI30" s="13">
        <v>1</v>
      </c>
      <c r="BJ30" s="13">
        <v>1</v>
      </c>
      <c r="BK30" s="13">
        <v>3</v>
      </c>
      <c r="BL30" s="13">
        <v>10</v>
      </c>
      <c r="BM30" s="3"/>
      <c r="BN30" s="3"/>
      <c r="BO30" s="35">
        <v>2019</v>
      </c>
      <c r="BP30" s="36">
        <f>BF30-BL30</f>
        <v>15</v>
      </c>
      <c r="BQ30" s="3"/>
      <c r="BR30" s="3"/>
      <c r="BS30" s="112" t="s">
        <v>100</v>
      </c>
      <c r="BT30" s="112"/>
      <c r="BU30" s="37">
        <v>20</v>
      </c>
      <c r="BV30" s="119" t="s">
        <v>73</v>
      </c>
      <c r="BW30" s="119"/>
      <c r="BX30" s="119"/>
      <c r="BY30" s="37">
        <v>-3</v>
      </c>
      <c r="BZ30" s="3"/>
      <c r="CA30" s="3"/>
      <c r="CB30" s="41">
        <v>2019</v>
      </c>
      <c r="CC30" s="39" t="str">
        <f>IFERROR("1 : " &amp; TEXT(BF30/BP30, "0,00"), "")</f>
        <v>1 : 1,67</v>
      </c>
      <c r="CD30" s="42">
        <f>IFERROR(BF30/BP30, "")</f>
        <v>1.6666666666666667</v>
      </c>
      <c r="CG30" s="23">
        <v>2021</v>
      </c>
      <c r="CH30" s="13">
        <v>0</v>
      </c>
      <c r="CI30" s="13">
        <v>0</v>
      </c>
      <c r="CJ30" s="13">
        <v>0</v>
      </c>
      <c r="CK30" s="13">
        <v>0</v>
      </c>
      <c r="CL30" s="13">
        <v>5</v>
      </c>
      <c r="CM30" s="13">
        <v>8</v>
      </c>
      <c r="CN30" s="13">
        <v>7</v>
      </c>
      <c r="CO30" s="13">
        <v>6</v>
      </c>
      <c r="CP30" s="13">
        <v>2</v>
      </c>
      <c r="CQ30" s="13">
        <v>0</v>
      </c>
      <c r="CR30" s="13">
        <v>0</v>
      </c>
      <c r="CS30" s="13">
        <v>0</v>
      </c>
      <c r="CT30" s="2">
        <f>SUM(CH30:CS30)</f>
        <v>28</v>
      </c>
      <c r="CU30" s="3"/>
      <c r="CV30" s="3"/>
      <c r="DE30" s="3"/>
      <c r="DF30" s="3"/>
      <c r="DG30" s="3"/>
      <c r="DH30" s="3"/>
      <c r="DI30" s="3"/>
      <c r="DJ30" s="3"/>
    </row>
    <row r="31" spans="1:122">
      <c r="A31" s="10" t="s">
        <v>101</v>
      </c>
      <c r="B31" s="11">
        <f>AVERAGE(E31:AE31)</f>
        <v>0.25925925925925924</v>
      </c>
      <c r="C31" s="2">
        <f>MIN(E31:AE31)</f>
        <v>0</v>
      </c>
      <c r="D31" s="12">
        <f>MAX(E31:AE31)</f>
        <v>2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1</v>
      </c>
      <c r="N31" s="13">
        <v>0</v>
      </c>
      <c r="O31" s="13">
        <v>0</v>
      </c>
      <c r="P31" s="13">
        <v>0</v>
      </c>
      <c r="Q31" s="13">
        <v>0</v>
      </c>
      <c r="R31" s="13">
        <v>2</v>
      </c>
      <c r="S31" s="13">
        <v>0</v>
      </c>
      <c r="T31" s="13">
        <v>0</v>
      </c>
      <c r="U31" s="13">
        <v>0</v>
      </c>
      <c r="V31" s="13">
        <v>0</v>
      </c>
      <c r="W31" s="13">
        <v>1</v>
      </c>
      <c r="X31" s="13">
        <v>2</v>
      </c>
      <c r="Y31" s="13">
        <v>1</v>
      </c>
      <c r="Z31" s="13">
        <v>0</v>
      </c>
      <c r="AA31" s="13">
        <v>0</v>
      </c>
      <c r="AB31" s="13">
        <v>0</v>
      </c>
      <c r="AC31" s="13">
        <v>0</v>
      </c>
      <c r="AD31" s="13">
        <v>0</v>
      </c>
      <c r="AE31" s="13">
        <v>0</v>
      </c>
      <c r="AF31" s="13">
        <v>0</v>
      </c>
      <c r="AG31" s="13"/>
      <c r="AH31" s="13"/>
      <c r="BE31" s="23">
        <v>2020</v>
      </c>
      <c r="BF31" s="13">
        <v>22</v>
      </c>
      <c r="BH31" s="23">
        <v>2020</v>
      </c>
      <c r="BI31" s="13">
        <v>0</v>
      </c>
      <c r="BJ31" s="13">
        <v>1</v>
      </c>
      <c r="BK31" s="13">
        <v>3</v>
      </c>
      <c r="BL31" s="13">
        <v>10</v>
      </c>
      <c r="BM31" s="3"/>
      <c r="BN31" s="3"/>
      <c r="BO31" s="35">
        <v>2020</v>
      </c>
      <c r="BP31" s="36">
        <f>BF31-BL31</f>
        <v>12</v>
      </c>
      <c r="BQ31" s="3"/>
      <c r="BR31" s="3"/>
      <c r="BS31" s="112" t="s">
        <v>102</v>
      </c>
      <c r="BT31" s="112"/>
      <c r="BU31" s="13">
        <v>32</v>
      </c>
      <c r="BV31" s="119" t="s">
        <v>92</v>
      </c>
      <c r="BW31" s="119"/>
      <c r="BX31" s="119"/>
      <c r="BY31" s="37">
        <v>1</v>
      </c>
      <c r="BZ31" s="3"/>
      <c r="CA31" s="3"/>
      <c r="CB31" s="41">
        <v>2020</v>
      </c>
      <c r="CC31" s="39" t="str">
        <f>IFERROR("1 : " &amp; TEXT(BF31/BP31, "0,00"), "")</f>
        <v>1 : 1,83</v>
      </c>
      <c r="CD31" s="42">
        <f>IFERROR(BF31/BP31, "")</f>
        <v>1.8333333333333333</v>
      </c>
      <c r="CG31" s="23">
        <v>2022</v>
      </c>
      <c r="CH31" s="13">
        <v>0</v>
      </c>
      <c r="CI31" s="13">
        <v>1</v>
      </c>
      <c r="CJ31" s="13">
        <v>0</v>
      </c>
      <c r="CK31" s="13">
        <v>1</v>
      </c>
      <c r="CL31" s="13">
        <v>4</v>
      </c>
      <c r="CM31" s="13">
        <v>5</v>
      </c>
      <c r="CN31" s="13">
        <v>4</v>
      </c>
      <c r="CO31" s="13">
        <v>5</v>
      </c>
      <c r="CP31" s="13">
        <v>5</v>
      </c>
      <c r="CQ31" s="13">
        <v>1</v>
      </c>
      <c r="CR31" s="13">
        <v>0</v>
      </c>
      <c r="CS31" s="13">
        <v>0</v>
      </c>
      <c r="CT31" s="2">
        <f>SUM(CH31:CS31)</f>
        <v>26</v>
      </c>
      <c r="CU31" s="3"/>
      <c r="CV31" s="3"/>
      <c r="DE31" s="3"/>
      <c r="DF31" s="3"/>
      <c r="DG31" s="3"/>
      <c r="DH31" s="3"/>
      <c r="DI31" s="3"/>
      <c r="DJ31" s="3"/>
    </row>
    <row r="32" spans="1:122">
      <c r="A32" s="10" t="s">
        <v>103</v>
      </c>
      <c r="B32" s="11">
        <f>AVERAGE(E32:AE32)</f>
        <v>0.25925925925925924</v>
      </c>
      <c r="C32" s="2">
        <f>MIN(E32:AE32)</f>
        <v>0</v>
      </c>
      <c r="D32" s="12">
        <f>MAX(E32:AE32)</f>
        <v>2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1</v>
      </c>
      <c r="N32" s="13">
        <v>0</v>
      </c>
      <c r="O32" s="13">
        <v>0</v>
      </c>
      <c r="P32" s="13">
        <v>0</v>
      </c>
      <c r="Q32" s="13">
        <v>0</v>
      </c>
      <c r="R32" s="13">
        <v>2</v>
      </c>
      <c r="S32" s="13">
        <v>0</v>
      </c>
      <c r="T32" s="13">
        <v>0</v>
      </c>
      <c r="U32" s="13">
        <v>0</v>
      </c>
      <c r="V32" s="13">
        <v>0</v>
      </c>
      <c r="W32" s="13">
        <v>1</v>
      </c>
      <c r="X32" s="13">
        <v>2</v>
      </c>
      <c r="Y32" s="13">
        <v>1</v>
      </c>
      <c r="Z32" s="13">
        <v>0</v>
      </c>
      <c r="AA32" s="13">
        <v>0</v>
      </c>
      <c r="AB32" s="13">
        <v>0</v>
      </c>
      <c r="AC32" s="13">
        <v>0</v>
      </c>
      <c r="AD32" s="13">
        <v>0</v>
      </c>
      <c r="AE32" s="13">
        <v>0</v>
      </c>
      <c r="AF32" s="13">
        <v>0</v>
      </c>
      <c r="AG32" s="13"/>
      <c r="AH32" s="13"/>
      <c r="BE32" s="23">
        <v>2021</v>
      </c>
      <c r="BF32" s="13">
        <v>28</v>
      </c>
      <c r="BH32" s="23">
        <v>2021</v>
      </c>
      <c r="BI32" s="13">
        <v>2</v>
      </c>
      <c r="BJ32" s="13">
        <v>0</v>
      </c>
      <c r="BK32" s="13">
        <v>2</v>
      </c>
      <c r="BL32" s="13">
        <v>9</v>
      </c>
      <c r="BM32" s="3"/>
      <c r="BN32" s="3"/>
      <c r="BO32" s="35">
        <v>2021</v>
      </c>
      <c r="BP32" s="36">
        <f>BF32-BL32</f>
        <v>19</v>
      </c>
      <c r="BQ32" s="3"/>
      <c r="BR32" s="3"/>
      <c r="BS32" s="112" t="s">
        <v>104</v>
      </c>
      <c r="BT32" s="112"/>
      <c r="BU32" s="13">
        <v>33</v>
      </c>
      <c r="BV32" s="119" t="s">
        <v>87</v>
      </c>
      <c r="BW32" s="119"/>
      <c r="BX32" s="119"/>
      <c r="BY32" s="37">
        <v>2</v>
      </c>
      <c r="BZ32" s="3"/>
      <c r="CA32" s="3"/>
      <c r="CB32" s="41">
        <v>2021</v>
      </c>
      <c r="CC32" s="39" t="str">
        <f>IFERROR("1 : " &amp; TEXT(BF32/BP32, "0,00"), "")</f>
        <v>1 : 1,47</v>
      </c>
      <c r="CD32" s="42">
        <f>IFERROR(BF32/BP32, "")</f>
        <v>1.4736842105263157</v>
      </c>
      <c r="CG32" s="23">
        <v>2023</v>
      </c>
      <c r="CH32" s="13">
        <v>0</v>
      </c>
      <c r="CI32" s="13">
        <v>1</v>
      </c>
      <c r="CJ32" s="13">
        <v>1</v>
      </c>
      <c r="CK32" s="13">
        <v>1</v>
      </c>
      <c r="CL32" s="13">
        <v>1</v>
      </c>
      <c r="CM32" s="13">
        <v>10</v>
      </c>
      <c r="CN32" s="13">
        <v>6</v>
      </c>
      <c r="CO32" s="13">
        <v>5</v>
      </c>
      <c r="CP32" s="13">
        <v>2</v>
      </c>
      <c r="CQ32" s="13">
        <v>1</v>
      </c>
      <c r="CR32" s="13">
        <v>0</v>
      </c>
      <c r="CS32" s="13">
        <v>2</v>
      </c>
      <c r="CT32" s="2">
        <f>SUM(CH32:CS32)</f>
        <v>30</v>
      </c>
      <c r="CU32" s="3"/>
      <c r="CV32" s="3"/>
      <c r="DE32" s="3"/>
      <c r="DF32" s="3"/>
      <c r="DG32" s="3"/>
      <c r="DH32" s="3"/>
      <c r="DI32" s="3"/>
      <c r="DJ32" s="3"/>
    </row>
    <row r="33" spans="1:232">
      <c r="A33" s="10" t="s">
        <v>105</v>
      </c>
      <c r="B33" s="11">
        <f>AVERAGE(E33:AE33)</f>
        <v>0.25925925925925924</v>
      </c>
      <c r="C33" s="2">
        <f>MIN(E33:AE33)</f>
        <v>0</v>
      </c>
      <c r="D33" s="12">
        <f>MAX(E33:AE33)</f>
        <v>2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1</v>
      </c>
      <c r="N33" s="13">
        <v>0</v>
      </c>
      <c r="O33" s="13">
        <v>0</v>
      </c>
      <c r="P33" s="13">
        <v>0</v>
      </c>
      <c r="Q33" s="13">
        <v>0</v>
      </c>
      <c r="R33" s="13">
        <v>2</v>
      </c>
      <c r="S33" s="13">
        <v>0</v>
      </c>
      <c r="T33" s="13">
        <v>0</v>
      </c>
      <c r="U33" s="13">
        <v>0</v>
      </c>
      <c r="V33" s="13">
        <v>0</v>
      </c>
      <c r="W33" s="13">
        <v>1</v>
      </c>
      <c r="X33" s="13">
        <v>2</v>
      </c>
      <c r="Y33" s="13">
        <v>1</v>
      </c>
      <c r="Z33" s="13">
        <v>0</v>
      </c>
      <c r="AA33" s="13">
        <v>0</v>
      </c>
      <c r="AB33" s="13">
        <v>0</v>
      </c>
      <c r="AC33" s="13">
        <v>0</v>
      </c>
      <c r="AD33" s="13">
        <v>0</v>
      </c>
      <c r="AE33" s="13">
        <v>0</v>
      </c>
      <c r="AF33" s="13">
        <v>0</v>
      </c>
      <c r="AG33" s="13"/>
      <c r="AH33" s="13"/>
      <c r="BC33" s="2"/>
      <c r="BE33" s="23">
        <v>2022</v>
      </c>
      <c r="BF33" s="13">
        <v>26</v>
      </c>
      <c r="BH33" s="23">
        <v>2022</v>
      </c>
      <c r="BI33" s="13">
        <v>2</v>
      </c>
      <c r="BJ33" s="13">
        <v>2</v>
      </c>
      <c r="BK33" s="13">
        <v>4</v>
      </c>
      <c r="BL33" s="13">
        <v>10</v>
      </c>
      <c r="BM33" s="3"/>
      <c r="BN33" s="3"/>
      <c r="BO33" s="35">
        <v>2022</v>
      </c>
      <c r="BP33" s="36">
        <f>BF33-BL33</f>
        <v>16</v>
      </c>
      <c r="BQ33" s="3"/>
      <c r="BR33" s="3"/>
      <c r="BS33" s="112" t="s">
        <v>106</v>
      </c>
      <c r="BT33" s="112"/>
      <c r="BU33" s="13">
        <v>20</v>
      </c>
      <c r="BV33" s="119" t="s">
        <v>73</v>
      </c>
      <c r="BW33" s="119"/>
      <c r="BX33" s="119"/>
      <c r="BY33" s="37">
        <v>-3</v>
      </c>
      <c r="BZ33" s="3"/>
      <c r="CA33" s="3"/>
      <c r="CB33" s="41">
        <v>2022</v>
      </c>
      <c r="CC33" s="39" t="str">
        <f>IFERROR("1 : " &amp; TEXT(BF33/BP33, "0,00"), "")</f>
        <v>1 : 1,63</v>
      </c>
      <c r="CD33" s="42">
        <f>IFERROR(BF33/BP33, "")</f>
        <v>1.625</v>
      </c>
      <c r="CG33" s="23">
        <v>2024</v>
      </c>
      <c r="CH33" s="13">
        <v>0</v>
      </c>
      <c r="CI33" s="13">
        <v>0</v>
      </c>
      <c r="CJ33" s="13">
        <v>0</v>
      </c>
      <c r="CK33" s="13">
        <v>1</v>
      </c>
      <c r="CL33" s="13">
        <v>7</v>
      </c>
      <c r="CM33" s="13">
        <v>6</v>
      </c>
      <c r="CN33" s="13">
        <v>6</v>
      </c>
      <c r="CO33" s="13">
        <v>9</v>
      </c>
      <c r="CP33" s="13">
        <v>1</v>
      </c>
      <c r="CQ33" s="13">
        <v>0</v>
      </c>
      <c r="CR33" s="13">
        <v>0</v>
      </c>
      <c r="CS33" s="13">
        <v>0</v>
      </c>
      <c r="CT33" s="2">
        <f>SUM(CH33:CS33)</f>
        <v>30</v>
      </c>
      <c r="CU33" s="3"/>
      <c r="CV33" s="3"/>
      <c r="DE33" s="3"/>
      <c r="DF33" s="3"/>
      <c r="DG33" s="3"/>
      <c r="DH33" s="3"/>
      <c r="DI33" s="3"/>
      <c r="DJ33" s="3"/>
    </row>
    <row r="34" spans="1:232">
      <c r="A34" s="10" t="s">
        <v>107</v>
      </c>
      <c r="B34" s="11">
        <f>AVERAGE(E34:AE34)</f>
        <v>0.25925925925925924</v>
      </c>
      <c r="C34" s="2">
        <f>MIN(E34:AE34)</f>
        <v>0</v>
      </c>
      <c r="D34" s="12">
        <f>MAX(E34:AE34)</f>
        <v>2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 s="13">
        <v>0</v>
      </c>
      <c r="L34" s="13">
        <v>0</v>
      </c>
      <c r="M34" s="13">
        <v>1</v>
      </c>
      <c r="N34" s="13">
        <v>0</v>
      </c>
      <c r="O34" s="13">
        <v>0</v>
      </c>
      <c r="P34" s="13">
        <v>0</v>
      </c>
      <c r="Q34" s="13">
        <v>0</v>
      </c>
      <c r="R34" s="13">
        <v>2</v>
      </c>
      <c r="S34" s="13">
        <v>0</v>
      </c>
      <c r="T34" s="13">
        <v>0</v>
      </c>
      <c r="U34" s="13">
        <v>0</v>
      </c>
      <c r="V34" s="13">
        <v>0</v>
      </c>
      <c r="W34" s="13">
        <v>1</v>
      </c>
      <c r="X34" s="13">
        <v>2</v>
      </c>
      <c r="Y34" s="13">
        <v>1</v>
      </c>
      <c r="Z34" s="13">
        <v>0</v>
      </c>
      <c r="AA34" s="13">
        <v>0</v>
      </c>
      <c r="AB34" s="13">
        <v>0</v>
      </c>
      <c r="AC34" s="13">
        <v>0</v>
      </c>
      <c r="AD34" s="13">
        <v>0</v>
      </c>
      <c r="AE34" s="13">
        <v>0</v>
      </c>
      <c r="AF34" s="13">
        <v>0</v>
      </c>
      <c r="AG34" s="13"/>
      <c r="AH34" s="13"/>
      <c r="BC34" s="2"/>
      <c r="BE34" s="23">
        <v>2023</v>
      </c>
      <c r="BF34" s="13">
        <v>29</v>
      </c>
      <c r="BH34" s="23">
        <v>2023</v>
      </c>
      <c r="BI34" s="13">
        <v>1</v>
      </c>
      <c r="BJ34" s="13">
        <v>2</v>
      </c>
      <c r="BK34" s="13">
        <v>2</v>
      </c>
      <c r="BL34" s="13">
        <v>13</v>
      </c>
      <c r="BM34" s="3"/>
      <c r="BN34" s="3"/>
      <c r="BO34" s="35">
        <v>2023</v>
      </c>
      <c r="BP34" s="36">
        <f>BF34-BL34</f>
        <v>16</v>
      </c>
      <c r="BQ34" s="3"/>
      <c r="BR34" s="3"/>
      <c r="BS34" s="112" t="s">
        <v>108</v>
      </c>
      <c r="BT34" s="112"/>
      <c r="BU34" s="13">
        <v>40</v>
      </c>
      <c r="BV34" s="119" t="s">
        <v>109</v>
      </c>
      <c r="BW34" s="119"/>
      <c r="BX34" s="119"/>
      <c r="BY34" s="37">
        <v>3</v>
      </c>
      <c r="BZ34" s="3"/>
      <c r="CA34" s="3"/>
      <c r="CB34" s="41">
        <v>2023</v>
      </c>
      <c r="CC34" s="39" t="str">
        <f>IFERROR("1 : " &amp; TEXT(BF34/BP34, "0,00"), "")</f>
        <v>1 : 1,81</v>
      </c>
      <c r="CD34" s="42">
        <f>IFERROR(BF34/BP34, "")</f>
        <v>1.8125</v>
      </c>
      <c r="CG34" s="23">
        <v>2025</v>
      </c>
      <c r="CH34" s="13">
        <v>0</v>
      </c>
      <c r="CI34" s="13">
        <v>0</v>
      </c>
      <c r="CJ34" s="13">
        <v>0</v>
      </c>
      <c r="CK34" s="13">
        <v>0</v>
      </c>
      <c r="CL34" s="13">
        <v>4</v>
      </c>
      <c r="CM34" s="13">
        <v>3</v>
      </c>
      <c r="CN34" s="13">
        <v>7</v>
      </c>
      <c r="CO34" s="48">
        <v>2</v>
      </c>
      <c r="CP34" s="13">
        <v>3</v>
      </c>
      <c r="CQ34" s="13">
        <v>0</v>
      </c>
      <c r="CR34" s="13">
        <v>0</v>
      </c>
      <c r="CS34" s="13">
        <v>0</v>
      </c>
      <c r="CT34" s="2">
        <f>SUM(CH34:CS34)</f>
        <v>19</v>
      </c>
      <c r="CU34" s="3"/>
      <c r="CV34" s="3"/>
      <c r="DE34" s="3"/>
      <c r="DF34" s="3"/>
      <c r="DG34" s="3"/>
      <c r="DH34" s="3"/>
      <c r="DI34" s="3"/>
      <c r="DJ34" s="3"/>
    </row>
    <row r="35" spans="1:232">
      <c r="A35" s="10" t="s">
        <v>110</v>
      </c>
      <c r="B35" s="11">
        <f>AVERAGE(E35:AE35)</f>
        <v>0.25925925925925924</v>
      </c>
      <c r="C35" s="2">
        <f>MIN(E35:AE35)</f>
        <v>0</v>
      </c>
      <c r="D35" s="12">
        <f>MAX(E35:AE35)</f>
        <v>2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1</v>
      </c>
      <c r="N35" s="13">
        <v>0</v>
      </c>
      <c r="O35" s="13">
        <v>0</v>
      </c>
      <c r="P35" s="13">
        <v>0</v>
      </c>
      <c r="Q35" s="13">
        <v>0</v>
      </c>
      <c r="R35" s="13">
        <v>2</v>
      </c>
      <c r="S35" s="13">
        <v>0</v>
      </c>
      <c r="T35" s="13">
        <v>0</v>
      </c>
      <c r="U35" s="13">
        <v>0</v>
      </c>
      <c r="V35" s="13">
        <v>0</v>
      </c>
      <c r="W35" s="13">
        <v>1</v>
      </c>
      <c r="X35" s="13">
        <v>2</v>
      </c>
      <c r="Y35" s="13">
        <v>1</v>
      </c>
      <c r="Z35" s="13">
        <v>0</v>
      </c>
      <c r="AA35" s="13">
        <v>0</v>
      </c>
      <c r="AB35" s="13">
        <v>0</v>
      </c>
      <c r="AC35" s="13">
        <v>0</v>
      </c>
      <c r="AD35" s="13">
        <v>0</v>
      </c>
      <c r="AE35" s="13">
        <v>0</v>
      </c>
      <c r="AF35" s="13">
        <v>0</v>
      </c>
      <c r="AG35" s="13"/>
      <c r="AH35" s="13"/>
      <c r="BC35" s="2"/>
      <c r="BE35" s="23">
        <v>2024</v>
      </c>
      <c r="BF35" s="13">
        <v>30</v>
      </c>
      <c r="BH35" s="23">
        <v>2024</v>
      </c>
      <c r="BI35" s="13">
        <v>0</v>
      </c>
      <c r="BJ35" s="13">
        <v>9</v>
      </c>
      <c r="BK35" s="13">
        <v>0</v>
      </c>
      <c r="BL35" s="13">
        <v>11</v>
      </c>
      <c r="BM35" s="3"/>
      <c r="BN35" s="3"/>
      <c r="BO35" s="35">
        <v>2024</v>
      </c>
      <c r="BP35" s="36">
        <f>BF35-BL35</f>
        <v>19</v>
      </c>
      <c r="BQ35" s="3"/>
      <c r="BR35" s="3"/>
      <c r="BS35" s="112" t="s">
        <v>111</v>
      </c>
      <c r="BT35" s="112"/>
      <c r="BU35" s="13">
        <v>28</v>
      </c>
      <c r="BV35" s="119" t="s">
        <v>76</v>
      </c>
      <c r="BW35" s="119"/>
      <c r="BX35" s="119"/>
      <c r="BY35" s="37">
        <v>0</v>
      </c>
      <c r="BZ35" s="3"/>
      <c r="CA35" s="3"/>
      <c r="CB35" s="41">
        <v>2024</v>
      </c>
      <c r="CC35" s="39" t="str">
        <f>IFERROR("1 : " &amp; TEXT(BF35/BP35, "0,00"), "")</f>
        <v>1 : 1,58</v>
      </c>
      <c r="CD35" s="42">
        <f>IFERROR(BF35/BP35, "")</f>
        <v>1.5789473684210527</v>
      </c>
      <c r="CG35" s="23">
        <v>2026</v>
      </c>
      <c r="CH35" s="13">
        <v>0</v>
      </c>
      <c r="CI35" s="13">
        <v>0</v>
      </c>
      <c r="CJ35" s="13">
        <v>0</v>
      </c>
      <c r="CK35" s="13">
        <v>1</v>
      </c>
      <c r="CL35" s="13">
        <v>4</v>
      </c>
      <c r="CM35" s="13">
        <v>6</v>
      </c>
      <c r="CN35" s="13">
        <v>3</v>
      </c>
      <c r="CO35" s="13"/>
      <c r="CP35" s="13"/>
      <c r="CQ35" s="13"/>
      <c r="CR35" s="13"/>
      <c r="CS35" s="13"/>
      <c r="CU35" s="3"/>
      <c r="CV35" s="3"/>
    </row>
    <row r="36" spans="1:232">
      <c r="A36" s="10" t="s">
        <v>112</v>
      </c>
      <c r="B36" s="11">
        <f>AVERAGE(E36:AE36)</f>
        <v>0.29629629629629628</v>
      </c>
      <c r="C36" s="2">
        <f>MIN(E36:AE36)</f>
        <v>0</v>
      </c>
      <c r="D36" s="12">
        <f>MAX(E36:AE36)</f>
        <v>2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1</v>
      </c>
      <c r="N36" s="13">
        <v>0</v>
      </c>
      <c r="O36" s="13">
        <v>0</v>
      </c>
      <c r="P36" s="13">
        <v>0</v>
      </c>
      <c r="Q36" s="13">
        <v>0</v>
      </c>
      <c r="R36" s="13">
        <v>2</v>
      </c>
      <c r="S36" s="13">
        <v>0</v>
      </c>
      <c r="T36" s="13">
        <v>0</v>
      </c>
      <c r="U36" s="13">
        <v>0</v>
      </c>
      <c r="V36" s="13">
        <v>0</v>
      </c>
      <c r="W36" s="13">
        <v>1</v>
      </c>
      <c r="X36" s="13">
        <v>2</v>
      </c>
      <c r="Y36" s="13">
        <v>1</v>
      </c>
      <c r="Z36" s="13">
        <v>0</v>
      </c>
      <c r="AA36" s="13">
        <v>0</v>
      </c>
      <c r="AB36" s="13">
        <v>0</v>
      </c>
      <c r="AC36" s="21">
        <v>1</v>
      </c>
      <c r="AD36" s="13">
        <v>0</v>
      </c>
      <c r="AE36" s="13">
        <v>0</v>
      </c>
      <c r="AF36" s="13">
        <v>0</v>
      </c>
      <c r="AG36" s="13"/>
      <c r="AH36" s="13"/>
      <c r="BC36" s="2"/>
      <c r="BE36" s="23">
        <v>2025</v>
      </c>
      <c r="BF36" s="13">
        <v>19</v>
      </c>
      <c r="BH36" s="49">
        <v>2025</v>
      </c>
      <c r="BI36" s="50">
        <v>0</v>
      </c>
      <c r="BJ36" s="13">
        <v>3</v>
      </c>
      <c r="BK36" s="51">
        <v>0</v>
      </c>
      <c r="BL36" s="51">
        <v>7</v>
      </c>
      <c r="BM36" s="3"/>
      <c r="BN36" s="3"/>
      <c r="BO36" s="35">
        <v>2025</v>
      </c>
      <c r="BP36" s="36">
        <f>BF36-BL36</f>
        <v>12</v>
      </c>
      <c r="BQ36" s="3"/>
      <c r="BR36" s="3"/>
      <c r="BS36" s="112" t="s">
        <v>113</v>
      </c>
      <c r="BT36" s="112"/>
      <c r="BU36" s="13">
        <v>33</v>
      </c>
      <c r="BV36" s="119" t="s">
        <v>87</v>
      </c>
      <c r="BW36" s="119"/>
      <c r="BX36" s="119"/>
      <c r="BY36" s="37">
        <v>2</v>
      </c>
      <c r="BZ36" s="3"/>
      <c r="CA36" s="3"/>
      <c r="CB36" s="41">
        <v>2025</v>
      </c>
      <c r="CC36" s="39" t="str">
        <f>IFERROR("1 : " &amp; TEXT(BF36/BP36, "0,00"), "")</f>
        <v>1 : 1,58</v>
      </c>
      <c r="CD36" s="42">
        <f>IFERROR(BF36/BP36, "")</f>
        <v>1.5833333333333333</v>
      </c>
      <c r="CG36" s="52" t="s">
        <v>114</v>
      </c>
      <c r="CH36" s="53">
        <f>AVERAGE(CH8:CH35)</f>
        <v>0.25</v>
      </c>
      <c r="CI36" s="53">
        <f>AVERAGE(CI8:CI35)</f>
        <v>0.25</v>
      </c>
      <c r="CJ36" s="53">
        <f>AVERAGE(CJ8:CJ35)</f>
        <v>0.35714285714285715</v>
      </c>
      <c r="CK36" s="53">
        <f>AVERAGE(CK8:CK35)</f>
        <v>1.4642857142857142</v>
      </c>
      <c r="CL36" s="53">
        <f>AVERAGE(CL8:CL35)</f>
        <v>4.9642857142857144</v>
      </c>
      <c r="CM36" s="53">
        <f>AVERAGE(CM8:CM35)</f>
        <v>6.1071428571428568</v>
      </c>
      <c r="CN36" s="53">
        <f>AVERAGE(CN8:CN35)</f>
        <v>7</v>
      </c>
      <c r="CO36" s="53">
        <f>AVERAGE(CO8:CO35)</f>
        <v>5.3703703703703702</v>
      </c>
      <c r="CP36" s="53">
        <f>AVERAGE(CP8:CP35)</f>
        <v>1.6296296296296295</v>
      </c>
      <c r="CQ36" s="53">
        <f>AVERAGE(CQ8:CQ35)</f>
        <v>0.25925925925925924</v>
      </c>
      <c r="CR36" s="53">
        <f>AVERAGE(CR8:CR35)</f>
        <v>3.7037037037037035E-2</v>
      </c>
      <c r="CS36" s="53">
        <f>AVERAGE(CS8:CS35)</f>
        <v>0.18518518518518517</v>
      </c>
      <c r="CT36" s="54">
        <f>SUM(CH36:CS36)</f>
        <v>27.874338624338627</v>
      </c>
      <c r="CU36" s="3"/>
      <c r="CV36" s="3"/>
      <c r="CW36" s="3"/>
      <c r="CX36" s="3"/>
      <c r="CY36" s="3"/>
      <c r="CZ36" s="3"/>
      <c r="DA36" s="3"/>
    </row>
    <row r="37" spans="1:232">
      <c r="A37" s="10" t="s">
        <v>115</v>
      </c>
      <c r="B37" s="11">
        <f>AVERAGE(E37:AE37)</f>
        <v>0.29629629629629628</v>
      </c>
      <c r="C37" s="2">
        <f>MIN(E37:AE37)</f>
        <v>0</v>
      </c>
      <c r="D37" s="12">
        <f>MAX(E37:AE37)</f>
        <v>2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1</v>
      </c>
      <c r="N37" s="13">
        <v>0</v>
      </c>
      <c r="O37" s="13">
        <v>0</v>
      </c>
      <c r="P37" s="13">
        <v>0</v>
      </c>
      <c r="Q37" s="13">
        <v>0</v>
      </c>
      <c r="R37" s="13">
        <v>2</v>
      </c>
      <c r="S37" s="13">
        <v>0</v>
      </c>
      <c r="T37" s="13">
        <v>0</v>
      </c>
      <c r="U37" s="13">
        <v>0</v>
      </c>
      <c r="V37" s="13">
        <v>0</v>
      </c>
      <c r="W37" s="13">
        <v>1</v>
      </c>
      <c r="X37" s="13">
        <v>2</v>
      </c>
      <c r="Y37" s="13">
        <v>1</v>
      </c>
      <c r="Z37" s="13">
        <v>0</v>
      </c>
      <c r="AA37" s="13">
        <v>0</v>
      </c>
      <c r="AB37" s="13">
        <v>0</v>
      </c>
      <c r="AC37" s="13">
        <v>1</v>
      </c>
      <c r="AD37" s="13">
        <v>0</v>
      </c>
      <c r="AE37" s="13">
        <v>0</v>
      </c>
      <c r="AF37" s="13">
        <v>0</v>
      </c>
      <c r="AG37" s="13"/>
      <c r="AH37" s="13"/>
      <c r="BC37" s="2"/>
      <c r="BE37" s="23">
        <v>2026</v>
      </c>
      <c r="BF37" s="13">
        <v>14</v>
      </c>
      <c r="BH37" s="49">
        <v>2026</v>
      </c>
      <c r="BI37" s="50">
        <v>0</v>
      </c>
      <c r="BJ37" s="13">
        <v>1</v>
      </c>
      <c r="BK37" s="51">
        <v>0</v>
      </c>
      <c r="BL37" s="51">
        <v>6</v>
      </c>
      <c r="BM37" s="3"/>
      <c r="BN37" s="3"/>
      <c r="BO37" s="35">
        <v>2026</v>
      </c>
      <c r="BP37" s="36">
        <v>8</v>
      </c>
      <c r="BQ37" s="3"/>
      <c r="BR37" s="3"/>
      <c r="BS37" s="112" t="s">
        <v>116</v>
      </c>
      <c r="BT37" s="112"/>
      <c r="BU37" s="13">
        <v>33</v>
      </c>
      <c r="BV37" s="119" t="s">
        <v>87</v>
      </c>
      <c r="BW37" s="119"/>
      <c r="BX37" s="119"/>
      <c r="BY37" s="37">
        <v>2</v>
      </c>
      <c r="BZ37" s="3"/>
      <c r="CA37" s="3"/>
      <c r="CB37" s="41">
        <v>2026</v>
      </c>
      <c r="CC37" s="39" t="str">
        <f>IFERROR("1 : " &amp; TEXT(BF37/BP37, "0,00"), "")</f>
        <v>1 : 1,75</v>
      </c>
      <c r="CD37" s="42">
        <f>IFERROR(BF37/BP37, "")</f>
        <v>1.75</v>
      </c>
      <c r="CG37" s="55" t="s">
        <v>34</v>
      </c>
      <c r="CH37" s="56">
        <f>SUM(CH8:CH34)</f>
        <v>7</v>
      </c>
      <c r="CI37" s="56">
        <f>SUM(CI8:CI34)</f>
        <v>7</v>
      </c>
      <c r="CJ37" s="56">
        <f>SUM(CJ8:CJ34)</f>
        <v>10</v>
      </c>
      <c r="CK37" s="56">
        <f>SUM(CK8:CK34)</f>
        <v>40</v>
      </c>
      <c r="CL37" s="56">
        <f>SUM(CL8:CL34)</f>
        <v>135</v>
      </c>
      <c r="CM37" s="56">
        <f>SUM(CM8:CM34)</f>
        <v>165</v>
      </c>
      <c r="CN37" s="56">
        <f>SUM(CN8:CN34)</f>
        <v>193</v>
      </c>
      <c r="CO37" s="56">
        <f>SUM(CO8:CO34)</f>
        <v>145</v>
      </c>
      <c r="CP37" s="56">
        <f>SUM(CP8:CP34)</f>
        <v>44</v>
      </c>
      <c r="CQ37" s="56">
        <f>SUM(CQ8:CQ34)</f>
        <v>7</v>
      </c>
      <c r="CR37" s="56">
        <f>SUM(CR8:CR34)</f>
        <v>1</v>
      </c>
      <c r="CS37" s="56">
        <f>SUM(CS8:CS34)</f>
        <v>5</v>
      </c>
      <c r="CU37" s="3"/>
      <c r="CV37" s="3"/>
      <c r="CW37" s="3"/>
      <c r="CX37" s="3"/>
      <c r="CY37" s="3"/>
      <c r="CZ37" s="3"/>
      <c r="DA37" s="3"/>
    </row>
    <row r="38" spans="1:232">
      <c r="A38" s="10" t="s">
        <v>117</v>
      </c>
      <c r="B38" s="11">
        <f>AVERAGE(E38:AE38)</f>
        <v>0.29629629629629628</v>
      </c>
      <c r="C38" s="2">
        <f>MIN(E38:AE38)</f>
        <v>0</v>
      </c>
      <c r="D38" s="12">
        <f>MAX(E38:AE38)</f>
        <v>2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13">
        <v>1</v>
      </c>
      <c r="N38" s="13">
        <v>0</v>
      </c>
      <c r="O38" s="13">
        <v>0</v>
      </c>
      <c r="P38" s="13">
        <v>0</v>
      </c>
      <c r="Q38" s="13">
        <v>0</v>
      </c>
      <c r="R38" s="13">
        <v>2</v>
      </c>
      <c r="S38" s="13">
        <v>0</v>
      </c>
      <c r="T38" s="13">
        <v>0</v>
      </c>
      <c r="U38" s="13">
        <v>0</v>
      </c>
      <c r="V38" s="13">
        <v>0</v>
      </c>
      <c r="W38" s="13">
        <v>1</v>
      </c>
      <c r="X38" s="13">
        <v>2</v>
      </c>
      <c r="Y38" s="13">
        <v>1</v>
      </c>
      <c r="Z38" s="13">
        <v>0</v>
      </c>
      <c r="AA38" s="13">
        <v>0</v>
      </c>
      <c r="AB38" s="13">
        <v>0</v>
      </c>
      <c r="AC38" s="13">
        <v>1</v>
      </c>
      <c r="AD38" s="13">
        <v>0</v>
      </c>
      <c r="AE38" s="13">
        <v>0</v>
      </c>
      <c r="AF38" s="13">
        <v>0</v>
      </c>
      <c r="AG38" s="13"/>
      <c r="AH38" s="13"/>
      <c r="BC38" s="2"/>
      <c r="BE38" s="23">
        <v>2027</v>
      </c>
      <c r="BF38" s="13"/>
      <c r="BH38" s="49">
        <v>2027</v>
      </c>
      <c r="BI38" s="50"/>
      <c r="BJ38" s="13"/>
      <c r="BK38" s="51"/>
      <c r="BL38" s="51"/>
      <c r="BM38" s="3"/>
      <c r="BN38" s="3"/>
      <c r="BO38" s="35">
        <v>2027</v>
      </c>
      <c r="BP38" s="36"/>
      <c r="BQ38" s="2"/>
      <c r="BR38" s="3"/>
      <c r="BS38" s="112" t="s">
        <v>118</v>
      </c>
      <c r="BT38" s="112"/>
      <c r="BU38" s="13">
        <v>29</v>
      </c>
      <c r="BV38" s="119" t="s">
        <v>76</v>
      </c>
      <c r="BW38" s="119"/>
      <c r="BX38" s="119"/>
      <c r="BY38" s="37">
        <v>0</v>
      </c>
      <c r="BZ38" s="3"/>
      <c r="CA38" s="3"/>
      <c r="CB38" s="41">
        <v>2027</v>
      </c>
      <c r="CC38" s="57" t="str">
        <f>IFERROR("1 : " &amp; TEXT(BF38/BP38, "0,0"), "")</f>
        <v/>
      </c>
      <c r="CD38" s="10"/>
      <c r="CU38" s="3"/>
      <c r="CV38" s="3"/>
      <c r="CW38" s="3"/>
      <c r="CX38" s="3"/>
      <c r="CY38" s="3"/>
      <c r="CZ38" s="3"/>
      <c r="DA38" s="3"/>
    </row>
    <row r="39" spans="1:232">
      <c r="A39" s="10" t="s">
        <v>119</v>
      </c>
      <c r="B39" s="11">
        <f>AVERAGE(E39:AE39)</f>
        <v>0.33333333333333331</v>
      </c>
      <c r="C39" s="2">
        <f>MIN(E39:AE39)</f>
        <v>0</v>
      </c>
      <c r="D39" s="12">
        <f>MAX(E39:AE39)</f>
        <v>2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1</v>
      </c>
      <c r="N39" s="13">
        <v>0</v>
      </c>
      <c r="O39" s="13">
        <v>0</v>
      </c>
      <c r="P39" s="13">
        <v>0</v>
      </c>
      <c r="Q39" s="13">
        <v>0</v>
      </c>
      <c r="R39" s="13">
        <v>2</v>
      </c>
      <c r="S39" s="13">
        <v>0</v>
      </c>
      <c r="T39" s="13">
        <v>0</v>
      </c>
      <c r="U39" s="13">
        <v>0</v>
      </c>
      <c r="V39" s="13">
        <v>0</v>
      </c>
      <c r="W39" s="13">
        <v>1</v>
      </c>
      <c r="X39" s="13">
        <v>2</v>
      </c>
      <c r="Y39" s="13">
        <v>1</v>
      </c>
      <c r="Z39" s="14">
        <v>0</v>
      </c>
      <c r="AA39" s="13">
        <v>0</v>
      </c>
      <c r="AB39" s="21">
        <v>1</v>
      </c>
      <c r="AC39" s="14">
        <v>1</v>
      </c>
      <c r="AD39" s="13">
        <v>0</v>
      </c>
      <c r="AE39" s="13">
        <v>0</v>
      </c>
      <c r="AF39" s="13">
        <v>0</v>
      </c>
      <c r="AG39" s="13"/>
      <c r="AH39" s="13"/>
      <c r="BC39" s="2"/>
      <c r="BE39" s="23">
        <v>2028</v>
      </c>
      <c r="BF39" s="13"/>
      <c r="BH39" s="49">
        <v>2028</v>
      </c>
      <c r="BI39" s="50"/>
      <c r="BJ39" s="13"/>
      <c r="BK39" s="51"/>
      <c r="BL39" s="51"/>
      <c r="BM39" s="3"/>
      <c r="BN39" s="3"/>
      <c r="BO39" s="35">
        <v>2028</v>
      </c>
      <c r="BP39" s="36"/>
      <c r="BQ39" s="2"/>
      <c r="BR39" s="3"/>
      <c r="BS39" s="112" t="s">
        <v>120</v>
      </c>
      <c r="BT39" s="112"/>
      <c r="BU39" s="13">
        <v>25</v>
      </c>
      <c r="BV39" s="119" t="s">
        <v>121</v>
      </c>
      <c r="BW39" s="119"/>
      <c r="BX39" s="119"/>
      <c r="BY39" s="37">
        <v>-1</v>
      </c>
      <c r="BZ39" s="3"/>
      <c r="CA39" s="3"/>
      <c r="CB39" s="41">
        <v>2028</v>
      </c>
      <c r="CC39" s="57" t="str">
        <f>IFERROR("1 : " &amp; TEXT(BF39/BP39, "0,0"), "")</f>
        <v/>
      </c>
      <c r="CD39" s="10"/>
      <c r="CH39" s="1">
        <f>SUM(CH25:CH34,CH23)</f>
        <v>4</v>
      </c>
      <c r="CI39" s="1">
        <f>SUM(CI25:CI34,CI23)</f>
        <v>4</v>
      </c>
      <c r="CJ39" s="1">
        <f>SUM(CJ25:CJ34,CJ23)</f>
        <v>2</v>
      </c>
      <c r="CK39" s="1">
        <f>SUM(CK25:CK34,CK23)</f>
        <v>13</v>
      </c>
      <c r="CL39" s="1">
        <f>SUM(CL25:CL34,CL23)</f>
        <v>45</v>
      </c>
      <c r="CM39" s="1">
        <f>SUM(CM25:CM34,CM23)</f>
        <v>72</v>
      </c>
      <c r="CN39" s="1">
        <f>SUM(CN25:CN34,CN23)</f>
        <v>78</v>
      </c>
      <c r="CO39" s="1">
        <f>SUM(CO25:CO34,CO23)</f>
        <v>65</v>
      </c>
      <c r="CP39" s="1">
        <f>SUM(CP25:CP34,CP23)</f>
        <v>26</v>
      </c>
      <c r="CQ39" s="1">
        <f>SUM(CQ25:CQ34,CQ23)</f>
        <v>4</v>
      </c>
      <c r="CR39" s="1">
        <f>SUM(CR25:CR34,CR23)</f>
        <v>0</v>
      </c>
      <c r="CS39" s="1">
        <f>SUM(CS25:CS34,CS23)</f>
        <v>2</v>
      </c>
      <c r="CU39" s="3"/>
      <c r="CV39" s="3"/>
      <c r="CW39" s="3"/>
      <c r="CX39" s="3"/>
      <c r="CY39" s="3"/>
      <c r="CZ39" s="3"/>
      <c r="DA39" s="3"/>
      <c r="DK39" s="32"/>
    </row>
    <row r="40" spans="1:232">
      <c r="A40" s="10" t="s">
        <v>122</v>
      </c>
      <c r="B40" s="11">
        <f>AVERAGE(E40:AE40)</f>
        <v>0.33333333333333331</v>
      </c>
      <c r="C40" s="2">
        <f>MIN(E40:AE40)</f>
        <v>0</v>
      </c>
      <c r="D40" s="12">
        <f>MAX(E40:AE40)</f>
        <v>2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1</v>
      </c>
      <c r="N40" s="13">
        <v>0</v>
      </c>
      <c r="O40" s="13">
        <v>0</v>
      </c>
      <c r="P40" s="13">
        <v>0</v>
      </c>
      <c r="Q40" s="13">
        <v>0</v>
      </c>
      <c r="R40" s="13">
        <v>2</v>
      </c>
      <c r="S40" s="13">
        <v>0</v>
      </c>
      <c r="T40" s="13">
        <v>0</v>
      </c>
      <c r="U40" s="13">
        <v>0</v>
      </c>
      <c r="V40" s="13">
        <v>0</v>
      </c>
      <c r="W40" s="13">
        <v>1</v>
      </c>
      <c r="X40" s="13">
        <v>2</v>
      </c>
      <c r="Y40" s="13">
        <v>1</v>
      </c>
      <c r="Z40" s="13">
        <v>0</v>
      </c>
      <c r="AA40" s="13">
        <v>0</v>
      </c>
      <c r="AB40" s="13">
        <v>1</v>
      </c>
      <c r="AC40" s="13">
        <v>1</v>
      </c>
      <c r="AD40" s="13">
        <v>0</v>
      </c>
      <c r="AE40" s="13">
        <v>0</v>
      </c>
      <c r="AF40" s="13">
        <v>0</v>
      </c>
      <c r="AG40" s="13"/>
      <c r="AH40" s="13"/>
      <c r="BC40" s="2"/>
      <c r="BE40" s="23">
        <v>2029</v>
      </c>
      <c r="BF40" s="13"/>
      <c r="BH40" s="58">
        <v>2029</v>
      </c>
      <c r="BI40" s="59"/>
      <c r="BJ40" s="60"/>
      <c r="BK40" s="61"/>
      <c r="BL40" s="61"/>
      <c r="BM40" s="3"/>
      <c r="BN40" s="3"/>
      <c r="BO40" s="43">
        <v>2029</v>
      </c>
      <c r="BP40" s="62"/>
      <c r="BQ40" s="2"/>
      <c r="BR40" s="3"/>
      <c r="BS40" s="112" t="s">
        <v>123</v>
      </c>
      <c r="BT40" s="112"/>
      <c r="BU40" s="13">
        <v>22</v>
      </c>
      <c r="BV40" s="119" t="s">
        <v>79</v>
      </c>
      <c r="BW40" s="119"/>
      <c r="BX40" s="119"/>
      <c r="BY40" s="37">
        <v>-2</v>
      </c>
      <c r="BZ40" s="3"/>
      <c r="CA40" s="3"/>
      <c r="CB40" s="63">
        <v>2029</v>
      </c>
      <c r="CC40" s="64" t="str">
        <f>IFERROR("1 : " &amp; TEXT(BF40/BP40, "0,0"), "")</f>
        <v/>
      </c>
      <c r="CD40" s="65"/>
      <c r="CU40" s="3"/>
      <c r="CV40" s="3"/>
      <c r="CW40" s="3"/>
      <c r="CX40" s="3"/>
      <c r="CY40" s="3"/>
      <c r="CZ40" s="3"/>
      <c r="DA40" s="3"/>
      <c r="DK40" s="32"/>
    </row>
    <row r="41" spans="1:232">
      <c r="A41" s="10" t="s">
        <v>124</v>
      </c>
      <c r="B41" s="11">
        <f>AVERAGE(E41:AE41)</f>
        <v>0.33333333333333331</v>
      </c>
      <c r="C41" s="2">
        <f>MIN(E41:AE41)</f>
        <v>0</v>
      </c>
      <c r="D41" s="12">
        <f>MAX(E41:AE41)</f>
        <v>2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1</v>
      </c>
      <c r="N41" s="13">
        <v>0</v>
      </c>
      <c r="O41" s="13">
        <v>0</v>
      </c>
      <c r="P41" s="13">
        <v>0</v>
      </c>
      <c r="Q41" s="13">
        <v>0</v>
      </c>
      <c r="R41" s="13">
        <v>2</v>
      </c>
      <c r="S41" s="13">
        <v>0</v>
      </c>
      <c r="T41" s="13">
        <v>0</v>
      </c>
      <c r="U41" s="13">
        <v>0</v>
      </c>
      <c r="V41" s="13">
        <v>0</v>
      </c>
      <c r="W41" s="13">
        <v>1</v>
      </c>
      <c r="X41" s="13">
        <v>2</v>
      </c>
      <c r="Y41" s="13">
        <v>1</v>
      </c>
      <c r="Z41" s="13">
        <v>0</v>
      </c>
      <c r="AA41" s="13">
        <v>0</v>
      </c>
      <c r="AB41" s="13">
        <v>1</v>
      </c>
      <c r="AC41" s="13">
        <v>1</v>
      </c>
      <c r="AD41" s="13">
        <v>0</v>
      </c>
      <c r="AE41" s="13">
        <v>0</v>
      </c>
      <c r="AF41" s="13">
        <v>0</v>
      </c>
      <c r="AG41" s="13"/>
      <c r="AH41" s="13"/>
      <c r="BC41" s="2"/>
      <c r="BE41" s="23" t="s">
        <v>125</v>
      </c>
      <c r="BF41" s="13">
        <v>19</v>
      </c>
      <c r="BM41" s="3"/>
      <c r="BN41" s="3"/>
      <c r="BO41" s="3"/>
      <c r="BP41" s="3"/>
      <c r="BQ41" s="2"/>
      <c r="BR41" s="3"/>
      <c r="BS41" s="112" t="s">
        <v>126</v>
      </c>
      <c r="BT41" s="112"/>
      <c r="BU41" s="13">
        <v>28</v>
      </c>
      <c r="BV41" s="119" t="s">
        <v>76</v>
      </c>
      <c r="BW41" s="119"/>
      <c r="BX41" s="119"/>
      <c r="BY41" s="37">
        <v>0</v>
      </c>
      <c r="BZ41" s="3"/>
      <c r="CA41" s="3"/>
      <c r="CB41" s="3"/>
      <c r="CU41" s="3"/>
      <c r="CV41" s="3"/>
      <c r="CW41" s="3"/>
      <c r="CX41" s="3"/>
      <c r="CY41" s="3"/>
      <c r="CZ41" s="3"/>
      <c r="DA41" s="3"/>
      <c r="DK41" s="32"/>
    </row>
    <row r="42" spans="1:232">
      <c r="A42" s="10" t="s">
        <v>127</v>
      </c>
      <c r="B42" s="11">
        <f>AVERAGE(E42:AE42)</f>
        <v>0.33333333333333331</v>
      </c>
      <c r="C42" s="2">
        <f>MIN(E42:AE42)</f>
        <v>0</v>
      </c>
      <c r="D42" s="12">
        <f>MAX(E42:AE42)</f>
        <v>2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1</v>
      </c>
      <c r="N42" s="13">
        <v>0</v>
      </c>
      <c r="O42" s="13">
        <v>0</v>
      </c>
      <c r="P42" s="13">
        <v>0</v>
      </c>
      <c r="Q42" s="13">
        <v>0</v>
      </c>
      <c r="R42" s="13">
        <v>2</v>
      </c>
      <c r="S42" s="13">
        <v>0</v>
      </c>
      <c r="T42" s="13">
        <v>0</v>
      </c>
      <c r="U42" s="13">
        <v>0</v>
      </c>
      <c r="V42" s="13">
        <v>0</v>
      </c>
      <c r="W42" s="13">
        <v>1</v>
      </c>
      <c r="X42" s="13">
        <v>2</v>
      </c>
      <c r="Y42" s="13">
        <v>1</v>
      </c>
      <c r="Z42" s="13">
        <v>0</v>
      </c>
      <c r="AA42" s="13">
        <v>0</v>
      </c>
      <c r="AB42" s="13">
        <v>1</v>
      </c>
      <c r="AC42" s="13">
        <v>1</v>
      </c>
      <c r="AD42" s="13">
        <v>0</v>
      </c>
      <c r="AE42" s="13">
        <v>0</v>
      </c>
      <c r="AF42" s="13">
        <v>0</v>
      </c>
      <c r="AG42" s="13"/>
      <c r="AH42" s="13"/>
      <c r="BC42" s="2"/>
      <c r="BE42" s="23" t="s">
        <v>128</v>
      </c>
      <c r="BF42" s="13">
        <v>40</v>
      </c>
      <c r="BM42" s="3"/>
      <c r="BN42" s="3"/>
      <c r="BO42" s="3"/>
      <c r="BP42" s="3"/>
      <c r="BQ42" s="2"/>
      <c r="BR42" s="3"/>
      <c r="BS42" s="112" t="s">
        <v>129</v>
      </c>
      <c r="BT42" s="112"/>
      <c r="BU42" s="13">
        <v>26</v>
      </c>
      <c r="BV42" s="119" t="s">
        <v>76</v>
      </c>
      <c r="BW42" s="119"/>
      <c r="BX42" s="119"/>
      <c r="BY42" s="37">
        <v>0</v>
      </c>
      <c r="BZ42" s="3"/>
      <c r="CA42" s="3"/>
      <c r="CB42" s="3"/>
      <c r="CU42" s="3"/>
      <c r="CV42" s="3"/>
      <c r="CW42" s="3"/>
      <c r="CX42" s="3"/>
      <c r="CY42" s="3"/>
      <c r="CZ42" s="3"/>
      <c r="DA42" s="3"/>
      <c r="DK42" s="31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117" t="s">
        <v>130</v>
      </c>
      <c r="EY42" s="117"/>
      <c r="EZ42" s="66"/>
      <c r="FA42" s="117" t="s">
        <v>22</v>
      </c>
      <c r="FB42" s="117"/>
      <c r="FC42" s="117"/>
      <c r="FD42" s="117"/>
      <c r="FE42" s="117" t="s">
        <v>23</v>
      </c>
      <c r="FF42" s="117"/>
      <c r="FG42" s="117"/>
      <c r="FH42" s="117"/>
      <c r="FI42" s="117" t="s">
        <v>24</v>
      </c>
      <c r="FJ42" s="117"/>
      <c r="FK42" s="117"/>
      <c r="FL42" s="117"/>
      <c r="FM42" s="117" t="s">
        <v>25</v>
      </c>
      <c r="FN42" s="117"/>
      <c r="FO42" s="117"/>
      <c r="FP42" s="117"/>
      <c r="FQ42" s="117" t="s">
        <v>26</v>
      </c>
      <c r="FR42" s="117"/>
      <c r="FS42" s="117"/>
      <c r="FT42" s="117"/>
      <c r="FU42" s="117" t="s">
        <v>27</v>
      </c>
      <c r="FV42" s="117"/>
      <c r="FW42" s="117"/>
      <c r="FX42" s="117"/>
      <c r="FY42" s="117" t="s">
        <v>28</v>
      </c>
      <c r="FZ42" s="117"/>
      <c r="GA42" s="117"/>
      <c r="GB42" s="117"/>
      <c r="GC42" s="117" t="s">
        <v>29</v>
      </c>
      <c r="GD42" s="117"/>
      <c r="GE42" s="117"/>
      <c r="GF42" s="117"/>
      <c r="GG42" s="117" t="s">
        <v>30</v>
      </c>
      <c r="GH42" s="117"/>
      <c r="GI42" s="117"/>
      <c r="GJ42" s="117"/>
      <c r="GK42" s="117" t="s">
        <v>31</v>
      </c>
      <c r="GL42" s="117"/>
      <c r="GM42" s="117"/>
      <c r="GN42" s="117"/>
      <c r="GO42" s="117" t="s">
        <v>32</v>
      </c>
      <c r="GP42" s="117"/>
      <c r="GQ42" s="117"/>
      <c r="GR42" s="117"/>
      <c r="GS42" s="117" t="s">
        <v>33</v>
      </c>
      <c r="GT42" s="117"/>
      <c r="GU42" s="117"/>
      <c r="GV42" s="117"/>
      <c r="GW42" s="118" t="s">
        <v>131</v>
      </c>
      <c r="GX42" s="118"/>
      <c r="GY42" s="67" t="s">
        <v>132</v>
      </c>
      <c r="GZ42" s="68" t="s">
        <v>133</v>
      </c>
      <c r="HA42" s="69" t="s">
        <v>134</v>
      </c>
      <c r="HB42" s="69" t="s">
        <v>135</v>
      </c>
      <c r="HC42" s="69" t="s">
        <v>136</v>
      </c>
      <c r="HD42" s="69" t="s">
        <v>137</v>
      </c>
      <c r="HE42" s="69" t="s">
        <v>138</v>
      </c>
      <c r="HF42" s="69" t="s">
        <v>139</v>
      </c>
      <c r="HG42" s="69" t="s">
        <v>140</v>
      </c>
      <c r="HH42" s="69" t="s">
        <v>141</v>
      </c>
      <c r="HI42" s="69" t="s">
        <v>142</v>
      </c>
      <c r="HJ42" s="70" t="s">
        <v>143</v>
      </c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</row>
    <row r="43" spans="1:232">
      <c r="A43" s="10" t="s">
        <v>144</v>
      </c>
      <c r="B43" s="11">
        <f>AVERAGE(E43:AE43)</f>
        <v>0.33333333333333331</v>
      </c>
      <c r="C43" s="2">
        <f>MIN(E43:AE43)</f>
        <v>0</v>
      </c>
      <c r="D43" s="12">
        <f>MAX(E43:AE43)</f>
        <v>2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1</v>
      </c>
      <c r="N43" s="13">
        <v>0</v>
      </c>
      <c r="O43" s="13">
        <v>0</v>
      </c>
      <c r="P43" s="13">
        <v>0</v>
      </c>
      <c r="Q43" s="13">
        <v>0</v>
      </c>
      <c r="R43" s="13">
        <v>2</v>
      </c>
      <c r="S43" s="13">
        <v>0</v>
      </c>
      <c r="T43" s="13">
        <v>0</v>
      </c>
      <c r="U43" s="13">
        <v>0</v>
      </c>
      <c r="V43" s="13">
        <v>0</v>
      </c>
      <c r="W43" s="13">
        <v>1</v>
      </c>
      <c r="X43" s="13">
        <v>2</v>
      </c>
      <c r="Y43" s="13">
        <v>1</v>
      </c>
      <c r="Z43" s="13">
        <v>0</v>
      </c>
      <c r="AA43" s="13">
        <v>0</v>
      </c>
      <c r="AB43" s="13">
        <v>1</v>
      </c>
      <c r="AC43" s="13">
        <v>1</v>
      </c>
      <c r="AD43" s="13">
        <v>0</v>
      </c>
      <c r="AE43" s="13">
        <v>0</v>
      </c>
      <c r="AF43" s="13">
        <v>0</v>
      </c>
      <c r="AG43" s="13"/>
      <c r="AH43" s="13"/>
      <c r="BC43" s="2"/>
      <c r="BE43" s="71" t="s">
        <v>145</v>
      </c>
      <c r="BF43" s="60">
        <v>28.1</v>
      </c>
      <c r="BM43" s="3"/>
      <c r="BN43" s="3"/>
      <c r="BO43" s="3"/>
      <c r="BP43" s="3"/>
      <c r="BQ43" s="2"/>
      <c r="BR43" s="3"/>
      <c r="BS43" s="112" t="s">
        <v>146</v>
      </c>
      <c r="BT43" s="112"/>
      <c r="BU43" s="13">
        <v>29</v>
      </c>
      <c r="BV43" s="113" t="s">
        <v>76</v>
      </c>
      <c r="BW43" s="113"/>
      <c r="BX43" s="113"/>
      <c r="BY43" s="13">
        <v>0</v>
      </c>
      <c r="CB43" s="3"/>
      <c r="CU43" s="3"/>
      <c r="CV43" s="3"/>
      <c r="CW43" s="3"/>
      <c r="CX43" s="3"/>
      <c r="CY43" s="3"/>
      <c r="CZ43" s="3"/>
      <c r="DA43" s="3"/>
      <c r="DK43" s="31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72"/>
      <c r="EY43" s="72"/>
      <c r="EZ43" s="23">
        <v>1999</v>
      </c>
      <c r="FA43" s="73">
        <v>0</v>
      </c>
      <c r="FB43" s="74">
        <v>0</v>
      </c>
      <c r="FC43" s="74">
        <v>0</v>
      </c>
      <c r="FD43" s="75">
        <v>0</v>
      </c>
      <c r="FE43" s="73">
        <v>0</v>
      </c>
      <c r="FF43" s="74">
        <v>0</v>
      </c>
      <c r="FG43" s="74">
        <v>0</v>
      </c>
      <c r="FH43" s="75">
        <v>0</v>
      </c>
      <c r="FI43" s="73">
        <v>0</v>
      </c>
      <c r="FJ43" s="74">
        <v>0</v>
      </c>
      <c r="FK43" s="74">
        <v>0</v>
      </c>
      <c r="FL43" s="75">
        <v>0</v>
      </c>
      <c r="FM43" s="73">
        <v>0</v>
      </c>
      <c r="FN43" s="74">
        <v>0</v>
      </c>
      <c r="FO43" s="74">
        <v>0</v>
      </c>
      <c r="FP43" s="75">
        <v>0</v>
      </c>
      <c r="FQ43" s="73">
        <v>0</v>
      </c>
      <c r="FR43" s="74">
        <v>5</v>
      </c>
      <c r="FS43" s="74">
        <v>0</v>
      </c>
      <c r="FT43" s="75">
        <v>0</v>
      </c>
      <c r="FU43" s="73">
        <v>0</v>
      </c>
      <c r="FV43" s="74">
        <v>1</v>
      </c>
      <c r="FW43" s="74">
        <v>0</v>
      </c>
      <c r="FX43" s="75">
        <v>1</v>
      </c>
      <c r="FY43" s="73">
        <v>0</v>
      </c>
      <c r="FZ43" s="74">
        <v>1</v>
      </c>
      <c r="GA43" s="74">
        <v>1</v>
      </c>
      <c r="GB43" s="75">
        <v>0</v>
      </c>
      <c r="GC43" s="73">
        <v>0</v>
      </c>
      <c r="GD43" s="74">
        <v>1</v>
      </c>
      <c r="GE43" s="74">
        <v>0</v>
      </c>
      <c r="GF43" s="75">
        <v>0</v>
      </c>
      <c r="GG43" s="73">
        <v>0</v>
      </c>
      <c r="GH43" s="74">
        <v>1</v>
      </c>
      <c r="GI43" s="74">
        <v>0</v>
      </c>
      <c r="GJ43" s="75">
        <v>0</v>
      </c>
      <c r="GK43" s="73">
        <v>0</v>
      </c>
      <c r="GL43" s="74">
        <v>0</v>
      </c>
      <c r="GM43" s="74">
        <v>0</v>
      </c>
      <c r="GN43" s="75">
        <v>0</v>
      </c>
      <c r="GO43" s="73">
        <v>0</v>
      </c>
      <c r="GP43" s="72">
        <v>0</v>
      </c>
      <c r="GQ43" s="74">
        <v>0</v>
      </c>
      <c r="GR43" s="75">
        <v>0</v>
      </c>
      <c r="GS43" s="73">
        <v>0</v>
      </c>
      <c r="GT43" s="74">
        <v>0</v>
      </c>
      <c r="GU43" s="74">
        <v>0</v>
      </c>
      <c r="GV43" s="75">
        <v>0</v>
      </c>
      <c r="GW43" s="76"/>
      <c r="GX43" s="38">
        <v>1999</v>
      </c>
      <c r="GY43" s="46">
        <v>0</v>
      </c>
      <c r="GZ43" s="46">
        <v>0</v>
      </c>
      <c r="HA43" s="48">
        <v>0</v>
      </c>
      <c r="HB43" s="48">
        <v>1</v>
      </c>
      <c r="HC43" s="48">
        <f>CL8-FR43</f>
        <v>1</v>
      </c>
      <c r="HD43" s="48">
        <f>CM8-FV43</f>
        <v>3</v>
      </c>
      <c r="HE43" s="48">
        <f>CN8-FZ43</f>
        <v>4</v>
      </c>
      <c r="HF43" s="48">
        <f>CO8-GD43</f>
        <v>0</v>
      </c>
      <c r="HG43" s="48">
        <f>CP8-GH43</f>
        <v>2</v>
      </c>
      <c r="HH43" s="48">
        <f>CQ8-GL43</f>
        <v>0</v>
      </c>
      <c r="HI43" s="48">
        <f>CR8-GP43</f>
        <v>0</v>
      </c>
      <c r="HJ43" s="9">
        <f>CS8-GT43</f>
        <v>0</v>
      </c>
      <c r="HK43" s="77">
        <f>SUM(GY43:HJ43)</f>
        <v>11</v>
      </c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</row>
    <row r="44" spans="1:232">
      <c r="A44" s="10" t="s">
        <v>147</v>
      </c>
      <c r="B44" s="11">
        <f>AVERAGE(E44:AE44)</f>
        <v>0.33333333333333331</v>
      </c>
      <c r="C44" s="2">
        <f>MIN(E44:AE44)</f>
        <v>0</v>
      </c>
      <c r="D44" s="12">
        <f>MAX(E44:AE44)</f>
        <v>2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1</v>
      </c>
      <c r="N44" s="13">
        <v>0</v>
      </c>
      <c r="O44" s="13">
        <v>0</v>
      </c>
      <c r="P44" s="13">
        <v>0</v>
      </c>
      <c r="Q44" s="13">
        <v>0</v>
      </c>
      <c r="R44" s="13">
        <v>2</v>
      </c>
      <c r="S44" s="13">
        <v>0</v>
      </c>
      <c r="T44" s="13">
        <v>0</v>
      </c>
      <c r="U44" s="13">
        <v>0</v>
      </c>
      <c r="V44" s="13">
        <v>0</v>
      </c>
      <c r="W44" s="13">
        <v>1</v>
      </c>
      <c r="X44" s="13">
        <v>2</v>
      </c>
      <c r="Y44" s="13">
        <v>1</v>
      </c>
      <c r="Z44" s="13">
        <v>0</v>
      </c>
      <c r="AA44" s="13">
        <v>0</v>
      </c>
      <c r="AB44" s="13">
        <v>1</v>
      </c>
      <c r="AC44" s="13">
        <v>1</v>
      </c>
      <c r="AD44" s="13">
        <v>0</v>
      </c>
      <c r="AE44" s="13">
        <v>0</v>
      </c>
      <c r="AF44" s="13">
        <v>0</v>
      </c>
      <c r="AG44" s="13"/>
      <c r="AH44" s="13"/>
      <c r="BC44" s="2"/>
      <c r="BD44" s="2"/>
      <c r="BE44" s="2"/>
      <c r="BF44" s="3"/>
      <c r="BG44" s="3"/>
      <c r="BH44" s="3"/>
      <c r="BI44" s="3"/>
      <c r="BJ44" s="3"/>
      <c r="BK44" s="3"/>
      <c r="BL44" s="3"/>
      <c r="BM44" s="3"/>
      <c r="BN44" s="3"/>
      <c r="BP44" s="2"/>
      <c r="BQ44" s="2"/>
      <c r="BR44" s="3"/>
      <c r="BS44" s="112" t="s">
        <v>148</v>
      </c>
      <c r="BT44" s="112"/>
      <c r="BU44" s="13">
        <v>30</v>
      </c>
      <c r="BV44" s="113" t="s">
        <v>76</v>
      </c>
      <c r="BW44" s="113"/>
      <c r="BX44" s="113"/>
      <c r="BY44" s="13">
        <v>0</v>
      </c>
      <c r="CB44" s="3"/>
      <c r="CU44" s="3"/>
      <c r="CV44" s="3"/>
      <c r="CW44" s="3"/>
      <c r="CX44" s="3"/>
      <c r="CY44" s="3"/>
      <c r="CZ44" s="3"/>
      <c r="DA44" s="3"/>
      <c r="DK44" s="31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72"/>
      <c r="EY44" s="72"/>
      <c r="EZ44" s="23">
        <v>2000</v>
      </c>
      <c r="FA44" s="72">
        <v>0</v>
      </c>
      <c r="FB44" s="72">
        <v>0</v>
      </c>
      <c r="FC44" s="72">
        <v>0</v>
      </c>
      <c r="FD44" s="9">
        <v>0</v>
      </c>
      <c r="FE44" s="78">
        <v>0</v>
      </c>
      <c r="FF44" s="72">
        <v>0</v>
      </c>
      <c r="FG44" s="72">
        <v>0</v>
      </c>
      <c r="FH44" s="9">
        <v>0</v>
      </c>
      <c r="FI44" s="78">
        <v>0</v>
      </c>
      <c r="FJ44" s="72">
        <v>2</v>
      </c>
      <c r="FK44" s="72">
        <v>0</v>
      </c>
      <c r="FL44" s="9">
        <v>0</v>
      </c>
      <c r="FM44" s="78">
        <v>0</v>
      </c>
      <c r="FN44" s="72">
        <v>2</v>
      </c>
      <c r="FO44" s="72">
        <v>0</v>
      </c>
      <c r="FP44" s="9">
        <v>0</v>
      </c>
      <c r="FQ44" s="78">
        <v>0</v>
      </c>
      <c r="FR44" s="72">
        <v>2</v>
      </c>
      <c r="FS44" s="72">
        <v>0</v>
      </c>
      <c r="FT44" s="9">
        <v>0</v>
      </c>
      <c r="FU44" s="78">
        <v>0</v>
      </c>
      <c r="FV44" s="72">
        <v>2</v>
      </c>
      <c r="FW44" s="72">
        <v>1</v>
      </c>
      <c r="FX44" s="9">
        <v>0</v>
      </c>
      <c r="FY44" s="78">
        <v>0</v>
      </c>
      <c r="FZ44" s="72">
        <v>5</v>
      </c>
      <c r="GA44" s="72">
        <v>0</v>
      </c>
      <c r="GB44" s="9">
        <v>0</v>
      </c>
      <c r="GC44" s="78">
        <v>0</v>
      </c>
      <c r="GD44" s="72">
        <v>2</v>
      </c>
      <c r="GE44" s="72">
        <v>0</v>
      </c>
      <c r="GF44" s="9">
        <v>0</v>
      </c>
      <c r="GG44" s="78">
        <v>0</v>
      </c>
      <c r="GH44" s="72">
        <v>0</v>
      </c>
      <c r="GI44" s="72">
        <v>0</v>
      </c>
      <c r="GJ44" s="9">
        <v>0</v>
      </c>
      <c r="GK44" s="78">
        <v>0</v>
      </c>
      <c r="GL44" s="72">
        <v>0</v>
      </c>
      <c r="GM44" s="72">
        <v>0</v>
      </c>
      <c r="GN44" s="9">
        <v>0</v>
      </c>
      <c r="GO44" s="78">
        <v>0</v>
      </c>
      <c r="GP44" s="72">
        <v>0</v>
      </c>
      <c r="GQ44" s="72">
        <v>0</v>
      </c>
      <c r="GR44" s="9">
        <v>0</v>
      </c>
      <c r="GS44" s="78">
        <v>0</v>
      </c>
      <c r="GT44" s="72">
        <v>0</v>
      </c>
      <c r="GU44" s="72">
        <v>0</v>
      </c>
      <c r="GV44" s="9">
        <v>0</v>
      </c>
      <c r="GW44" s="76"/>
      <c r="GX44" s="41">
        <v>2000</v>
      </c>
      <c r="GY44" s="48">
        <v>0</v>
      </c>
      <c r="GZ44" s="79">
        <v>0</v>
      </c>
      <c r="HA44" s="48">
        <v>0</v>
      </c>
      <c r="HB44" s="48">
        <v>0</v>
      </c>
      <c r="HC44" s="48">
        <f>CL9-FR44</f>
        <v>4</v>
      </c>
      <c r="HD44" s="48">
        <f>CM9-FV44</f>
        <v>5</v>
      </c>
      <c r="HE44" s="48">
        <f>CN9-FZ44</f>
        <v>1</v>
      </c>
      <c r="HF44" s="48">
        <f>CO9-GD44</f>
        <v>2</v>
      </c>
      <c r="HG44" s="48">
        <f>CP9-GH44</f>
        <v>0</v>
      </c>
      <c r="HH44" s="48">
        <f>CQ9-GL44</f>
        <v>0</v>
      </c>
      <c r="HI44" s="48">
        <f>CR9-GP44</f>
        <v>1</v>
      </c>
      <c r="HJ44" s="9">
        <f>CS9-GT44</f>
        <v>0</v>
      </c>
      <c r="HK44" s="77">
        <f>SUM(GY44:HJ44)</f>
        <v>13</v>
      </c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</row>
    <row r="45" spans="1:232">
      <c r="A45" s="10" t="s">
        <v>149</v>
      </c>
      <c r="B45" s="11">
        <f>AVERAGE(E45:AE45)</f>
        <v>0.37037037037037035</v>
      </c>
      <c r="C45" s="2">
        <f>MIN(E45:AE45)</f>
        <v>0</v>
      </c>
      <c r="D45" s="12">
        <f>MAX(E45:AE45)</f>
        <v>2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1</v>
      </c>
      <c r="N45" s="13">
        <v>0</v>
      </c>
      <c r="O45" s="13">
        <v>0</v>
      </c>
      <c r="P45" s="13">
        <v>0</v>
      </c>
      <c r="Q45" s="13">
        <v>0</v>
      </c>
      <c r="R45" s="13">
        <v>2</v>
      </c>
      <c r="S45" s="13">
        <v>0</v>
      </c>
      <c r="T45" s="13">
        <v>0</v>
      </c>
      <c r="U45" s="13">
        <v>0</v>
      </c>
      <c r="V45" s="13">
        <v>0</v>
      </c>
      <c r="W45" s="13">
        <v>1</v>
      </c>
      <c r="X45" s="13">
        <v>2</v>
      </c>
      <c r="Y45" s="13">
        <v>1</v>
      </c>
      <c r="Z45" s="21">
        <v>1</v>
      </c>
      <c r="AA45" s="13">
        <v>0</v>
      </c>
      <c r="AB45" s="13">
        <v>1</v>
      </c>
      <c r="AC45" s="13">
        <v>1</v>
      </c>
      <c r="AD45" s="13">
        <v>0</v>
      </c>
      <c r="AE45" s="13">
        <v>0</v>
      </c>
      <c r="AF45" s="13">
        <v>0</v>
      </c>
      <c r="AG45" s="13"/>
      <c r="AH45" s="13"/>
      <c r="BC45" s="2"/>
      <c r="BD45" s="2"/>
      <c r="BE45" s="2"/>
      <c r="BF45" s="3"/>
      <c r="BG45" s="3"/>
      <c r="BH45" s="3"/>
      <c r="BI45" s="3"/>
      <c r="BJ45" s="3"/>
      <c r="BK45" s="3"/>
      <c r="BL45" s="3"/>
      <c r="BM45" s="3"/>
      <c r="BN45" s="3"/>
      <c r="BR45" s="3"/>
      <c r="BS45" s="112" t="s">
        <v>150</v>
      </c>
      <c r="BT45" s="112"/>
      <c r="BU45" s="13">
        <v>19</v>
      </c>
      <c r="BV45" s="113" t="s">
        <v>73</v>
      </c>
      <c r="BW45" s="113"/>
      <c r="BX45" s="113"/>
      <c r="BY45" s="13">
        <v>-3</v>
      </c>
      <c r="CB45" s="3"/>
      <c r="CU45" s="3"/>
      <c r="CV45" s="3"/>
      <c r="CW45" s="3"/>
      <c r="CX45" s="3"/>
      <c r="CY45" s="3"/>
      <c r="CZ45" s="3"/>
      <c r="DA45" s="3"/>
      <c r="DK45" s="31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72"/>
      <c r="EY45" s="72"/>
      <c r="EZ45" s="23">
        <v>2001</v>
      </c>
      <c r="FA45" s="72">
        <v>0</v>
      </c>
      <c r="FB45" s="72">
        <v>0</v>
      </c>
      <c r="FC45" s="72">
        <v>0</v>
      </c>
      <c r="FD45" s="9">
        <v>0</v>
      </c>
      <c r="FE45" s="78">
        <v>0</v>
      </c>
      <c r="FF45" s="72">
        <v>0</v>
      </c>
      <c r="FG45" s="72">
        <v>0</v>
      </c>
      <c r="FH45" s="9">
        <v>0</v>
      </c>
      <c r="FI45" s="78">
        <v>0</v>
      </c>
      <c r="FJ45" s="72">
        <v>0</v>
      </c>
      <c r="FK45" s="72">
        <v>0</v>
      </c>
      <c r="FL45" s="9">
        <v>0</v>
      </c>
      <c r="FM45" s="78">
        <v>0</v>
      </c>
      <c r="FN45" s="72">
        <v>1</v>
      </c>
      <c r="FO45" s="72">
        <v>0</v>
      </c>
      <c r="FP45" s="9">
        <v>0</v>
      </c>
      <c r="FQ45" s="78">
        <v>0</v>
      </c>
      <c r="FR45" s="72">
        <v>1</v>
      </c>
      <c r="FS45" s="72">
        <v>0</v>
      </c>
      <c r="FT45" s="9">
        <v>0</v>
      </c>
      <c r="FU45" s="78">
        <v>0</v>
      </c>
      <c r="FV45" s="72">
        <v>2</v>
      </c>
      <c r="FW45" s="72">
        <v>0</v>
      </c>
      <c r="FX45" s="9">
        <v>0</v>
      </c>
      <c r="FY45" s="78">
        <v>0</v>
      </c>
      <c r="FZ45" s="72">
        <v>1</v>
      </c>
      <c r="GA45" s="72">
        <v>0</v>
      </c>
      <c r="GB45" s="9">
        <v>2</v>
      </c>
      <c r="GC45" s="78">
        <v>0</v>
      </c>
      <c r="GD45" s="72">
        <v>3</v>
      </c>
      <c r="GE45" s="72">
        <v>1</v>
      </c>
      <c r="GF45" s="9">
        <v>0</v>
      </c>
      <c r="GG45" s="78">
        <v>0</v>
      </c>
      <c r="GH45" s="72">
        <v>0</v>
      </c>
      <c r="GI45" s="72">
        <v>0</v>
      </c>
      <c r="GJ45" s="9">
        <v>0</v>
      </c>
      <c r="GK45" s="78">
        <v>0</v>
      </c>
      <c r="GL45" s="72">
        <v>0</v>
      </c>
      <c r="GM45" s="72">
        <v>0</v>
      </c>
      <c r="GN45" s="9">
        <v>0</v>
      </c>
      <c r="GO45" s="78">
        <v>0</v>
      </c>
      <c r="GP45" s="72">
        <v>0</v>
      </c>
      <c r="GQ45" s="72">
        <v>0</v>
      </c>
      <c r="GR45" s="9">
        <v>0</v>
      </c>
      <c r="GS45" s="78">
        <v>0</v>
      </c>
      <c r="GT45" s="72">
        <v>0</v>
      </c>
      <c r="GU45" s="72">
        <v>0</v>
      </c>
      <c r="GV45" s="9">
        <v>0</v>
      </c>
      <c r="GW45" s="76"/>
      <c r="GX45" s="41">
        <v>2001</v>
      </c>
      <c r="GY45" s="48">
        <v>0</v>
      </c>
      <c r="GZ45" s="79">
        <v>0</v>
      </c>
      <c r="HA45" s="72">
        <v>0</v>
      </c>
      <c r="HB45" s="72">
        <v>0</v>
      </c>
      <c r="HC45" s="48">
        <f>CL10-FR45</f>
        <v>3</v>
      </c>
      <c r="HD45" s="48">
        <f>CM10-FV45</f>
        <v>3</v>
      </c>
      <c r="HE45" s="48">
        <f>CN10-FZ45</f>
        <v>3</v>
      </c>
      <c r="HF45" s="48">
        <f>CO10-GD45</f>
        <v>5</v>
      </c>
      <c r="HG45" s="48">
        <f>CP10-GH45</f>
        <v>0</v>
      </c>
      <c r="HH45" s="48">
        <f>CQ10-GL45</f>
        <v>0</v>
      </c>
      <c r="HI45" s="48">
        <f>CR10-GP45</f>
        <v>0</v>
      </c>
      <c r="HJ45" s="9">
        <f>CS10-GT45</f>
        <v>0</v>
      </c>
      <c r="HK45" s="77">
        <f>SUM(GY45:HJ45)</f>
        <v>14</v>
      </c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</row>
    <row r="46" spans="1:232">
      <c r="A46" s="10" t="s">
        <v>151</v>
      </c>
      <c r="B46" s="11">
        <f>AVERAGE(E46:AE46)</f>
        <v>0.40740740740740738</v>
      </c>
      <c r="C46" s="2">
        <f>MIN(E46:AE46)</f>
        <v>0</v>
      </c>
      <c r="D46" s="12">
        <f>MAX(E46:AE46)</f>
        <v>2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1</v>
      </c>
      <c r="N46" s="13">
        <v>0</v>
      </c>
      <c r="O46" s="13">
        <v>0</v>
      </c>
      <c r="P46" s="13">
        <v>0</v>
      </c>
      <c r="Q46" s="13">
        <v>0</v>
      </c>
      <c r="R46" s="13">
        <v>2</v>
      </c>
      <c r="S46" s="13">
        <v>0</v>
      </c>
      <c r="T46" s="13">
        <v>0</v>
      </c>
      <c r="U46" s="13">
        <v>0</v>
      </c>
      <c r="V46" s="13">
        <v>0</v>
      </c>
      <c r="W46" s="13">
        <v>1</v>
      </c>
      <c r="X46" s="13">
        <v>2</v>
      </c>
      <c r="Y46" s="13">
        <v>1</v>
      </c>
      <c r="Z46" s="21">
        <v>2</v>
      </c>
      <c r="AA46" s="13">
        <v>0</v>
      </c>
      <c r="AB46" s="13">
        <v>1</v>
      </c>
      <c r="AC46" s="13">
        <v>1</v>
      </c>
      <c r="AD46" s="13">
        <v>0</v>
      </c>
      <c r="AE46" s="13">
        <v>0</v>
      </c>
      <c r="AF46" s="13">
        <v>0</v>
      </c>
      <c r="AG46" s="13"/>
      <c r="AH46" s="13"/>
      <c r="BC46" s="2"/>
      <c r="BD46" s="2"/>
      <c r="BE46" s="2"/>
      <c r="BS46" s="114" t="s">
        <v>152</v>
      </c>
      <c r="BT46" s="114"/>
      <c r="BU46" s="60"/>
      <c r="BV46" s="80"/>
      <c r="BW46" s="80"/>
      <c r="BX46" s="81"/>
      <c r="BY46" s="65">
        <v>-3</v>
      </c>
      <c r="BZ46" s="82" t="s">
        <v>153</v>
      </c>
      <c r="CA46" s="83">
        <f>SUM(BY19:BY46)</f>
        <v>-5</v>
      </c>
      <c r="CB46" s="3"/>
      <c r="CU46" s="3"/>
      <c r="CV46" s="3"/>
      <c r="CW46" s="3"/>
      <c r="CX46" s="3"/>
      <c r="CY46" s="3"/>
      <c r="CZ46" s="3"/>
      <c r="DA46" s="3"/>
      <c r="DK46" s="31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72"/>
      <c r="EY46" s="72"/>
      <c r="EZ46" s="23">
        <v>2002</v>
      </c>
      <c r="FA46" s="72">
        <v>0</v>
      </c>
      <c r="FB46" s="72">
        <v>0</v>
      </c>
      <c r="FC46" s="72">
        <v>0</v>
      </c>
      <c r="FD46" s="9">
        <v>0</v>
      </c>
      <c r="FE46" s="78">
        <v>0</v>
      </c>
      <c r="FF46" s="72">
        <v>1</v>
      </c>
      <c r="FG46" s="72">
        <v>0</v>
      </c>
      <c r="FH46" s="9">
        <v>0</v>
      </c>
      <c r="FI46" s="78">
        <v>0</v>
      </c>
      <c r="FJ46" s="72">
        <v>0</v>
      </c>
      <c r="FK46" s="72">
        <v>0</v>
      </c>
      <c r="FL46" s="9">
        <v>0</v>
      </c>
      <c r="FM46" s="78">
        <v>0</v>
      </c>
      <c r="FN46" s="72">
        <v>1</v>
      </c>
      <c r="FO46" s="72">
        <v>0</v>
      </c>
      <c r="FP46" s="9">
        <v>0</v>
      </c>
      <c r="FQ46" s="78">
        <v>0</v>
      </c>
      <c r="FR46" s="72">
        <v>1</v>
      </c>
      <c r="FS46" s="72">
        <v>1</v>
      </c>
      <c r="FT46" s="9">
        <v>0</v>
      </c>
      <c r="FU46" s="78">
        <v>0</v>
      </c>
      <c r="FV46" s="72">
        <v>0</v>
      </c>
      <c r="FW46" s="72">
        <v>1</v>
      </c>
      <c r="FX46" s="9">
        <v>1</v>
      </c>
      <c r="FY46" s="78">
        <v>0</v>
      </c>
      <c r="FZ46" s="72">
        <v>1</v>
      </c>
      <c r="GA46" s="72">
        <v>1</v>
      </c>
      <c r="GB46" s="9">
        <v>1</v>
      </c>
      <c r="GC46" s="78">
        <v>0</v>
      </c>
      <c r="GD46" s="72">
        <v>2</v>
      </c>
      <c r="GE46" s="72">
        <v>0</v>
      </c>
      <c r="GF46" s="9">
        <v>0</v>
      </c>
      <c r="GG46" s="78">
        <v>0</v>
      </c>
      <c r="GH46" s="72">
        <v>3</v>
      </c>
      <c r="GI46" s="72">
        <v>0</v>
      </c>
      <c r="GJ46" s="9">
        <v>0</v>
      </c>
      <c r="GK46" s="78">
        <v>0</v>
      </c>
      <c r="GL46" s="72">
        <v>0</v>
      </c>
      <c r="GM46" s="72">
        <v>0</v>
      </c>
      <c r="GN46" s="9">
        <v>0</v>
      </c>
      <c r="GO46" s="78">
        <v>0</v>
      </c>
      <c r="GP46" s="72">
        <v>0</v>
      </c>
      <c r="GQ46" s="72">
        <v>0</v>
      </c>
      <c r="GR46" s="9">
        <v>0</v>
      </c>
      <c r="GS46" s="78">
        <v>0</v>
      </c>
      <c r="GT46" s="72">
        <v>0</v>
      </c>
      <c r="GU46" s="72">
        <v>0</v>
      </c>
      <c r="GV46" s="9">
        <v>0</v>
      </c>
      <c r="GW46" s="76"/>
      <c r="GX46" s="41">
        <v>2002</v>
      </c>
      <c r="GY46" s="48">
        <v>0</v>
      </c>
      <c r="GZ46" s="79">
        <v>1</v>
      </c>
      <c r="HA46" s="72">
        <v>0</v>
      </c>
      <c r="HB46" s="72">
        <v>0</v>
      </c>
      <c r="HC46" s="48">
        <f>CL11-FR46</f>
        <v>4</v>
      </c>
      <c r="HD46" s="48">
        <f>CM11-FV46</f>
        <v>4</v>
      </c>
      <c r="HE46" s="48">
        <f>CN11-FZ46</f>
        <v>6</v>
      </c>
      <c r="HF46" s="48">
        <f>CO11-GD46</f>
        <v>4</v>
      </c>
      <c r="HG46" s="48">
        <f>CP11-GH46</f>
        <v>2</v>
      </c>
      <c r="HH46" s="48">
        <f>CQ11-GL46</f>
        <v>0</v>
      </c>
      <c r="HI46" s="48">
        <f>CR11-GP46</f>
        <v>0</v>
      </c>
      <c r="HJ46" s="9">
        <f>CS11-GT46</f>
        <v>0</v>
      </c>
      <c r="HK46" s="77">
        <f>SUM(GY46:HJ46)</f>
        <v>21</v>
      </c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</row>
    <row r="47" spans="1:232">
      <c r="A47" s="10" t="s">
        <v>154</v>
      </c>
      <c r="B47" s="11">
        <f>AVERAGE(E47:AE47)</f>
        <v>0.40740740740740738</v>
      </c>
      <c r="C47" s="2">
        <f>MIN(E47:AE47)</f>
        <v>0</v>
      </c>
      <c r="D47" s="12">
        <f>MAX(E47:AE47)</f>
        <v>2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1</v>
      </c>
      <c r="N47" s="13">
        <v>0</v>
      </c>
      <c r="O47" s="13">
        <v>0</v>
      </c>
      <c r="P47" s="13">
        <v>0</v>
      </c>
      <c r="Q47" s="13">
        <v>0</v>
      </c>
      <c r="R47" s="13">
        <v>2</v>
      </c>
      <c r="S47" s="13">
        <v>0</v>
      </c>
      <c r="T47" s="13">
        <v>0</v>
      </c>
      <c r="U47" s="13">
        <v>0</v>
      </c>
      <c r="V47" s="13">
        <v>0</v>
      </c>
      <c r="W47" s="13">
        <v>1</v>
      </c>
      <c r="X47" s="13">
        <v>2</v>
      </c>
      <c r="Y47" s="13">
        <v>1</v>
      </c>
      <c r="Z47" s="13">
        <v>2</v>
      </c>
      <c r="AA47" s="13">
        <v>0</v>
      </c>
      <c r="AB47" s="13">
        <v>1</v>
      </c>
      <c r="AC47" s="13">
        <v>1</v>
      </c>
      <c r="AD47" s="13">
        <v>0</v>
      </c>
      <c r="AE47" s="13">
        <v>0</v>
      </c>
      <c r="AF47" s="13">
        <v>0</v>
      </c>
      <c r="AG47" s="13"/>
      <c r="AH47" s="13"/>
      <c r="BC47" s="2"/>
      <c r="BD47" s="2"/>
      <c r="BE47" s="2"/>
      <c r="BS47" s="115" t="s">
        <v>155</v>
      </c>
      <c r="BT47" s="115"/>
      <c r="CB47" s="3"/>
      <c r="CU47" s="3"/>
      <c r="CV47" s="3"/>
      <c r="CW47" s="3"/>
      <c r="CX47" s="3"/>
      <c r="CY47" s="3"/>
      <c r="CZ47" s="3"/>
      <c r="DA47" s="3"/>
      <c r="DK47" s="31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72"/>
      <c r="EY47" s="72"/>
      <c r="EZ47" s="23">
        <v>2003</v>
      </c>
      <c r="FA47" s="72">
        <v>0</v>
      </c>
      <c r="FB47" s="72">
        <v>0</v>
      </c>
      <c r="FC47" s="72">
        <v>0</v>
      </c>
      <c r="FD47" s="9">
        <v>0</v>
      </c>
      <c r="FE47" s="78">
        <v>0</v>
      </c>
      <c r="FF47" s="72">
        <v>0</v>
      </c>
      <c r="FG47" s="72">
        <v>0</v>
      </c>
      <c r="FH47" s="9">
        <v>0</v>
      </c>
      <c r="FI47" s="78">
        <v>0</v>
      </c>
      <c r="FJ47" s="72">
        <v>0</v>
      </c>
      <c r="FK47" s="72">
        <v>0</v>
      </c>
      <c r="FL47" s="9">
        <v>0</v>
      </c>
      <c r="FM47" s="78">
        <v>0</v>
      </c>
      <c r="FN47" s="72">
        <v>1</v>
      </c>
      <c r="FO47" s="72">
        <v>0</v>
      </c>
      <c r="FP47" s="9">
        <v>0</v>
      </c>
      <c r="FQ47" s="78">
        <v>0</v>
      </c>
      <c r="FR47" s="72">
        <v>5</v>
      </c>
      <c r="FS47" s="72">
        <v>1</v>
      </c>
      <c r="FT47" s="9">
        <v>0</v>
      </c>
      <c r="FU47" s="78">
        <v>0</v>
      </c>
      <c r="FV47" s="72">
        <v>1</v>
      </c>
      <c r="FW47" s="72">
        <v>0</v>
      </c>
      <c r="FX47" s="9">
        <v>1</v>
      </c>
      <c r="FY47" s="78">
        <v>0</v>
      </c>
      <c r="FZ47" s="72">
        <v>3</v>
      </c>
      <c r="GA47" s="72">
        <v>2</v>
      </c>
      <c r="GB47" s="9">
        <v>0</v>
      </c>
      <c r="GC47" s="78">
        <v>0</v>
      </c>
      <c r="GD47" s="72">
        <v>1</v>
      </c>
      <c r="GE47" s="72">
        <v>2</v>
      </c>
      <c r="GF47" s="9">
        <v>0</v>
      </c>
      <c r="GG47" s="78">
        <v>0</v>
      </c>
      <c r="GH47" s="72">
        <v>0</v>
      </c>
      <c r="GI47" s="72">
        <v>0</v>
      </c>
      <c r="GJ47" s="9">
        <v>0</v>
      </c>
      <c r="GK47" s="78">
        <v>0</v>
      </c>
      <c r="GL47" s="72">
        <v>0</v>
      </c>
      <c r="GM47" s="72">
        <v>0</v>
      </c>
      <c r="GN47" s="9">
        <v>0</v>
      </c>
      <c r="GO47" s="78">
        <v>0</v>
      </c>
      <c r="GP47" s="72">
        <v>0</v>
      </c>
      <c r="GQ47" s="72">
        <v>0</v>
      </c>
      <c r="GR47" s="9">
        <v>0</v>
      </c>
      <c r="GS47" s="78">
        <v>0</v>
      </c>
      <c r="GT47" s="72">
        <v>0</v>
      </c>
      <c r="GU47" s="72">
        <v>0</v>
      </c>
      <c r="GV47" s="9">
        <v>1</v>
      </c>
      <c r="GW47" s="76"/>
      <c r="GX47" s="41">
        <v>2003</v>
      </c>
      <c r="GY47" s="48">
        <v>0</v>
      </c>
      <c r="GZ47" s="79">
        <v>0</v>
      </c>
      <c r="HA47" s="72">
        <v>0</v>
      </c>
      <c r="HB47" s="72">
        <v>0</v>
      </c>
      <c r="HC47" s="48">
        <f>CL12-FR47</f>
        <v>2</v>
      </c>
      <c r="HD47" s="48">
        <f>CM12-FV47</f>
        <v>6</v>
      </c>
      <c r="HE47" s="48">
        <f>CN12-FZ47</f>
        <v>7</v>
      </c>
      <c r="HF47" s="48">
        <f>CO12-GD47</f>
        <v>3</v>
      </c>
      <c r="HG47" s="48">
        <f>CP12-GH47</f>
        <v>0</v>
      </c>
      <c r="HH47" s="48">
        <f>CQ12-GL47</f>
        <v>0</v>
      </c>
      <c r="HI47" s="48">
        <f>CR12-GP47</f>
        <v>0</v>
      </c>
      <c r="HJ47" s="9">
        <f>CS12-GT47</f>
        <v>1</v>
      </c>
      <c r="HK47" s="77">
        <f>SUM(GY47:HJ47)</f>
        <v>19</v>
      </c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</row>
    <row r="48" spans="1:232">
      <c r="A48" s="10" t="s">
        <v>156</v>
      </c>
      <c r="B48" s="11">
        <f>AVERAGE(E48:AE48)</f>
        <v>0.40740740740740738</v>
      </c>
      <c r="C48" s="2">
        <f>MIN(E48:AE48)</f>
        <v>0</v>
      </c>
      <c r="D48" s="12">
        <f>MAX(E48:AE48)</f>
        <v>2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1</v>
      </c>
      <c r="N48" s="13">
        <v>0</v>
      </c>
      <c r="O48" s="13">
        <v>0</v>
      </c>
      <c r="P48" s="13">
        <v>0</v>
      </c>
      <c r="Q48" s="13">
        <v>0</v>
      </c>
      <c r="R48" s="13">
        <v>2</v>
      </c>
      <c r="S48" s="13">
        <v>0</v>
      </c>
      <c r="T48" s="13">
        <v>0</v>
      </c>
      <c r="U48" s="13">
        <v>0</v>
      </c>
      <c r="V48" s="13">
        <v>0</v>
      </c>
      <c r="W48" s="13">
        <v>1</v>
      </c>
      <c r="X48" s="13">
        <v>2</v>
      </c>
      <c r="Y48" s="13">
        <v>1</v>
      </c>
      <c r="Z48" s="13">
        <v>2</v>
      </c>
      <c r="AA48" s="13">
        <v>0</v>
      </c>
      <c r="AB48" s="13">
        <v>1</v>
      </c>
      <c r="AC48" s="13">
        <v>1</v>
      </c>
      <c r="AD48" s="13">
        <v>0</v>
      </c>
      <c r="AE48" s="13">
        <v>0</v>
      </c>
      <c r="AF48" s="13">
        <v>0</v>
      </c>
      <c r="AG48" s="13"/>
      <c r="AH48" s="13"/>
      <c r="BC48" s="2"/>
      <c r="BD48" s="2"/>
      <c r="BE48" s="2"/>
      <c r="CB48" s="3"/>
      <c r="CU48" s="3"/>
      <c r="CV48" s="3"/>
      <c r="CW48" s="3"/>
      <c r="CX48" s="3"/>
      <c r="CY48" s="3"/>
      <c r="CZ48" s="3"/>
      <c r="DA48" s="3"/>
      <c r="DK48" s="31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72"/>
      <c r="EY48" s="72"/>
      <c r="EZ48" s="23">
        <v>2004</v>
      </c>
      <c r="FA48" s="78">
        <v>0</v>
      </c>
      <c r="FB48" s="72">
        <v>0</v>
      </c>
      <c r="FC48" s="72">
        <v>0</v>
      </c>
      <c r="FD48" s="9">
        <v>0</v>
      </c>
      <c r="FE48" s="78">
        <v>0</v>
      </c>
      <c r="FF48" s="72">
        <v>0</v>
      </c>
      <c r="FG48" s="72">
        <v>0</v>
      </c>
      <c r="FH48" s="9">
        <v>0</v>
      </c>
      <c r="FI48" s="78">
        <v>0</v>
      </c>
      <c r="FJ48" s="72">
        <v>0</v>
      </c>
      <c r="FK48" s="72">
        <v>0</v>
      </c>
      <c r="FL48" s="9">
        <v>0</v>
      </c>
      <c r="FM48" s="78">
        <v>0</v>
      </c>
      <c r="FN48" s="72">
        <v>2</v>
      </c>
      <c r="FO48" s="72">
        <v>0</v>
      </c>
      <c r="FP48" s="9">
        <v>0</v>
      </c>
      <c r="FQ48" s="78">
        <v>0</v>
      </c>
      <c r="FR48" s="72">
        <v>3</v>
      </c>
      <c r="FS48" s="72">
        <v>0</v>
      </c>
      <c r="FT48" s="9">
        <v>0</v>
      </c>
      <c r="FU48" s="78">
        <v>0</v>
      </c>
      <c r="FV48" s="72">
        <v>3</v>
      </c>
      <c r="FW48" s="72">
        <v>0</v>
      </c>
      <c r="FX48" s="9">
        <v>0</v>
      </c>
      <c r="FY48" s="78">
        <v>0</v>
      </c>
      <c r="FZ48" s="72">
        <v>2</v>
      </c>
      <c r="GA48" s="72">
        <v>0</v>
      </c>
      <c r="GB48" s="9">
        <v>2</v>
      </c>
      <c r="GC48" s="78">
        <v>0</v>
      </c>
      <c r="GD48" s="72">
        <v>5</v>
      </c>
      <c r="GE48" s="72">
        <v>0</v>
      </c>
      <c r="GF48" s="9">
        <v>1</v>
      </c>
      <c r="GG48" s="78">
        <v>0</v>
      </c>
      <c r="GH48" s="72">
        <v>0</v>
      </c>
      <c r="GI48" s="72">
        <v>0</v>
      </c>
      <c r="GJ48" s="9">
        <v>0</v>
      </c>
      <c r="GK48" s="78">
        <v>0</v>
      </c>
      <c r="GL48" s="72">
        <v>0</v>
      </c>
      <c r="GM48" s="72">
        <v>0</v>
      </c>
      <c r="GN48" s="9">
        <v>0</v>
      </c>
      <c r="GO48" s="78">
        <v>0</v>
      </c>
      <c r="GP48" s="72">
        <v>0</v>
      </c>
      <c r="GQ48" s="72">
        <v>0</v>
      </c>
      <c r="GR48" s="9">
        <v>0</v>
      </c>
      <c r="GS48" s="78">
        <v>0</v>
      </c>
      <c r="GT48" s="72">
        <v>0</v>
      </c>
      <c r="GU48" s="72">
        <v>0</v>
      </c>
      <c r="GV48" s="9">
        <v>0</v>
      </c>
      <c r="GW48" s="76"/>
      <c r="GX48" s="41">
        <v>2004</v>
      </c>
      <c r="GY48" s="48">
        <v>0</v>
      </c>
      <c r="GZ48" s="79">
        <v>0</v>
      </c>
      <c r="HA48" s="72">
        <v>0</v>
      </c>
      <c r="HB48" s="72">
        <v>1</v>
      </c>
      <c r="HC48" s="48">
        <f>CL13-FR48</f>
        <v>5</v>
      </c>
      <c r="HD48" s="48">
        <f>CM13-FV48</f>
        <v>2</v>
      </c>
      <c r="HE48" s="48">
        <f>CN13-FZ48</f>
        <v>7</v>
      </c>
      <c r="HF48" s="48">
        <f>CO13-GD48</f>
        <v>3</v>
      </c>
      <c r="HG48" s="48">
        <f>CP13-GH48</f>
        <v>0</v>
      </c>
      <c r="HH48" s="48">
        <f>CQ13-GL48</f>
        <v>1</v>
      </c>
      <c r="HI48" s="48">
        <f>CR13-GP48</f>
        <v>0</v>
      </c>
      <c r="HJ48" s="9">
        <f>CS13-GT48</f>
        <v>0</v>
      </c>
      <c r="HK48" s="77">
        <f>SUM(GY48:HJ48)</f>
        <v>19</v>
      </c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</row>
    <row r="49" spans="1:232">
      <c r="A49" s="10" t="s">
        <v>157</v>
      </c>
      <c r="B49" s="11">
        <f>AVERAGE(E49:AE49)</f>
        <v>0.40740740740740738</v>
      </c>
      <c r="C49" s="2">
        <f>MIN(E49:AE49)</f>
        <v>0</v>
      </c>
      <c r="D49" s="12">
        <f>MAX(E49:AE49)</f>
        <v>2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1</v>
      </c>
      <c r="N49" s="13">
        <v>0</v>
      </c>
      <c r="O49" s="13">
        <v>0</v>
      </c>
      <c r="P49" s="13">
        <v>0</v>
      </c>
      <c r="Q49" s="13">
        <v>0</v>
      </c>
      <c r="R49" s="13">
        <v>2</v>
      </c>
      <c r="S49" s="13">
        <v>0</v>
      </c>
      <c r="T49" s="13">
        <v>0</v>
      </c>
      <c r="U49" s="13">
        <v>0</v>
      </c>
      <c r="V49" s="13">
        <v>0</v>
      </c>
      <c r="W49" s="13">
        <v>1</v>
      </c>
      <c r="X49" s="13">
        <v>2</v>
      </c>
      <c r="Y49" s="13">
        <v>1</v>
      </c>
      <c r="Z49" s="13">
        <v>2</v>
      </c>
      <c r="AA49" s="13">
        <v>0</v>
      </c>
      <c r="AB49" s="13">
        <v>1</v>
      </c>
      <c r="AC49" s="13">
        <v>1</v>
      </c>
      <c r="AD49" s="13">
        <v>0</v>
      </c>
      <c r="AE49" s="13">
        <v>0</v>
      </c>
      <c r="AF49" s="13">
        <v>0</v>
      </c>
      <c r="AG49" s="13"/>
      <c r="AH49" s="13"/>
      <c r="BC49" s="2"/>
      <c r="BD49" s="2"/>
      <c r="BE49" s="2"/>
      <c r="CB49" s="3"/>
      <c r="CU49" s="3"/>
      <c r="CV49" s="3"/>
      <c r="CW49" s="3"/>
      <c r="CX49" s="3"/>
      <c r="CY49" s="3"/>
      <c r="CZ49" s="3"/>
      <c r="DA49" s="3"/>
      <c r="DK49" s="31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72"/>
      <c r="EY49" s="72"/>
      <c r="EZ49" s="23">
        <v>2005</v>
      </c>
      <c r="FA49" s="78">
        <v>2</v>
      </c>
      <c r="FB49" s="72">
        <v>0</v>
      </c>
      <c r="FC49" s="72">
        <v>0</v>
      </c>
      <c r="FD49" s="9">
        <v>0</v>
      </c>
      <c r="FE49" s="78">
        <v>0</v>
      </c>
      <c r="FF49" s="72">
        <v>0</v>
      </c>
      <c r="FG49" s="72">
        <v>0</v>
      </c>
      <c r="FH49" s="9">
        <v>0</v>
      </c>
      <c r="FI49" s="78">
        <v>0</v>
      </c>
      <c r="FJ49" s="72">
        <v>0</v>
      </c>
      <c r="FK49" s="72">
        <v>0</v>
      </c>
      <c r="FL49" s="9">
        <v>0</v>
      </c>
      <c r="FM49" s="78">
        <v>0</v>
      </c>
      <c r="FN49" s="72">
        <v>1</v>
      </c>
      <c r="FO49" s="72">
        <v>0</v>
      </c>
      <c r="FP49" s="9">
        <v>0</v>
      </c>
      <c r="FQ49" s="78">
        <v>0</v>
      </c>
      <c r="FR49" s="72">
        <v>2</v>
      </c>
      <c r="FS49" s="72">
        <v>0</v>
      </c>
      <c r="FT49" s="9">
        <v>0</v>
      </c>
      <c r="FU49" s="78">
        <v>0</v>
      </c>
      <c r="FV49" s="72">
        <v>1</v>
      </c>
      <c r="FW49" s="72">
        <v>1</v>
      </c>
      <c r="FX49" s="9">
        <v>0</v>
      </c>
      <c r="FY49" s="78">
        <v>0</v>
      </c>
      <c r="FZ49" s="72">
        <v>2</v>
      </c>
      <c r="GA49" s="72">
        <v>0</v>
      </c>
      <c r="GB49" s="9">
        <v>1</v>
      </c>
      <c r="GC49" s="78">
        <v>0</v>
      </c>
      <c r="GD49" s="72">
        <v>1</v>
      </c>
      <c r="GE49" s="72">
        <v>0</v>
      </c>
      <c r="GF49" s="9">
        <v>0</v>
      </c>
      <c r="GG49" s="78">
        <v>0</v>
      </c>
      <c r="GH49" s="72">
        <v>0</v>
      </c>
      <c r="GI49" s="72">
        <v>0</v>
      </c>
      <c r="GJ49" s="9">
        <v>0</v>
      </c>
      <c r="GK49" s="78">
        <v>0</v>
      </c>
      <c r="GL49" s="72">
        <v>0</v>
      </c>
      <c r="GM49" s="72">
        <v>0</v>
      </c>
      <c r="GN49" s="9">
        <v>0</v>
      </c>
      <c r="GO49" s="78">
        <v>0</v>
      </c>
      <c r="GP49" s="72">
        <v>0</v>
      </c>
      <c r="GQ49" s="72">
        <v>0</v>
      </c>
      <c r="GR49" s="9">
        <v>0</v>
      </c>
      <c r="GS49" s="78">
        <v>0</v>
      </c>
      <c r="GT49" s="72">
        <v>1</v>
      </c>
      <c r="GU49" s="72">
        <v>0</v>
      </c>
      <c r="GV49" s="9">
        <v>0</v>
      </c>
      <c r="GW49" s="76"/>
      <c r="GX49" s="41">
        <v>2005</v>
      </c>
      <c r="GY49" s="48">
        <v>0</v>
      </c>
      <c r="GZ49" s="79">
        <v>0</v>
      </c>
      <c r="HA49" s="72">
        <v>0</v>
      </c>
      <c r="HB49" s="72">
        <v>1</v>
      </c>
      <c r="HC49" s="48">
        <f>CL14-FR49</f>
        <v>4</v>
      </c>
      <c r="HD49" s="48">
        <f>CM14-FV49</f>
        <v>4</v>
      </c>
      <c r="HE49" s="48">
        <f>CN14-FZ49</f>
        <v>7</v>
      </c>
      <c r="HF49" s="48">
        <f>CO14-GD49</f>
        <v>3</v>
      </c>
      <c r="HG49" s="48">
        <f>CP14-GH49</f>
        <v>1</v>
      </c>
      <c r="HH49" s="48">
        <f>CQ14-GL49</f>
        <v>0</v>
      </c>
      <c r="HI49" s="48">
        <f>CR14-GP49</f>
        <v>0</v>
      </c>
      <c r="HJ49" s="9">
        <f>CS14-GT49</f>
        <v>0</v>
      </c>
      <c r="HK49" s="77">
        <f>SUM(GY49:HJ49)</f>
        <v>20</v>
      </c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</row>
    <row r="50" spans="1:232">
      <c r="A50" s="10" t="s">
        <v>158</v>
      </c>
      <c r="B50" s="11">
        <f>AVERAGE(E50:AE50)</f>
        <v>0.40740740740740738</v>
      </c>
      <c r="C50" s="2">
        <f>MIN(E50:AE50)</f>
        <v>0</v>
      </c>
      <c r="D50" s="12">
        <f>MAX(E50:AE50)</f>
        <v>2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1</v>
      </c>
      <c r="N50" s="13">
        <v>0</v>
      </c>
      <c r="O50" s="13">
        <v>0</v>
      </c>
      <c r="P50" s="13">
        <v>0</v>
      </c>
      <c r="Q50" s="13">
        <v>0</v>
      </c>
      <c r="R50" s="13">
        <v>2</v>
      </c>
      <c r="S50" s="13">
        <v>0</v>
      </c>
      <c r="T50" s="13">
        <v>0</v>
      </c>
      <c r="U50" s="13">
        <v>0</v>
      </c>
      <c r="V50" s="13">
        <v>0</v>
      </c>
      <c r="W50" s="13">
        <v>1</v>
      </c>
      <c r="X50" s="13">
        <v>2</v>
      </c>
      <c r="Y50" s="13">
        <v>1</v>
      </c>
      <c r="Z50" s="13">
        <v>2</v>
      </c>
      <c r="AA50" s="13">
        <v>0</v>
      </c>
      <c r="AB50" s="13">
        <v>1</v>
      </c>
      <c r="AC50" s="13">
        <v>1</v>
      </c>
      <c r="AD50" s="13">
        <v>0</v>
      </c>
      <c r="AE50" s="13">
        <v>0</v>
      </c>
      <c r="AF50" s="13">
        <v>0</v>
      </c>
      <c r="AG50" s="13"/>
      <c r="AH50" s="13"/>
      <c r="BC50" s="2"/>
      <c r="BD50" s="2"/>
      <c r="BE50" s="2"/>
      <c r="CB50" s="3"/>
      <c r="CU50" s="3"/>
      <c r="CV50" s="3"/>
      <c r="CW50" s="3"/>
      <c r="CX50" s="3"/>
      <c r="CY50" s="3"/>
      <c r="CZ50" s="3"/>
      <c r="DA50" s="3"/>
      <c r="DK50" s="31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72"/>
      <c r="EY50" s="72"/>
      <c r="EZ50" s="23">
        <v>2006</v>
      </c>
      <c r="FA50" s="78">
        <v>0</v>
      </c>
      <c r="FB50" s="72">
        <v>0</v>
      </c>
      <c r="FC50" s="72">
        <v>0</v>
      </c>
      <c r="FD50" s="9">
        <v>0</v>
      </c>
      <c r="FE50" s="78">
        <v>0</v>
      </c>
      <c r="FF50" s="72">
        <v>0</v>
      </c>
      <c r="FG50" s="72">
        <v>0</v>
      </c>
      <c r="FH50" s="9">
        <v>0</v>
      </c>
      <c r="FI50" s="78">
        <v>0</v>
      </c>
      <c r="FJ50" s="72">
        <v>0</v>
      </c>
      <c r="FK50" s="72">
        <v>0</v>
      </c>
      <c r="FL50" s="9">
        <v>0</v>
      </c>
      <c r="FM50" s="78">
        <v>0</v>
      </c>
      <c r="FN50" s="72">
        <v>1</v>
      </c>
      <c r="FO50" s="72">
        <v>0</v>
      </c>
      <c r="FP50" s="9">
        <v>0</v>
      </c>
      <c r="FQ50" s="78">
        <v>0</v>
      </c>
      <c r="FR50" s="72">
        <v>1</v>
      </c>
      <c r="FS50" s="72">
        <v>0</v>
      </c>
      <c r="FT50" s="9">
        <v>1</v>
      </c>
      <c r="FU50" s="78">
        <v>0</v>
      </c>
      <c r="FV50" s="72">
        <v>0</v>
      </c>
      <c r="FW50" s="72">
        <v>1</v>
      </c>
      <c r="FX50" s="9">
        <v>1</v>
      </c>
      <c r="FY50" s="78">
        <v>0</v>
      </c>
      <c r="FZ50" s="72">
        <v>5</v>
      </c>
      <c r="GA50" s="72">
        <v>1</v>
      </c>
      <c r="GB50" s="9">
        <v>0</v>
      </c>
      <c r="GC50" s="78">
        <v>0</v>
      </c>
      <c r="GD50" s="72">
        <v>1</v>
      </c>
      <c r="GE50" s="72">
        <v>0</v>
      </c>
      <c r="GF50" s="9">
        <v>0</v>
      </c>
      <c r="GG50" s="78">
        <v>0</v>
      </c>
      <c r="GH50" s="72">
        <v>0</v>
      </c>
      <c r="GI50" s="72">
        <v>0</v>
      </c>
      <c r="GJ50" s="9">
        <v>0</v>
      </c>
      <c r="GK50" s="78">
        <v>0</v>
      </c>
      <c r="GL50" s="72">
        <v>1</v>
      </c>
      <c r="GM50" s="72">
        <v>0</v>
      </c>
      <c r="GN50" s="9">
        <v>0</v>
      </c>
      <c r="GO50" s="78">
        <v>0</v>
      </c>
      <c r="GP50" s="72">
        <v>0</v>
      </c>
      <c r="GQ50" s="72">
        <v>0</v>
      </c>
      <c r="GR50" s="9">
        <v>0</v>
      </c>
      <c r="GS50" s="78">
        <v>0</v>
      </c>
      <c r="GT50" s="72">
        <v>0</v>
      </c>
      <c r="GU50" s="72">
        <v>0</v>
      </c>
      <c r="GV50" s="9">
        <v>0</v>
      </c>
      <c r="GW50" s="76"/>
      <c r="GX50" s="41">
        <v>2006</v>
      </c>
      <c r="GY50" s="48">
        <v>0</v>
      </c>
      <c r="GZ50" s="79">
        <v>0</v>
      </c>
      <c r="HA50" s="72">
        <v>0</v>
      </c>
      <c r="HB50" s="72">
        <v>3</v>
      </c>
      <c r="HC50" s="48">
        <f>CL15-FR50</f>
        <v>3</v>
      </c>
      <c r="HD50" s="48">
        <f>CM15-FV50</f>
        <v>6</v>
      </c>
      <c r="HE50" s="48">
        <f>CN15-FZ50</f>
        <v>6</v>
      </c>
      <c r="HF50" s="48">
        <f>CO15-GD50</f>
        <v>3</v>
      </c>
      <c r="HG50" s="48">
        <f>CP15-GH50</f>
        <v>0</v>
      </c>
      <c r="HH50" s="48">
        <f>CQ15-GL50</f>
        <v>1</v>
      </c>
      <c r="HI50" s="48">
        <f>CR15-GP50</f>
        <v>0</v>
      </c>
      <c r="HJ50" s="9">
        <f>CS15-GT50</f>
        <v>0</v>
      </c>
      <c r="HK50" s="77">
        <f>SUM(GY50:HJ50)</f>
        <v>22</v>
      </c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</row>
    <row r="51" spans="1:232">
      <c r="A51" s="10" t="s">
        <v>159</v>
      </c>
      <c r="B51" s="11">
        <f>AVERAGE(E51:AE51)</f>
        <v>0.40740740740740738</v>
      </c>
      <c r="C51" s="2">
        <f>MIN(E51:AE51)</f>
        <v>0</v>
      </c>
      <c r="D51" s="12">
        <f>MAX(E51:AE51)</f>
        <v>2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1</v>
      </c>
      <c r="N51" s="13">
        <v>0</v>
      </c>
      <c r="O51" s="13">
        <v>0</v>
      </c>
      <c r="P51" s="13">
        <v>0</v>
      </c>
      <c r="Q51" s="13">
        <v>0</v>
      </c>
      <c r="R51" s="13">
        <v>2</v>
      </c>
      <c r="S51" s="13">
        <v>0</v>
      </c>
      <c r="T51" s="13">
        <v>0</v>
      </c>
      <c r="U51" s="13">
        <v>0</v>
      </c>
      <c r="V51" s="13">
        <v>0</v>
      </c>
      <c r="W51" s="13">
        <v>1</v>
      </c>
      <c r="X51" s="13">
        <v>2</v>
      </c>
      <c r="Y51" s="13">
        <v>1</v>
      </c>
      <c r="Z51" s="13">
        <v>2</v>
      </c>
      <c r="AA51" s="13">
        <v>0</v>
      </c>
      <c r="AB51" s="13">
        <v>1</v>
      </c>
      <c r="AC51" s="13">
        <v>1</v>
      </c>
      <c r="AD51" s="13">
        <v>0</v>
      </c>
      <c r="AE51" s="13">
        <v>0</v>
      </c>
      <c r="AF51" s="13">
        <v>0</v>
      </c>
      <c r="AG51" s="13"/>
      <c r="AH51" s="13"/>
      <c r="CB51" s="3"/>
      <c r="CU51" s="3"/>
      <c r="CV51" s="3"/>
      <c r="CW51" s="3"/>
      <c r="CX51" s="3"/>
      <c r="CY51" s="3"/>
      <c r="CZ51" s="3"/>
      <c r="DA51" s="3"/>
      <c r="DK51" s="31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72"/>
      <c r="EY51" s="72"/>
      <c r="EZ51" s="23">
        <v>2007</v>
      </c>
      <c r="FA51" s="78">
        <v>0</v>
      </c>
      <c r="FB51" s="72">
        <v>0</v>
      </c>
      <c r="FC51" s="72">
        <v>0</v>
      </c>
      <c r="FD51" s="9">
        <v>1</v>
      </c>
      <c r="FE51" s="78">
        <v>0</v>
      </c>
      <c r="FF51" s="72">
        <v>0</v>
      </c>
      <c r="FG51" s="72">
        <v>0</v>
      </c>
      <c r="FH51" s="9">
        <v>0</v>
      </c>
      <c r="FI51" s="78">
        <v>0</v>
      </c>
      <c r="FJ51" s="72">
        <v>0</v>
      </c>
      <c r="FK51" s="72">
        <v>0</v>
      </c>
      <c r="FL51" s="9">
        <v>0</v>
      </c>
      <c r="FM51" s="78">
        <v>0</v>
      </c>
      <c r="FN51" s="72">
        <v>1</v>
      </c>
      <c r="FO51" s="72">
        <v>0</v>
      </c>
      <c r="FP51" s="9">
        <v>0</v>
      </c>
      <c r="FQ51" s="78">
        <v>0</v>
      </c>
      <c r="FR51" s="72">
        <v>1</v>
      </c>
      <c r="FS51" s="72">
        <v>1</v>
      </c>
      <c r="FT51" s="9">
        <v>1</v>
      </c>
      <c r="FU51" s="78">
        <v>0</v>
      </c>
      <c r="FV51" s="72">
        <v>4</v>
      </c>
      <c r="FW51" s="72">
        <v>0</v>
      </c>
      <c r="FX51" s="9">
        <v>0</v>
      </c>
      <c r="FY51" s="78">
        <v>0</v>
      </c>
      <c r="FZ51" s="72">
        <v>2</v>
      </c>
      <c r="GA51" s="72">
        <v>0</v>
      </c>
      <c r="GB51" s="9">
        <v>1</v>
      </c>
      <c r="GC51" s="78">
        <v>0</v>
      </c>
      <c r="GD51" s="72">
        <v>3</v>
      </c>
      <c r="GE51" s="72">
        <v>2</v>
      </c>
      <c r="GF51" s="9">
        <v>0</v>
      </c>
      <c r="GG51" s="78">
        <v>0</v>
      </c>
      <c r="GH51" s="72">
        <v>0</v>
      </c>
      <c r="GI51" s="72">
        <v>0</v>
      </c>
      <c r="GJ51" s="9">
        <v>0</v>
      </c>
      <c r="GK51" s="78">
        <v>0</v>
      </c>
      <c r="GL51" s="72">
        <v>0</v>
      </c>
      <c r="GM51" s="72">
        <v>0</v>
      </c>
      <c r="GN51" s="9">
        <v>0</v>
      </c>
      <c r="GO51" s="78">
        <v>0</v>
      </c>
      <c r="GP51" s="72">
        <v>0</v>
      </c>
      <c r="GQ51" s="72">
        <v>0</v>
      </c>
      <c r="GR51" s="9">
        <v>0</v>
      </c>
      <c r="GS51" s="78">
        <v>0</v>
      </c>
      <c r="GT51" s="72">
        <v>1</v>
      </c>
      <c r="GU51" s="72">
        <v>0</v>
      </c>
      <c r="GV51" s="9">
        <v>0</v>
      </c>
      <c r="GW51" s="76"/>
      <c r="GX51" s="41">
        <v>2007</v>
      </c>
      <c r="GY51" s="48">
        <v>1</v>
      </c>
      <c r="GZ51" s="79">
        <v>0</v>
      </c>
      <c r="HA51" s="72">
        <v>0</v>
      </c>
      <c r="HB51" s="72">
        <v>0</v>
      </c>
      <c r="HC51" s="48">
        <f>CL16-FR51</f>
        <v>5</v>
      </c>
      <c r="HD51" s="48">
        <f>CM16-FV51</f>
        <v>3</v>
      </c>
      <c r="HE51" s="48">
        <f>CN16-FZ51</f>
        <v>5</v>
      </c>
      <c r="HF51" s="48">
        <f>CO16-GD51</f>
        <v>6</v>
      </c>
      <c r="HG51" s="48">
        <f>CP16-GH51</f>
        <v>0</v>
      </c>
      <c r="HH51" s="48">
        <f>CQ16-GL51</f>
        <v>0</v>
      </c>
      <c r="HI51" s="48">
        <f>CR16-GP51</f>
        <v>0</v>
      </c>
      <c r="HJ51" s="9">
        <f>CS16-GT51</f>
        <v>0</v>
      </c>
      <c r="HK51" s="77">
        <f>SUM(GY51:HJ51)</f>
        <v>20</v>
      </c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</row>
    <row r="52" spans="1:232">
      <c r="A52" s="10" t="s">
        <v>160</v>
      </c>
      <c r="B52" s="11">
        <f>AVERAGE(E52:AE52)</f>
        <v>0.40740740740740738</v>
      </c>
      <c r="C52" s="2">
        <f>MIN(E52:AE52)</f>
        <v>0</v>
      </c>
      <c r="D52" s="12">
        <f>MAX(E52:AE52)</f>
        <v>2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1</v>
      </c>
      <c r="N52" s="13">
        <v>0</v>
      </c>
      <c r="O52" s="13">
        <v>0</v>
      </c>
      <c r="P52" s="13">
        <v>0</v>
      </c>
      <c r="Q52" s="13">
        <v>0</v>
      </c>
      <c r="R52" s="13">
        <v>2</v>
      </c>
      <c r="S52" s="13">
        <v>0</v>
      </c>
      <c r="T52" s="13">
        <v>0</v>
      </c>
      <c r="U52" s="13">
        <v>0</v>
      </c>
      <c r="V52" s="13">
        <v>0</v>
      </c>
      <c r="W52" s="13">
        <v>1</v>
      </c>
      <c r="X52" s="13">
        <v>2</v>
      </c>
      <c r="Y52" s="13">
        <v>1</v>
      </c>
      <c r="Z52" s="13">
        <v>2</v>
      </c>
      <c r="AA52" s="13">
        <v>0</v>
      </c>
      <c r="AB52" s="14">
        <v>1</v>
      </c>
      <c r="AC52" s="13">
        <v>1</v>
      </c>
      <c r="AD52" s="13">
        <v>0</v>
      </c>
      <c r="AE52" s="13">
        <v>0</v>
      </c>
      <c r="AF52" s="13">
        <v>0</v>
      </c>
      <c r="AG52" s="13"/>
      <c r="AH52" s="13"/>
      <c r="CB52" s="3"/>
      <c r="CU52" s="3"/>
      <c r="CV52" s="3"/>
      <c r="CW52" s="3"/>
      <c r="CX52" s="3"/>
      <c r="CY52" s="3"/>
      <c r="CZ52" s="3"/>
      <c r="DA52" s="3"/>
      <c r="DK52" s="31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72"/>
      <c r="EY52" s="72"/>
      <c r="EZ52" s="23">
        <v>2008</v>
      </c>
      <c r="FA52" s="78">
        <v>0</v>
      </c>
      <c r="FB52" s="72">
        <v>0</v>
      </c>
      <c r="FC52" s="72">
        <v>0</v>
      </c>
      <c r="FD52" s="9">
        <v>0</v>
      </c>
      <c r="FE52" s="78">
        <v>0</v>
      </c>
      <c r="FF52" s="72">
        <v>0</v>
      </c>
      <c r="FG52" s="72">
        <v>0</v>
      </c>
      <c r="FH52" s="9">
        <v>0</v>
      </c>
      <c r="FI52" s="78">
        <v>1</v>
      </c>
      <c r="FJ52" s="72">
        <v>0</v>
      </c>
      <c r="FK52" s="72">
        <v>0</v>
      </c>
      <c r="FL52" s="9">
        <v>1</v>
      </c>
      <c r="FM52" s="78">
        <v>0</v>
      </c>
      <c r="FN52" s="72">
        <v>1</v>
      </c>
      <c r="FO52" s="72">
        <v>0</v>
      </c>
      <c r="FP52" s="9">
        <v>0</v>
      </c>
      <c r="FQ52" s="78">
        <v>0</v>
      </c>
      <c r="FR52" s="72">
        <v>4</v>
      </c>
      <c r="FS52" s="72">
        <v>0</v>
      </c>
      <c r="FT52" s="9">
        <v>0</v>
      </c>
      <c r="FU52" s="78">
        <v>0</v>
      </c>
      <c r="FV52" s="72">
        <v>2</v>
      </c>
      <c r="FW52" s="72">
        <v>0</v>
      </c>
      <c r="FX52" s="9">
        <v>0</v>
      </c>
      <c r="FY52" s="78">
        <v>0</v>
      </c>
      <c r="FZ52" s="72">
        <v>1</v>
      </c>
      <c r="GA52" s="72">
        <v>0</v>
      </c>
      <c r="GB52" s="9">
        <v>0</v>
      </c>
      <c r="GC52" s="78">
        <v>0</v>
      </c>
      <c r="GD52" s="72">
        <v>0</v>
      </c>
      <c r="GE52" s="72">
        <v>0</v>
      </c>
      <c r="GF52" s="9">
        <v>0</v>
      </c>
      <c r="GG52" s="78">
        <v>0</v>
      </c>
      <c r="GH52" s="72">
        <v>0</v>
      </c>
      <c r="GI52" s="72">
        <v>0</v>
      </c>
      <c r="GJ52" s="9">
        <v>0</v>
      </c>
      <c r="GK52" s="78">
        <v>0</v>
      </c>
      <c r="GL52" s="72">
        <v>0</v>
      </c>
      <c r="GM52" s="72">
        <v>0</v>
      </c>
      <c r="GN52" s="9">
        <v>0</v>
      </c>
      <c r="GO52" s="78">
        <v>0</v>
      </c>
      <c r="GP52" s="72">
        <v>0</v>
      </c>
      <c r="GQ52" s="72">
        <v>0</v>
      </c>
      <c r="GR52" s="9">
        <v>0</v>
      </c>
      <c r="GS52" s="78">
        <v>0</v>
      </c>
      <c r="GT52" s="72">
        <v>0</v>
      </c>
      <c r="GU52" s="72">
        <v>0</v>
      </c>
      <c r="GV52" s="9">
        <v>0</v>
      </c>
      <c r="GW52" s="76"/>
      <c r="GX52" s="41">
        <v>2008</v>
      </c>
      <c r="GY52" s="48">
        <v>0</v>
      </c>
      <c r="GZ52" s="79">
        <v>0</v>
      </c>
      <c r="HA52" s="72">
        <v>1</v>
      </c>
      <c r="HB52" s="72">
        <v>1</v>
      </c>
      <c r="HC52" s="48">
        <f>CL17-FR52</f>
        <v>3</v>
      </c>
      <c r="HD52" s="48">
        <f>CM17-FV52</f>
        <v>6</v>
      </c>
      <c r="HE52" s="48">
        <f>CN17-FZ52</f>
        <v>2</v>
      </c>
      <c r="HF52" s="48">
        <f>CO17-GD52</f>
        <v>4</v>
      </c>
      <c r="HG52" s="48">
        <f>CP17-GH52</f>
        <v>1</v>
      </c>
      <c r="HH52" s="48">
        <f>CQ17-GL52</f>
        <v>0</v>
      </c>
      <c r="HI52" s="48">
        <f>CR17-GP52</f>
        <v>0</v>
      </c>
      <c r="HJ52" s="9">
        <f>CS17-GT52</f>
        <v>0</v>
      </c>
      <c r="HK52" s="77">
        <f>SUM(GY52:HJ52)</f>
        <v>18</v>
      </c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</row>
    <row r="53" spans="1:232">
      <c r="A53" s="10" t="s">
        <v>161</v>
      </c>
      <c r="B53" s="11">
        <f>AVERAGE(E53:AE53)</f>
        <v>0.40740740740740738</v>
      </c>
      <c r="C53" s="2">
        <f>MIN(E53:AE53)</f>
        <v>0</v>
      </c>
      <c r="D53" s="12">
        <f>MAX(E53:AE53)</f>
        <v>2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1</v>
      </c>
      <c r="N53" s="13">
        <v>0</v>
      </c>
      <c r="O53" s="13">
        <v>0</v>
      </c>
      <c r="P53" s="13">
        <v>0</v>
      </c>
      <c r="Q53" s="13">
        <v>0</v>
      </c>
      <c r="R53" s="13">
        <v>2</v>
      </c>
      <c r="S53" s="13">
        <v>0</v>
      </c>
      <c r="T53" s="13">
        <v>0</v>
      </c>
      <c r="U53" s="13">
        <v>0</v>
      </c>
      <c r="V53" s="13">
        <v>0</v>
      </c>
      <c r="W53" s="13">
        <v>1</v>
      </c>
      <c r="X53" s="13">
        <v>2</v>
      </c>
      <c r="Y53" s="13">
        <v>1</v>
      </c>
      <c r="Z53" s="13">
        <v>2</v>
      </c>
      <c r="AA53" s="13">
        <v>0</v>
      </c>
      <c r="AB53" s="13">
        <v>1</v>
      </c>
      <c r="AC53" s="13">
        <v>1</v>
      </c>
      <c r="AD53" s="13">
        <v>0</v>
      </c>
      <c r="AE53" s="13">
        <v>0</v>
      </c>
      <c r="AF53" s="13">
        <v>0</v>
      </c>
      <c r="AG53" s="13"/>
      <c r="AH53" s="13"/>
      <c r="CB53" s="3"/>
      <c r="CU53" s="3"/>
      <c r="CV53" s="3"/>
      <c r="CW53" s="3"/>
      <c r="CX53" s="3"/>
      <c r="CY53" s="3"/>
      <c r="CZ53" s="3"/>
      <c r="DA53" s="3"/>
      <c r="DK53" s="31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72"/>
      <c r="EY53" s="72"/>
      <c r="EZ53" s="23">
        <v>2009</v>
      </c>
      <c r="FA53" s="78">
        <v>0</v>
      </c>
      <c r="FB53" s="72">
        <v>0</v>
      </c>
      <c r="FC53" s="72">
        <v>0</v>
      </c>
      <c r="FD53" s="9">
        <v>0</v>
      </c>
      <c r="FE53" s="78">
        <v>0</v>
      </c>
      <c r="FF53" s="72">
        <v>0</v>
      </c>
      <c r="FG53" s="72">
        <v>0</v>
      </c>
      <c r="FH53" s="9">
        <v>0</v>
      </c>
      <c r="FI53" s="78">
        <v>1</v>
      </c>
      <c r="FJ53" s="72">
        <v>0</v>
      </c>
      <c r="FK53" s="72">
        <v>0</v>
      </c>
      <c r="FL53" s="9">
        <v>1</v>
      </c>
      <c r="FM53" s="78">
        <v>0</v>
      </c>
      <c r="FN53" s="72">
        <v>1</v>
      </c>
      <c r="FO53" s="72">
        <v>0</v>
      </c>
      <c r="FP53" s="9">
        <v>0</v>
      </c>
      <c r="FQ53" s="78">
        <v>0</v>
      </c>
      <c r="FR53" s="72">
        <v>2</v>
      </c>
      <c r="FS53" s="72">
        <v>1</v>
      </c>
      <c r="FT53" s="9">
        <v>0</v>
      </c>
      <c r="FU53" s="78">
        <v>0</v>
      </c>
      <c r="FV53" s="72">
        <v>3</v>
      </c>
      <c r="FW53" s="72">
        <v>1</v>
      </c>
      <c r="FX53" s="9">
        <v>0</v>
      </c>
      <c r="FY53" s="78">
        <v>0</v>
      </c>
      <c r="FZ53" s="72">
        <v>3</v>
      </c>
      <c r="GA53" s="72">
        <v>0</v>
      </c>
      <c r="GB53" s="9">
        <v>1</v>
      </c>
      <c r="GC53" s="78">
        <v>0</v>
      </c>
      <c r="GD53" s="72">
        <v>2</v>
      </c>
      <c r="GE53" s="72">
        <v>1</v>
      </c>
      <c r="GF53" s="9">
        <v>1</v>
      </c>
      <c r="GG53" s="78">
        <v>0</v>
      </c>
      <c r="GH53" s="72">
        <v>0</v>
      </c>
      <c r="GI53" s="72">
        <v>0</v>
      </c>
      <c r="GJ53" s="9">
        <v>0</v>
      </c>
      <c r="GK53" s="78">
        <v>0</v>
      </c>
      <c r="GL53" s="72">
        <v>0</v>
      </c>
      <c r="GM53" s="72">
        <v>0</v>
      </c>
      <c r="GN53" s="9">
        <v>0</v>
      </c>
      <c r="GO53" s="78">
        <v>0</v>
      </c>
      <c r="GP53" s="72">
        <v>0</v>
      </c>
      <c r="GQ53" s="72">
        <v>0</v>
      </c>
      <c r="GR53" s="9">
        <v>0</v>
      </c>
      <c r="GS53" s="78">
        <v>0</v>
      </c>
      <c r="GT53" s="72">
        <v>0</v>
      </c>
      <c r="GU53" s="72">
        <v>0</v>
      </c>
      <c r="GV53" s="9">
        <v>0</v>
      </c>
      <c r="GW53" s="76"/>
      <c r="GX53" s="41">
        <v>2009</v>
      </c>
      <c r="GY53" s="48">
        <v>0</v>
      </c>
      <c r="GZ53" s="79">
        <v>0</v>
      </c>
      <c r="HA53" s="72">
        <v>1</v>
      </c>
      <c r="HB53" s="72">
        <v>0</v>
      </c>
      <c r="HC53" s="48">
        <f>CL18-FR53</f>
        <v>5</v>
      </c>
      <c r="HD53" s="48">
        <f>CM18-FV53</f>
        <v>4</v>
      </c>
      <c r="HE53" s="48">
        <f>CN18-FZ53</f>
        <v>5</v>
      </c>
      <c r="HF53" s="48">
        <f>CO18-GD53</f>
        <v>3</v>
      </c>
      <c r="HG53" s="48">
        <f>CP18-GH53</f>
        <v>0</v>
      </c>
      <c r="HH53" s="48">
        <f>CQ18-GL53</f>
        <v>0</v>
      </c>
      <c r="HI53" s="48">
        <f>CR18-GP53</f>
        <v>0</v>
      </c>
      <c r="HJ53" s="9">
        <f>CS18-GT53</f>
        <v>0</v>
      </c>
      <c r="HK53" s="77">
        <f>SUM(GY53:HJ53)</f>
        <v>18</v>
      </c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</row>
    <row r="54" spans="1:232">
      <c r="A54" s="10" t="s">
        <v>162</v>
      </c>
      <c r="B54" s="11">
        <f>AVERAGE(E54:AE54)</f>
        <v>0.40740740740740738</v>
      </c>
      <c r="C54" s="2">
        <f>MIN(E54:AE54)</f>
        <v>0</v>
      </c>
      <c r="D54" s="12">
        <f>MAX(E54:AE54)</f>
        <v>2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13">
        <v>1</v>
      </c>
      <c r="N54" s="13">
        <v>0</v>
      </c>
      <c r="O54" s="13">
        <v>0</v>
      </c>
      <c r="P54" s="13">
        <v>0</v>
      </c>
      <c r="Q54" s="13">
        <v>0</v>
      </c>
      <c r="R54" s="13">
        <v>2</v>
      </c>
      <c r="S54" s="13">
        <v>0</v>
      </c>
      <c r="T54" s="13">
        <v>0</v>
      </c>
      <c r="U54" s="13">
        <v>0</v>
      </c>
      <c r="V54" s="13">
        <v>0</v>
      </c>
      <c r="W54" s="13">
        <v>1</v>
      </c>
      <c r="X54" s="13">
        <v>2</v>
      </c>
      <c r="Y54" s="13">
        <v>1</v>
      </c>
      <c r="Z54" s="13">
        <v>2</v>
      </c>
      <c r="AA54" s="13">
        <v>0</v>
      </c>
      <c r="AB54" s="13">
        <v>1</v>
      </c>
      <c r="AC54" s="13">
        <v>1</v>
      </c>
      <c r="AD54" s="13">
        <v>0</v>
      </c>
      <c r="AE54" s="13">
        <v>0</v>
      </c>
      <c r="AF54" s="13">
        <v>0</v>
      </c>
      <c r="AG54" s="13"/>
      <c r="AH54" s="13"/>
      <c r="CB54" s="3"/>
      <c r="CU54" s="3"/>
      <c r="CV54" s="3"/>
      <c r="CW54" s="3"/>
      <c r="CX54" s="3"/>
      <c r="CY54" s="3"/>
      <c r="CZ54" s="3"/>
      <c r="DA54" s="3"/>
      <c r="DK54" s="31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72"/>
      <c r="EY54" s="72"/>
      <c r="EZ54" s="23">
        <v>2010</v>
      </c>
      <c r="FA54" s="78">
        <v>0</v>
      </c>
      <c r="FB54" s="72">
        <v>0</v>
      </c>
      <c r="FC54" s="72">
        <v>0</v>
      </c>
      <c r="FD54" s="9">
        <v>0</v>
      </c>
      <c r="FE54" s="78">
        <v>0</v>
      </c>
      <c r="FF54" s="72">
        <v>0</v>
      </c>
      <c r="FG54" s="72">
        <v>0</v>
      </c>
      <c r="FH54" s="9">
        <v>0</v>
      </c>
      <c r="FI54" s="78">
        <v>0</v>
      </c>
      <c r="FJ54" s="72">
        <v>2</v>
      </c>
      <c r="FK54" s="72">
        <v>0</v>
      </c>
      <c r="FL54" s="9">
        <v>0</v>
      </c>
      <c r="FM54" s="78">
        <v>0</v>
      </c>
      <c r="FN54" s="72">
        <v>0</v>
      </c>
      <c r="FO54" s="72">
        <v>0</v>
      </c>
      <c r="FP54" s="9">
        <v>0</v>
      </c>
      <c r="FQ54" s="78">
        <v>0</v>
      </c>
      <c r="FR54" s="72">
        <v>2</v>
      </c>
      <c r="FS54" s="72">
        <v>0</v>
      </c>
      <c r="FT54" s="9">
        <v>0</v>
      </c>
      <c r="FU54" s="78">
        <v>0</v>
      </c>
      <c r="FV54" s="72">
        <v>1</v>
      </c>
      <c r="FW54" s="72">
        <v>0</v>
      </c>
      <c r="FX54" s="9">
        <v>0</v>
      </c>
      <c r="FY54" s="78">
        <v>0</v>
      </c>
      <c r="FZ54" s="72">
        <v>3</v>
      </c>
      <c r="GA54" s="72">
        <v>1</v>
      </c>
      <c r="GB54" s="9">
        <v>0</v>
      </c>
      <c r="GC54" s="78">
        <v>0</v>
      </c>
      <c r="GD54" s="72">
        <v>0</v>
      </c>
      <c r="GE54" s="72">
        <v>1</v>
      </c>
      <c r="GF54" s="9">
        <v>0</v>
      </c>
      <c r="GG54" s="78">
        <v>0</v>
      </c>
      <c r="GH54" s="72">
        <v>0</v>
      </c>
      <c r="GI54" s="72">
        <v>0</v>
      </c>
      <c r="GJ54" s="9">
        <v>0</v>
      </c>
      <c r="GK54" s="78">
        <v>0</v>
      </c>
      <c r="GL54" s="72">
        <v>0</v>
      </c>
      <c r="GM54" s="72">
        <v>0</v>
      </c>
      <c r="GN54" s="9">
        <v>0</v>
      </c>
      <c r="GO54" s="78">
        <v>0</v>
      </c>
      <c r="GP54" s="72">
        <v>0</v>
      </c>
      <c r="GQ54" s="72">
        <v>0</v>
      </c>
      <c r="GR54" s="9">
        <v>0</v>
      </c>
      <c r="GS54" s="78">
        <v>0</v>
      </c>
      <c r="GT54" s="72">
        <v>0</v>
      </c>
      <c r="GU54" s="72">
        <v>0</v>
      </c>
      <c r="GV54" s="9">
        <v>0</v>
      </c>
      <c r="GW54" s="76"/>
      <c r="GX54" s="41">
        <v>2010</v>
      </c>
      <c r="GY54" s="48">
        <v>0</v>
      </c>
      <c r="GZ54" s="79">
        <v>0</v>
      </c>
      <c r="HA54" s="72">
        <v>1</v>
      </c>
      <c r="HB54" s="72">
        <v>0</v>
      </c>
      <c r="HC54" s="48">
        <f>CL19-FR54</f>
        <v>1</v>
      </c>
      <c r="HD54" s="48">
        <f>CM19-FV54</f>
        <v>2</v>
      </c>
      <c r="HE54" s="48">
        <f>CN19-FZ54</f>
        <v>4</v>
      </c>
      <c r="HF54" s="48">
        <f>CO19-GD54</f>
        <v>4</v>
      </c>
      <c r="HG54" s="48">
        <f>CP19-GH54</f>
        <v>0</v>
      </c>
      <c r="HH54" s="48">
        <f>CQ19-GL54</f>
        <v>0</v>
      </c>
      <c r="HI54" s="48">
        <f>CR19-GP54</f>
        <v>0</v>
      </c>
      <c r="HJ54" s="9">
        <f>CS19-GT54</f>
        <v>0</v>
      </c>
      <c r="HK54" s="77">
        <f>SUM(GY54:HJ54)</f>
        <v>12</v>
      </c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</row>
    <row r="55" spans="1:232">
      <c r="A55" s="10" t="s">
        <v>163</v>
      </c>
      <c r="B55" s="11">
        <f>AVERAGE(E55:AE55)</f>
        <v>0.40740740740740738</v>
      </c>
      <c r="C55" s="2">
        <f>MIN(E55:AE55)</f>
        <v>0</v>
      </c>
      <c r="D55" s="12">
        <f>MAX(E55:AE55)</f>
        <v>2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13">
        <v>1</v>
      </c>
      <c r="N55" s="13">
        <v>0</v>
      </c>
      <c r="O55" s="13">
        <v>0</v>
      </c>
      <c r="P55" s="13">
        <v>0</v>
      </c>
      <c r="Q55" s="13">
        <v>0</v>
      </c>
      <c r="R55" s="13">
        <v>2</v>
      </c>
      <c r="S55" s="13">
        <v>0</v>
      </c>
      <c r="T55" s="13">
        <v>0</v>
      </c>
      <c r="U55" s="13">
        <v>0</v>
      </c>
      <c r="V55" s="13">
        <v>0</v>
      </c>
      <c r="W55" s="13">
        <v>1</v>
      </c>
      <c r="X55" s="13">
        <v>2</v>
      </c>
      <c r="Y55" s="13">
        <v>1</v>
      </c>
      <c r="Z55" s="13">
        <v>2</v>
      </c>
      <c r="AA55" s="13">
        <v>0</v>
      </c>
      <c r="AB55" s="13">
        <v>1</v>
      </c>
      <c r="AC55" s="13">
        <v>1</v>
      </c>
      <c r="AD55" s="13">
        <v>0</v>
      </c>
      <c r="AE55" s="13">
        <v>0</v>
      </c>
      <c r="AF55" s="13">
        <v>0</v>
      </c>
      <c r="AG55" s="13"/>
      <c r="AH55" s="13"/>
      <c r="CB55" s="3"/>
      <c r="CU55" s="3"/>
      <c r="CV55" s="3"/>
      <c r="CW55" s="3"/>
      <c r="CX55" s="3"/>
      <c r="CY55" s="3"/>
      <c r="CZ55" s="3"/>
      <c r="DA55" s="3"/>
      <c r="DK55" s="31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72"/>
      <c r="EY55" s="72"/>
      <c r="EZ55" s="23">
        <v>2011</v>
      </c>
      <c r="FA55" s="78">
        <v>0</v>
      </c>
      <c r="FB55" s="72">
        <v>0</v>
      </c>
      <c r="FC55" s="72">
        <v>0</v>
      </c>
      <c r="FD55" s="9">
        <v>0</v>
      </c>
      <c r="FE55" s="78">
        <v>0</v>
      </c>
      <c r="FF55" s="72">
        <v>0</v>
      </c>
      <c r="FG55" s="72">
        <v>0</v>
      </c>
      <c r="FH55" s="9">
        <v>0</v>
      </c>
      <c r="FI55" s="78">
        <v>0</v>
      </c>
      <c r="FJ55" s="72">
        <v>0</v>
      </c>
      <c r="FK55" s="72">
        <v>0</v>
      </c>
      <c r="FL55" s="9">
        <v>0</v>
      </c>
      <c r="FM55" s="78">
        <v>0</v>
      </c>
      <c r="FN55" s="72">
        <v>1</v>
      </c>
      <c r="FO55" s="72">
        <v>0</v>
      </c>
      <c r="FP55" s="9">
        <v>0</v>
      </c>
      <c r="FQ55" s="78">
        <v>0</v>
      </c>
      <c r="FR55" s="72">
        <v>2</v>
      </c>
      <c r="FS55" s="72">
        <v>0</v>
      </c>
      <c r="FT55" s="9">
        <v>0</v>
      </c>
      <c r="FU55" s="78">
        <v>0</v>
      </c>
      <c r="FV55" s="72">
        <v>2</v>
      </c>
      <c r="FW55" s="72">
        <v>1</v>
      </c>
      <c r="FX55" s="9">
        <v>1</v>
      </c>
      <c r="FY55" s="78">
        <v>0</v>
      </c>
      <c r="FZ55" s="72">
        <v>2</v>
      </c>
      <c r="GA55" s="72">
        <v>0</v>
      </c>
      <c r="GB55" s="9">
        <v>0</v>
      </c>
      <c r="GC55" s="78">
        <v>0</v>
      </c>
      <c r="GD55" s="72">
        <v>1</v>
      </c>
      <c r="GE55" s="72">
        <v>0</v>
      </c>
      <c r="GF55" s="9">
        <v>2</v>
      </c>
      <c r="GG55" s="78">
        <v>0</v>
      </c>
      <c r="GH55" s="72">
        <v>0</v>
      </c>
      <c r="GI55" s="72">
        <v>0</v>
      </c>
      <c r="GJ55" s="9">
        <v>1</v>
      </c>
      <c r="GK55" s="78">
        <v>0</v>
      </c>
      <c r="GL55" s="72">
        <v>0</v>
      </c>
      <c r="GM55" s="72">
        <v>0</v>
      </c>
      <c r="GN55" s="9">
        <v>0</v>
      </c>
      <c r="GO55" s="78">
        <v>0</v>
      </c>
      <c r="GP55" s="72">
        <v>0</v>
      </c>
      <c r="GQ55" s="72">
        <v>0</v>
      </c>
      <c r="GR55" s="9">
        <v>0</v>
      </c>
      <c r="GS55" s="78">
        <v>0</v>
      </c>
      <c r="GT55" s="72">
        <v>0</v>
      </c>
      <c r="GU55" s="72">
        <v>0</v>
      </c>
      <c r="GV55" s="9">
        <v>0</v>
      </c>
      <c r="GW55" s="76"/>
      <c r="GX55" s="41">
        <v>2011</v>
      </c>
      <c r="GY55" s="48">
        <v>0</v>
      </c>
      <c r="GZ55" s="79">
        <v>0</v>
      </c>
      <c r="HA55" s="72">
        <v>0</v>
      </c>
      <c r="HB55" s="72">
        <v>1</v>
      </c>
      <c r="HC55" s="48">
        <f>CL20-FR55</f>
        <v>5</v>
      </c>
      <c r="HD55" s="48">
        <f>CM20-FV55</f>
        <v>6</v>
      </c>
      <c r="HE55" s="48">
        <f>CN20-FZ55</f>
        <v>5</v>
      </c>
      <c r="HF55" s="48">
        <f>CO20-GD55</f>
        <v>4</v>
      </c>
      <c r="HG55" s="48">
        <f>CP20-GH55</f>
        <v>3</v>
      </c>
      <c r="HH55" s="48">
        <f>CQ20-GL55</f>
        <v>0</v>
      </c>
      <c r="HI55" s="48">
        <f>CR20-GP55</f>
        <v>0</v>
      </c>
      <c r="HJ55" s="9">
        <f>CS20-GT55</f>
        <v>0</v>
      </c>
      <c r="HK55" s="77">
        <f>SUM(GY55:HJ55)</f>
        <v>24</v>
      </c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</row>
    <row r="56" spans="1:232">
      <c r="A56" s="10" t="s">
        <v>164</v>
      </c>
      <c r="B56" s="11">
        <f>AVERAGE(E56:AE56)</f>
        <v>0.40740740740740738</v>
      </c>
      <c r="C56" s="2">
        <f>MIN(E56:AE56)</f>
        <v>0</v>
      </c>
      <c r="D56" s="12">
        <f>MAX(E56:AE56)</f>
        <v>2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1</v>
      </c>
      <c r="N56" s="13">
        <v>0</v>
      </c>
      <c r="O56" s="13">
        <v>0</v>
      </c>
      <c r="P56" s="13">
        <v>0</v>
      </c>
      <c r="Q56" s="13">
        <v>0</v>
      </c>
      <c r="R56" s="13">
        <v>2</v>
      </c>
      <c r="S56" s="13">
        <v>0</v>
      </c>
      <c r="T56" s="13">
        <v>0</v>
      </c>
      <c r="U56" s="13">
        <v>0</v>
      </c>
      <c r="V56" s="13">
        <v>0</v>
      </c>
      <c r="W56" s="13">
        <v>1</v>
      </c>
      <c r="X56" s="13">
        <v>2</v>
      </c>
      <c r="Y56" s="13">
        <v>1</v>
      </c>
      <c r="Z56" s="14">
        <v>2</v>
      </c>
      <c r="AA56" s="13">
        <v>0</v>
      </c>
      <c r="AB56" s="13">
        <v>1</v>
      </c>
      <c r="AC56" s="13">
        <v>1</v>
      </c>
      <c r="AD56" s="13">
        <v>0</v>
      </c>
      <c r="AE56" s="13">
        <v>0</v>
      </c>
      <c r="AF56" s="13">
        <v>0</v>
      </c>
      <c r="AG56" s="13"/>
      <c r="AH56" s="13"/>
      <c r="CB56" s="3"/>
      <c r="CU56" s="3"/>
      <c r="CV56" s="3"/>
      <c r="CW56" s="3"/>
      <c r="CX56" s="3"/>
      <c r="CY56" s="3"/>
      <c r="CZ56" s="3"/>
      <c r="DA56" s="3"/>
      <c r="DK56" s="31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72"/>
      <c r="EY56" s="72"/>
      <c r="EZ56" s="23">
        <v>2012</v>
      </c>
      <c r="FA56" s="78">
        <v>0</v>
      </c>
      <c r="FB56" s="72">
        <v>1</v>
      </c>
      <c r="FC56" s="72">
        <v>0</v>
      </c>
      <c r="FD56" s="9">
        <v>0</v>
      </c>
      <c r="FE56" s="78">
        <v>0</v>
      </c>
      <c r="FF56" s="72">
        <v>0</v>
      </c>
      <c r="FG56" s="72">
        <v>0</v>
      </c>
      <c r="FH56" s="9">
        <v>0</v>
      </c>
      <c r="FI56" s="78">
        <v>0</v>
      </c>
      <c r="FJ56" s="72">
        <v>0</v>
      </c>
      <c r="FK56" s="72">
        <v>0</v>
      </c>
      <c r="FL56" s="9">
        <v>0</v>
      </c>
      <c r="FM56" s="78">
        <v>0</v>
      </c>
      <c r="FN56" s="72">
        <v>1</v>
      </c>
      <c r="FO56" s="72">
        <v>0</v>
      </c>
      <c r="FP56" s="9">
        <v>0</v>
      </c>
      <c r="FQ56" s="78">
        <v>0</v>
      </c>
      <c r="FR56" s="72">
        <v>0</v>
      </c>
      <c r="FS56" s="72">
        <v>0</v>
      </c>
      <c r="FT56" s="9">
        <v>0</v>
      </c>
      <c r="FU56" s="78">
        <v>0</v>
      </c>
      <c r="FV56" s="72">
        <v>1</v>
      </c>
      <c r="FW56" s="72">
        <v>1</v>
      </c>
      <c r="FX56" s="9">
        <v>0</v>
      </c>
      <c r="FY56" s="78">
        <v>0</v>
      </c>
      <c r="FZ56" s="72">
        <v>2</v>
      </c>
      <c r="GA56" s="72">
        <v>0</v>
      </c>
      <c r="GB56" s="9">
        <v>2</v>
      </c>
      <c r="GC56" s="78">
        <v>0</v>
      </c>
      <c r="GD56" s="72">
        <v>2</v>
      </c>
      <c r="GE56" s="72">
        <v>1</v>
      </c>
      <c r="GF56" s="9">
        <v>0</v>
      </c>
      <c r="GG56" s="78">
        <v>0</v>
      </c>
      <c r="GH56" s="72">
        <v>1</v>
      </c>
      <c r="GI56" s="72">
        <v>0</v>
      </c>
      <c r="GJ56" s="9">
        <v>0</v>
      </c>
      <c r="GK56" s="78">
        <v>0</v>
      </c>
      <c r="GL56" s="72">
        <v>0</v>
      </c>
      <c r="GM56" s="72">
        <v>0</v>
      </c>
      <c r="GN56" s="9">
        <v>0</v>
      </c>
      <c r="GO56" s="78">
        <v>0</v>
      </c>
      <c r="GP56" s="72">
        <v>0</v>
      </c>
      <c r="GQ56" s="72">
        <v>0</v>
      </c>
      <c r="GR56" s="9">
        <v>0</v>
      </c>
      <c r="GS56" s="78">
        <v>0</v>
      </c>
      <c r="GT56" s="72">
        <v>0</v>
      </c>
      <c r="GU56" s="72">
        <v>0</v>
      </c>
      <c r="GV56" s="9">
        <v>0</v>
      </c>
      <c r="GW56" s="76"/>
      <c r="GX56" s="41">
        <v>2012</v>
      </c>
      <c r="GY56" s="84">
        <v>1</v>
      </c>
      <c r="GZ56" s="79">
        <v>0</v>
      </c>
      <c r="HA56" s="72">
        <v>0</v>
      </c>
      <c r="HB56" s="72">
        <v>0</v>
      </c>
      <c r="HC56" s="48">
        <f>CL21-FR56</f>
        <v>6</v>
      </c>
      <c r="HD56" s="48">
        <f>CM21-FV56</f>
        <v>5</v>
      </c>
      <c r="HE56" s="48">
        <f>CN21-FZ56</f>
        <v>8</v>
      </c>
      <c r="HF56" s="48">
        <f>CO21-GD56</f>
        <v>4</v>
      </c>
      <c r="HG56" s="48">
        <f>CP21-GH56</f>
        <v>1</v>
      </c>
      <c r="HH56" s="48">
        <f>CQ21-GL56</f>
        <v>0</v>
      </c>
      <c r="HI56" s="48">
        <f>CR21-GP56</f>
        <v>0</v>
      </c>
      <c r="HJ56" s="9">
        <f>CS21-GT56</f>
        <v>0</v>
      </c>
      <c r="HK56" s="77">
        <f>SUM(GY56:HJ56)</f>
        <v>25</v>
      </c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</row>
    <row r="57" spans="1:232">
      <c r="A57" s="10" t="s">
        <v>165</v>
      </c>
      <c r="B57" s="11">
        <f>AVERAGE(E57:AE57)</f>
        <v>0.40740740740740738</v>
      </c>
      <c r="C57" s="2">
        <f>MIN(E57:AE57)</f>
        <v>0</v>
      </c>
      <c r="D57" s="12">
        <f>MAX(E57:AE57)</f>
        <v>2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13">
        <v>1</v>
      </c>
      <c r="N57" s="13">
        <v>0</v>
      </c>
      <c r="O57" s="13">
        <v>0</v>
      </c>
      <c r="P57" s="13">
        <v>0</v>
      </c>
      <c r="Q57" s="13">
        <v>0</v>
      </c>
      <c r="R57" s="13">
        <v>2</v>
      </c>
      <c r="S57" s="13">
        <v>0</v>
      </c>
      <c r="T57" s="13">
        <v>0</v>
      </c>
      <c r="U57" s="13">
        <v>0</v>
      </c>
      <c r="V57" s="13">
        <v>0</v>
      </c>
      <c r="W57" s="13">
        <v>1</v>
      </c>
      <c r="X57" s="13">
        <v>2</v>
      </c>
      <c r="Y57" s="13">
        <v>1</v>
      </c>
      <c r="Z57" s="13">
        <v>2</v>
      </c>
      <c r="AA57" s="13">
        <v>0</v>
      </c>
      <c r="AB57" s="13">
        <v>1</v>
      </c>
      <c r="AC57" s="13">
        <v>1</v>
      </c>
      <c r="AD57" s="13">
        <v>0</v>
      </c>
      <c r="AE57" s="13">
        <v>0</v>
      </c>
      <c r="AF57" s="13">
        <v>0</v>
      </c>
      <c r="AG57" s="13"/>
      <c r="AH57" s="13"/>
      <c r="CB57" s="3"/>
      <c r="CU57" s="3"/>
      <c r="CV57" s="3"/>
      <c r="CW57" s="3"/>
      <c r="CX57" s="3"/>
      <c r="CY57" s="3"/>
      <c r="CZ57" s="3"/>
      <c r="DA57" s="3"/>
      <c r="DH57" s="2"/>
      <c r="DK57" s="31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72"/>
      <c r="EY57" s="72"/>
      <c r="EZ57" s="23">
        <v>2013</v>
      </c>
      <c r="FA57" s="78">
        <v>0</v>
      </c>
      <c r="FB57" s="72">
        <v>0</v>
      </c>
      <c r="FC57" s="72">
        <v>0</v>
      </c>
      <c r="FD57" s="9">
        <v>0</v>
      </c>
      <c r="FE57" s="78">
        <v>0</v>
      </c>
      <c r="FF57" s="72">
        <v>0</v>
      </c>
      <c r="FG57" s="72">
        <v>0</v>
      </c>
      <c r="FH57" s="9">
        <v>0</v>
      </c>
      <c r="FI57" s="78">
        <v>0</v>
      </c>
      <c r="FJ57" s="72">
        <v>0</v>
      </c>
      <c r="FK57" s="72">
        <v>0</v>
      </c>
      <c r="FL57" s="9">
        <v>0</v>
      </c>
      <c r="FM57" s="78">
        <v>0</v>
      </c>
      <c r="FN57" s="72">
        <v>2</v>
      </c>
      <c r="FO57" s="72">
        <v>0</v>
      </c>
      <c r="FP57" s="9">
        <v>0</v>
      </c>
      <c r="FQ57" s="78">
        <v>0</v>
      </c>
      <c r="FR57" s="72">
        <v>3</v>
      </c>
      <c r="FS57" s="72">
        <v>0</v>
      </c>
      <c r="FT57" s="9">
        <v>0</v>
      </c>
      <c r="FU57" s="78">
        <v>0</v>
      </c>
      <c r="FV57" s="72">
        <v>1</v>
      </c>
      <c r="FW57" s="72">
        <v>1</v>
      </c>
      <c r="FX57" s="9">
        <v>0</v>
      </c>
      <c r="FY57" s="78">
        <v>0</v>
      </c>
      <c r="FZ57" s="72">
        <v>1</v>
      </c>
      <c r="GA57" s="72">
        <v>0</v>
      </c>
      <c r="GB57" s="9">
        <v>0</v>
      </c>
      <c r="GC57" s="78">
        <v>0</v>
      </c>
      <c r="GD57" s="72">
        <v>1</v>
      </c>
      <c r="GE57" s="72">
        <v>0</v>
      </c>
      <c r="GF57" s="9">
        <v>1</v>
      </c>
      <c r="GG57" s="78">
        <v>0</v>
      </c>
      <c r="GH57" s="72">
        <v>0</v>
      </c>
      <c r="GI57" s="72">
        <v>0</v>
      </c>
      <c r="GJ57" s="9">
        <v>0</v>
      </c>
      <c r="GK57" s="78">
        <v>0</v>
      </c>
      <c r="GL57" s="72">
        <v>0</v>
      </c>
      <c r="GM57" s="72">
        <v>0</v>
      </c>
      <c r="GN57" s="9">
        <v>0</v>
      </c>
      <c r="GO57" s="78">
        <v>0</v>
      </c>
      <c r="GP57" s="72">
        <v>0</v>
      </c>
      <c r="GQ57" s="72">
        <v>0</v>
      </c>
      <c r="GR57" s="9">
        <v>0</v>
      </c>
      <c r="GS57" s="78">
        <v>0</v>
      </c>
      <c r="GT57" s="72">
        <v>0</v>
      </c>
      <c r="GU57" s="72">
        <v>0</v>
      </c>
      <c r="GV57" s="9">
        <v>0</v>
      </c>
      <c r="GW57" s="76"/>
      <c r="GX57" s="41">
        <v>2013</v>
      </c>
      <c r="GY57" s="84">
        <v>0</v>
      </c>
      <c r="GZ57" s="79">
        <v>0</v>
      </c>
      <c r="HA57" s="72">
        <v>0</v>
      </c>
      <c r="HB57" s="72">
        <v>0</v>
      </c>
      <c r="HC57" s="48">
        <f>CL22-FR57</f>
        <v>3</v>
      </c>
      <c r="HD57" s="48">
        <f>CM22-FV57</f>
        <v>3</v>
      </c>
      <c r="HE57" s="48">
        <f>CN22-FZ57</f>
        <v>2</v>
      </c>
      <c r="HF57" s="48">
        <f>CO22-GD57</f>
        <v>3</v>
      </c>
      <c r="HG57" s="48">
        <f>CP22-GH57</f>
        <v>1</v>
      </c>
      <c r="HH57" s="48">
        <f>CQ22-GL57</f>
        <v>0</v>
      </c>
      <c r="HI57" s="48">
        <f>CR22-GP57</f>
        <v>0</v>
      </c>
      <c r="HJ57" s="9">
        <f>CS22-GT57</f>
        <v>0</v>
      </c>
      <c r="HK57" s="77">
        <f>SUM(GY57:HJ57)</f>
        <v>12</v>
      </c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</row>
    <row r="58" spans="1:232">
      <c r="A58" s="10" t="s">
        <v>166</v>
      </c>
      <c r="B58" s="11">
        <f>AVERAGE(E58:AE58)</f>
        <v>0.44444444444444442</v>
      </c>
      <c r="C58" s="2">
        <f>MIN(E58:AE58)</f>
        <v>0</v>
      </c>
      <c r="D58" s="12">
        <f>MAX(E58:AE58)</f>
        <v>2</v>
      </c>
      <c r="E58" s="13">
        <v>0</v>
      </c>
      <c r="F58" s="13">
        <v>0</v>
      </c>
      <c r="G58" s="13">
        <v>0</v>
      </c>
      <c r="H58" s="13">
        <v>1</v>
      </c>
      <c r="I58" s="13">
        <v>0</v>
      </c>
      <c r="J58" s="13">
        <v>0</v>
      </c>
      <c r="K58" s="13">
        <v>0</v>
      </c>
      <c r="L58" s="13">
        <v>0</v>
      </c>
      <c r="M58" s="13">
        <v>1</v>
      </c>
      <c r="N58" s="13">
        <v>0</v>
      </c>
      <c r="O58" s="13">
        <v>0</v>
      </c>
      <c r="P58" s="13">
        <v>0</v>
      </c>
      <c r="Q58" s="13">
        <v>0</v>
      </c>
      <c r="R58" s="13">
        <v>2</v>
      </c>
      <c r="S58" s="13">
        <v>0</v>
      </c>
      <c r="T58" s="13">
        <v>0</v>
      </c>
      <c r="U58" s="13">
        <v>0</v>
      </c>
      <c r="V58" s="13">
        <v>0</v>
      </c>
      <c r="W58" s="13">
        <v>1</v>
      </c>
      <c r="X58" s="13">
        <v>2</v>
      </c>
      <c r="Y58" s="13">
        <v>1</v>
      </c>
      <c r="Z58" s="13">
        <v>2</v>
      </c>
      <c r="AA58" s="13">
        <v>0</v>
      </c>
      <c r="AB58" s="13">
        <v>1</v>
      </c>
      <c r="AC58" s="13">
        <v>1</v>
      </c>
      <c r="AD58" s="13">
        <v>0</v>
      </c>
      <c r="AE58" s="13">
        <v>0</v>
      </c>
      <c r="AF58" s="13">
        <v>0</v>
      </c>
      <c r="AG58" s="13"/>
      <c r="AH58" s="13"/>
      <c r="CB58" s="3"/>
      <c r="CU58" s="3"/>
      <c r="CV58" s="3"/>
      <c r="CW58" s="3"/>
      <c r="CX58" s="3"/>
      <c r="CY58" s="3"/>
      <c r="CZ58" s="3"/>
      <c r="DA58" s="3"/>
      <c r="DK58" s="31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72"/>
      <c r="EY58" s="72"/>
      <c r="EZ58" s="23">
        <v>2014</v>
      </c>
      <c r="FA58" s="78">
        <v>0</v>
      </c>
      <c r="FB58" s="72">
        <v>0</v>
      </c>
      <c r="FC58" s="72">
        <v>0</v>
      </c>
      <c r="FD58" s="9">
        <v>0</v>
      </c>
      <c r="FE58" s="78">
        <v>0</v>
      </c>
      <c r="FF58" s="72">
        <v>0</v>
      </c>
      <c r="FG58" s="72">
        <v>0</v>
      </c>
      <c r="FH58" s="9">
        <v>0</v>
      </c>
      <c r="FI58" s="78">
        <v>0</v>
      </c>
      <c r="FJ58" s="72">
        <v>0</v>
      </c>
      <c r="FK58" s="72">
        <v>0</v>
      </c>
      <c r="FL58" s="9">
        <v>0</v>
      </c>
      <c r="FM58" s="78">
        <v>0</v>
      </c>
      <c r="FN58" s="72">
        <v>3</v>
      </c>
      <c r="FO58" s="72">
        <v>0</v>
      </c>
      <c r="FP58" s="9">
        <v>0</v>
      </c>
      <c r="FQ58" s="78">
        <v>0</v>
      </c>
      <c r="FR58" s="72">
        <v>1</v>
      </c>
      <c r="FS58" s="72">
        <v>1</v>
      </c>
      <c r="FT58" s="9">
        <v>0</v>
      </c>
      <c r="FU58" s="78">
        <v>0</v>
      </c>
      <c r="FV58" s="72">
        <v>1</v>
      </c>
      <c r="FW58" s="72">
        <v>0</v>
      </c>
      <c r="FX58" s="9">
        <v>0</v>
      </c>
      <c r="FY58" s="78">
        <v>0</v>
      </c>
      <c r="FZ58" s="72">
        <v>3</v>
      </c>
      <c r="GA58" s="72">
        <v>0</v>
      </c>
      <c r="GB58" s="9">
        <v>0</v>
      </c>
      <c r="GC58" s="78">
        <v>0</v>
      </c>
      <c r="GD58" s="72">
        <v>2</v>
      </c>
      <c r="GE58" s="72">
        <v>0</v>
      </c>
      <c r="GF58" s="9">
        <v>0</v>
      </c>
      <c r="GG58" s="78">
        <v>0</v>
      </c>
      <c r="GH58" s="72">
        <v>1</v>
      </c>
      <c r="GI58" s="72">
        <v>0</v>
      </c>
      <c r="GJ58" s="9">
        <v>0</v>
      </c>
      <c r="GK58" s="78">
        <v>0</v>
      </c>
      <c r="GL58" s="72">
        <v>0</v>
      </c>
      <c r="GM58" s="72">
        <v>0</v>
      </c>
      <c r="GN58" s="9">
        <v>0</v>
      </c>
      <c r="GO58" s="78">
        <v>0</v>
      </c>
      <c r="GP58" s="72">
        <v>0</v>
      </c>
      <c r="GQ58" s="72">
        <v>0</v>
      </c>
      <c r="GR58" s="9">
        <v>0</v>
      </c>
      <c r="GS58" s="78">
        <v>0</v>
      </c>
      <c r="GT58" s="72">
        <v>0</v>
      </c>
      <c r="GU58" s="72">
        <v>0</v>
      </c>
      <c r="GV58" s="9">
        <v>0</v>
      </c>
      <c r="GW58" s="76"/>
      <c r="GX58" s="41">
        <v>2014</v>
      </c>
      <c r="GY58" s="84">
        <v>0</v>
      </c>
      <c r="GZ58" s="79">
        <v>0</v>
      </c>
      <c r="HA58" s="72">
        <v>0</v>
      </c>
      <c r="HB58" s="72">
        <v>3</v>
      </c>
      <c r="HC58" s="48">
        <f>CL23-FR58</f>
        <v>6</v>
      </c>
      <c r="HD58" s="48">
        <f>CM23-FV58</f>
        <v>2</v>
      </c>
      <c r="HE58" s="48">
        <f>CN23-FZ58</f>
        <v>10</v>
      </c>
      <c r="HF58" s="48">
        <f>CO23-GD58</f>
        <v>3</v>
      </c>
      <c r="HG58" s="48">
        <f>CP23-GH58</f>
        <v>4</v>
      </c>
      <c r="HH58" s="48">
        <f>CQ23-GL58</f>
        <v>1</v>
      </c>
      <c r="HI58" s="48">
        <f>CR23-GP58</f>
        <v>0</v>
      </c>
      <c r="HJ58" s="9">
        <f>CS23-GT58</f>
        <v>0</v>
      </c>
      <c r="HK58" s="77">
        <f>SUM(GY58:HJ58)</f>
        <v>29</v>
      </c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</row>
    <row r="59" spans="1:232">
      <c r="A59" s="10" t="s">
        <v>167</v>
      </c>
      <c r="B59" s="11">
        <f>AVERAGE(E59:AE59)</f>
        <v>0.44444444444444442</v>
      </c>
      <c r="C59" s="2">
        <f>MIN(E59:AE59)</f>
        <v>0</v>
      </c>
      <c r="D59" s="12">
        <f>MAX(E59:AE59)</f>
        <v>2</v>
      </c>
      <c r="E59" s="13">
        <v>0</v>
      </c>
      <c r="F59" s="13">
        <v>0</v>
      </c>
      <c r="G59" s="13">
        <v>0</v>
      </c>
      <c r="H59" s="13">
        <v>1</v>
      </c>
      <c r="I59" s="13">
        <v>0</v>
      </c>
      <c r="J59" s="13">
        <v>0</v>
      </c>
      <c r="K59" s="13">
        <v>0</v>
      </c>
      <c r="L59" s="13">
        <v>0</v>
      </c>
      <c r="M59" s="13">
        <v>1</v>
      </c>
      <c r="N59" s="13">
        <v>0</v>
      </c>
      <c r="O59" s="13">
        <v>0</v>
      </c>
      <c r="P59" s="13">
        <v>0</v>
      </c>
      <c r="Q59" s="13">
        <v>0</v>
      </c>
      <c r="R59" s="13">
        <v>2</v>
      </c>
      <c r="S59" s="13">
        <v>0</v>
      </c>
      <c r="T59" s="13">
        <v>0</v>
      </c>
      <c r="U59" s="13">
        <v>0</v>
      </c>
      <c r="V59" s="13">
        <v>0</v>
      </c>
      <c r="W59" s="13">
        <v>1</v>
      </c>
      <c r="X59" s="13">
        <v>2</v>
      </c>
      <c r="Y59" s="13">
        <v>1</v>
      </c>
      <c r="Z59" s="13">
        <v>2</v>
      </c>
      <c r="AA59" s="13">
        <v>0</v>
      </c>
      <c r="AB59" s="13">
        <v>1</v>
      </c>
      <c r="AC59" s="13">
        <v>1</v>
      </c>
      <c r="AD59" s="13">
        <v>0</v>
      </c>
      <c r="AE59" s="13">
        <v>0</v>
      </c>
      <c r="AF59" s="13">
        <v>0</v>
      </c>
      <c r="AG59" s="13"/>
      <c r="AH59" s="13"/>
      <c r="CB59" s="3"/>
      <c r="CU59" s="3"/>
      <c r="CV59" s="3"/>
      <c r="CW59" s="3"/>
      <c r="CX59" s="3"/>
      <c r="CY59" s="3"/>
      <c r="CZ59" s="3"/>
      <c r="DA59" s="3"/>
      <c r="DK59" s="31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72"/>
      <c r="EY59" s="72"/>
      <c r="EZ59" s="23">
        <v>2015</v>
      </c>
      <c r="FA59" s="78">
        <v>0</v>
      </c>
      <c r="FB59" s="72">
        <v>0</v>
      </c>
      <c r="FC59" s="72">
        <v>0</v>
      </c>
      <c r="FD59" s="9">
        <v>0</v>
      </c>
      <c r="FE59" s="78">
        <v>0</v>
      </c>
      <c r="FF59" s="72">
        <v>0</v>
      </c>
      <c r="FG59" s="72">
        <v>0</v>
      </c>
      <c r="FH59" s="9">
        <v>0</v>
      </c>
      <c r="FI59" s="78">
        <v>0</v>
      </c>
      <c r="FJ59" s="72">
        <v>0</v>
      </c>
      <c r="FK59" s="72">
        <v>0</v>
      </c>
      <c r="FL59" s="9">
        <v>0</v>
      </c>
      <c r="FM59" s="78">
        <v>0</v>
      </c>
      <c r="FN59" s="72">
        <v>1</v>
      </c>
      <c r="FO59" s="72">
        <v>1</v>
      </c>
      <c r="FP59" s="9">
        <v>0</v>
      </c>
      <c r="FQ59" s="78">
        <v>0</v>
      </c>
      <c r="FR59" s="72">
        <v>0</v>
      </c>
      <c r="FS59" s="72">
        <v>0</v>
      </c>
      <c r="FT59" s="9">
        <v>0</v>
      </c>
      <c r="FU59" s="78">
        <v>0</v>
      </c>
      <c r="FV59" s="72">
        <v>2</v>
      </c>
      <c r="FW59" s="72">
        <v>0</v>
      </c>
      <c r="FX59" s="9">
        <v>0</v>
      </c>
      <c r="FY59" s="78">
        <v>0</v>
      </c>
      <c r="FZ59" s="72">
        <v>2</v>
      </c>
      <c r="GA59" s="72">
        <v>1</v>
      </c>
      <c r="GB59" s="9">
        <v>1</v>
      </c>
      <c r="GC59" s="78">
        <v>0</v>
      </c>
      <c r="GD59" s="72">
        <v>2</v>
      </c>
      <c r="GE59" s="72">
        <v>0</v>
      </c>
      <c r="GF59" s="9">
        <v>0</v>
      </c>
      <c r="GG59" s="78">
        <v>0</v>
      </c>
      <c r="GH59" s="72">
        <v>2</v>
      </c>
      <c r="GI59" s="72">
        <v>0</v>
      </c>
      <c r="GJ59" s="9">
        <v>0</v>
      </c>
      <c r="GK59" s="78">
        <v>0</v>
      </c>
      <c r="GL59" s="72">
        <v>0</v>
      </c>
      <c r="GM59" s="72">
        <v>0</v>
      </c>
      <c r="GN59" s="9">
        <v>0</v>
      </c>
      <c r="GO59" s="78">
        <v>0</v>
      </c>
      <c r="GP59" s="72">
        <v>0</v>
      </c>
      <c r="GQ59" s="72">
        <v>0</v>
      </c>
      <c r="GR59" s="9">
        <v>0</v>
      </c>
      <c r="GS59" s="78">
        <v>0</v>
      </c>
      <c r="GT59" s="72">
        <v>0</v>
      </c>
      <c r="GU59" s="72">
        <v>0</v>
      </c>
      <c r="GV59" s="9">
        <v>0</v>
      </c>
      <c r="GW59" s="76"/>
      <c r="GX59" s="41">
        <v>2015</v>
      </c>
      <c r="GY59" s="84">
        <v>0</v>
      </c>
      <c r="GZ59" s="79">
        <v>0</v>
      </c>
      <c r="HA59" s="72">
        <v>0</v>
      </c>
      <c r="HB59" s="72">
        <v>2</v>
      </c>
      <c r="HC59" s="48">
        <f>CL24-FR59</f>
        <v>2</v>
      </c>
      <c r="HD59" s="48">
        <f>CM24-FV59</f>
        <v>5</v>
      </c>
      <c r="HE59" s="48">
        <f>CN24-FZ59</f>
        <v>7</v>
      </c>
      <c r="HF59" s="48">
        <f>CO24-GD59</f>
        <v>2</v>
      </c>
      <c r="HG59" s="48">
        <f>CP24-GH59</f>
        <v>0</v>
      </c>
      <c r="HH59" s="48">
        <f>CQ24-GL59</f>
        <v>0</v>
      </c>
      <c r="HI59" s="48">
        <f>CR24-GP59</f>
        <v>0</v>
      </c>
      <c r="HJ59" s="9">
        <f>CS24-GT59</f>
        <v>0</v>
      </c>
      <c r="HK59" s="77">
        <f>SUM(GY59:HJ59)</f>
        <v>18</v>
      </c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</row>
    <row r="60" spans="1:232">
      <c r="A60" s="10" t="s">
        <v>168</v>
      </c>
      <c r="B60" s="11">
        <f>AVERAGE(E60:AE60)</f>
        <v>0.44444444444444442</v>
      </c>
      <c r="C60" s="2">
        <f>MIN(E60:AE60)</f>
        <v>0</v>
      </c>
      <c r="D60" s="12">
        <f>MAX(E60:AE60)</f>
        <v>2</v>
      </c>
      <c r="E60" s="13">
        <v>0</v>
      </c>
      <c r="F60" s="13">
        <v>0</v>
      </c>
      <c r="G60" s="13">
        <v>0</v>
      </c>
      <c r="H60" s="13">
        <v>1</v>
      </c>
      <c r="I60" s="13">
        <v>0</v>
      </c>
      <c r="J60" s="13">
        <v>0</v>
      </c>
      <c r="K60" s="13">
        <v>0</v>
      </c>
      <c r="L60" s="13">
        <v>0</v>
      </c>
      <c r="M60" s="13">
        <v>1</v>
      </c>
      <c r="N60" s="13">
        <v>0</v>
      </c>
      <c r="O60" s="13">
        <v>0</v>
      </c>
      <c r="P60" s="13">
        <v>0</v>
      </c>
      <c r="Q60" s="13">
        <v>0</v>
      </c>
      <c r="R60" s="13">
        <v>2</v>
      </c>
      <c r="S60" s="13">
        <v>0</v>
      </c>
      <c r="T60" s="13">
        <v>0</v>
      </c>
      <c r="U60" s="13">
        <v>0</v>
      </c>
      <c r="V60" s="13">
        <v>0</v>
      </c>
      <c r="W60" s="13">
        <v>1</v>
      </c>
      <c r="X60" s="13">
        <v>2</v>
      </c>
      <c r="Y60" s="13">
        <v>1</v>
      </c>
      <c r="Z60" s="13">
        <v>2</v>
      </c>
      <c r="AA60" s="13">
        <v>0</v>
      </c>
      <c r="AB60" s="13">
        <v>1</v>
      </c>
      <c r="AC60" s="13">
        <v>1</v>
      </c>
      <c r="AD60" s="13">
        <v>0</v>
      </c>
      <c r="AE60" s="13">
        <v>0</v>
      </c>
      <c r="AF60" s="13">
        <v>0</v>
      </c>
      <c r="AG60" s="13"/>
      <c r="AH60" s="13"/>
      <c r="CB60" s="3"/>
      <c r="CU60" s="3"/>
      <c r="CV60" s="3"/>
      <c r="CW60" s="3"/>
      <c r="CX60" s="3"/>
      <c r="CY60" s="3"/>
      <c r="CZ60" s="3"/>
      <c r="DA60" s="3"/>
      <c r="DK60" s="31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72"/>
      <c r="EY60" s="72"/>
      <c r="EZ60" s="23">
        <v>2016</v>
      </c>
      <c r="FA60" s="78">
        <v>0</v>
      </c>
      <c r="FB60" s="72">
        <v>0</v>
      </c>
      <c r="FC60" s="72">
        <v>0</v>
      </c>
      <c r="FD60" s="9">
        <v>0</v>
      </c>
      <c r="FE60" s="78">
        <v>0</v>
      </c>
      <c r="FF60" s="72">
        <v>0</v>
      </c>
      <c r="FG60" s="72">
        <v>0</v>
      </c>
      <c r="FH60" s="9">
        <v>0</v>
      </c>
      <c r="FI60" s="78">
        <v>0</v>
      </c>
      <c r="FJ60" s="72">
        <v>0</v>
      </c>
      <c r="FK60" s="72">
        <v>0</v>
      </c>
      <c r="FL60" s="9">
        <v>0</v>
      </c>
      <c r="FM60" s="78">
        <v>1</v>
      </c>
      <c r="FN60" s="72">
        <v>1</v>
      </c>
      <c r="FO60" s="72">
        <v>0</v>
      </c>
      <c r="FP60" s="9">
        <v>0</v>
      </c>
      <c r="FQ60" s="78">
        <v>1</v>
      </c>
      <c r="FR60" s="72">
        <v>1</v>
      </c>
      <c r="FS60" s="72">
        <v>0</v>
      </c>
      <c r="FT60" s="9">
        <v>0</v>
      </c>
      <c r="FU60" s="78">
        <v>0</v>
      </c>
      <c r="FV60" s="72">
        <v>5</v>
      </c>
      <c r="FW60" s="72">
        <v>1</v>
      </c>
      <c r="FX60" s="9">
        <v>0</v>
      </c>
      <c r="FY60" s="78">
        <v>0</v>
      </c>
      <c r="FZ60" s="72">
        <v>5</v>
      </c>
      <c r="GA60" s="72">
        <v>0</v>
      </c>
      <c r="GB60" s="9">
        <v>0</v>
      </c>
      <c r="GC60" s="78">
        <v>0</v>
      </c>
      <c r="GD60" s="72">
        <v>1</v>
      </c>
      <c r="GE60" s="72">
        <v>0</v>
      </c>
      <c r="GF60" s="9">
        <v>0</v>
      </c>
      <c r="GG60" s="78">
        <v>0</v>
      </c>
      <c r="GH60" s="72">
        <v>1</v>
      </c>
      <c r="GI60" s="72">
        <v>0</v>
      </c>
      <c r="GJ60" s="9">
        <v>0</v>
      </c>
      <c r="GK60" s="78">
        <v>0</v>
      </c>
      <c r="GL60" s="72">
        <v>0</v>
      </c>
      <c r="GM60" s="72">
        <v>0</v>
      </c>
      <c r="GN60" s="9">
        <v>0</v>
      </c>
      <c r="GO60" s="78">
        <v>0</v>
      </c>
      <c r="GP60" s="72">
        <v>0</v>
      </c>
      <c r="GQ60" s="72">
        <v>0</v>
      </c>
      <c r="GR60" s="9">
        <v>0</v>
      </c>
      <c r="GS60" s="78">
        <v>0</v>
      </c>
      <c r="GT60" s="72">
        <v>0</v>
      </c>
      <c r="GU60" s="72">
        <v>0</v>
      </c>
      <c r="GV60" s="9">
        <v>0</v>
      </c>
      <c r="GW60" s="76"/>
      <c r="GX60" s="41">
        <v>2016</v>
      </c>
      <c r="GY60" s="84">
        <v>0</v>
      </c>
      <c r="GZ60" s="79">
        <v>0</v>
      </c>
      <c r="HA60" s="72">
        <v>0</v>
      </c>
      <c r="HB60" s="72">
        <v>0</v>
      </c>
      <c r="HC60" s="48">
        <f>CL25-FR60</f>
        <v>4</v>
      </c>
      <c r="HD60" s="48">
        <f>CM25-FV60</f>
        <v>8</v>
      </c>
      <c r="HE60" s="48">
        <f>CN25-FZ60</f>
        <v>6</v>
      </c>
      <c r="HF60" s="48">
        <f>CO25-GD60</f>
        <v>1</v>
      </c>
      <c r="HG60" s="48">
        <f>CP25-GH60</f>
        <v>0</v>
      </c>
      <c r="HH60" s="48">
        <f>CQ25-GL60</f>
        <v>0</v>
      </c>
      <c r="HI60" s="48">
        <f>CR25-GP60</f>
        <v>0</v>
      </c>
      <c r="HJ60" s="9">
        <f>CS25-GT60</f>
        <v>0</v>
      </c>
      <c r="HK60" s="77">
        <f>SUM(GY60:HJ60)</f>
        <v>19</v>
      </c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</row>
    <row r="61" spans="1:232">
      <c r="A61" s="10" t="s">
        <v>169</v>
      </c>
      <c r="B61" s="11">
        <f>AVERAGE(E61:AE61)</f>
        <v>0.44444444444444442</v>
      </c>
      <c r="C61" s="2">
        <f>MIN(E61:AE61)</f>
        <v>0</v>
      </c>
      <c r="D61" s="12">
        <f>MAX(E61:AE61)</f>
        <v>2</v>
      </c>
      <c r="E61" s="13">
        <v>0</v>
      </c>
      <c r="F61" s="13">
        <v>0</v>
      </c>
      <c r="G61" s="13">
        <v>0</v>
      </c>
      <c r="H61" s="13">
        <v>1</v>
      </c>
      <c r="I61" s="13">
        <v>0</v>
      </c>
      <c r="J61" s="13">
        <v>0</v>
      </c>
      <c r="K61" s="13">
        <v>0</v>
      </c>
      <c r="L61" s="13">
        <v>0</v>
      </c>
      <c r="M61" s="13">
        <v>1</v>
      </c>
      <c r="N61" s="13">
        <v>0</v>
      </c>
      <c r="O61" s="13">
        <v>0</v>
      </c>
      <c r="P61" s="13">
        <v>0</v>
      </c>
      <c r="Q61" s="13">
        <v>0</v>
      </c>
      <c r="R61" s="13">
        <v>2</v>
      </c>
      <c r="S61" s="13">
        <v>0</v>
      </c>
      <c r="T61" s="13">
        <v>0</v>
      </c>
      <c r="U61" s="13">
        <v>0</v>
      </c>
      <c r="V61" s="13">
        <v>0</v>
      </c>
      <c r="W61" s="13">
        <v>1</v>
      </c>
      <c r="X61" s="13">
        <v>2</v>
      </c>
      <c r="Y61" s="13">
        <v>1</v>
      </c>
      <c r="Z61" s="13">
        <v>2</v>
      </c>
      <c r="AA61" s="13">
        <v>0</v>
      </c>
      <c r="AB61" s="13">
        <v>1</v>
      </c>
      <c r="AC61" s="13">
        <v>1</v>
      </c>
      <c r="AD61" s="13">
        <v>0</v>
      </c>
      <c r="AE61" s="13">
        <v>0</v>
      </c>
      <c r="AF61" s="13">
        <v>0</v>
      </c>
      <c r="AG61" s="13"/>
      <c r="AH61" s="13"/>
      <c r="CB61" s="3"/>
      <c r="CU61" s="3"/>
      <c r="CV61" s="3"/>
      <c r="CW61" s="3"/>
      <c r="CX61" s="3"/>
      <c r="CY61" s="3"/>
      <c r="CZ61" s="3"/>
      <c r="DA61" s="3"/>
      <c r="DK61" s="31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72"/>
      <c r="EY61" s="72"/>
      <c r="EZ61" s="23">
        <v>2017</v>
      </c>
      <c r="FA61" s="78">
        <v>0</v>
      </c>
      <c r="FB61" s="72">
        <v>1</v>
      </c>
      <c r="FC61" s="72">
        <v>0</v>
      </c>
      <c r="FD61" s="9">
        <v>0</v>
      </c>
      <c r="FE61" s="78">
        <v>0</v>
      </c>
      <c r="FF61" s="72">
        <v>0</v>
      </c>
      <c r="FG61" s="72">
        <v>0</v>
      </c>
      <c r="FH61" s="9">
        <v>0</v>
      </c>
      <c r="FI61" s="78">
        <v>0</v>
      </c>
      <c r="FJ61" s="72">
        <v>0</v>
      </c>
      <c r="FK61" s="72">
        <v>0</v>
      </c>
      <c r="FL61" s="9">
        <v>0</v>
      </c>
      <c r="FM61" s="78">
        <v>0</v>
      </c>
      <c r="FN61" s="72">
        <v>0</v>
      </c>
      <c r="FO61" s="72">
        <v>0</v>
      </c>
      <c r="FP61" s="9">
        <v>0</v>
      </c>
      <c r="FQ61" s="78">
        <v>0</v>
      </c>
      <c r="FR61" s="72">
        <v>1</v>
      </c>
      <c r="FS61" s="72">
        <v>0</v>
      </c>
      <c r="FT61" s="9">
        <v>0</v>
      </c>
      <c r="FU61" s="78">
        <v>0</v>
      </c>
      <c r="FV61" s="72">
        <v>2</v>
      </c>
      <c r="FW61" s="72">
        <v>3</v>
      </c>
      <c r="FX61" s="9">
        <v>2</v>
      </c>
      <c r="FY61" s="78">
        <v>0</v>
      </c>
      <c r="FZ61" s="72">
        <v>5</v>
      </c>
      <c r="GA61" s="72">
        <v>1</v>
      </c>
      <c r="GB61" s="9">
        <v>0</v>
      </c>
      <c r="GC61" s="78">
        <v>0</v>
      </c>
      <c r="GD61" s="72">
        <v>1</v>
      </c>
      <c r="GE61" s="72">
        <v>0</v>
      </c>
      <c r="GF61" s="9">
        <v>1</v>
      </c>
      <c r="GG61" s="78">
        <v>0</v>
      </c>
      <c r="GH61" s="72">
        <v>1</v>
      </c>
      <c r="GI61" s="72">
        <v>0</v>
      </c>
      <c r="GJ61" s="9">
        <v>0</v>
      </c>
      <c r="GK61" s="78">
        <v>0</v>
      </c>
      <c r="GL61" s="72">
        <v>0</v>
      </c>
      <c r="GM61" s="72">
        <v>0</v>
      </c>
      <c r="GN61" s="9">
        <v>0</v>
      </c>
      <c r="GO61" s="78">
        <v>0</v>
      </c>
      <c r="GP61" s="72">
        <v>0</v>
      </c>
      <c r="GQ61" s="72">
        <v>0</v>
      </c>
      <c r="GR61" s="9">
        <v>0</v>
      </c>
      <c r="GS61" s="78">
        <v>0</v>
      </c>
      <c r="GT61" s="72">
        <v>0</v>
      </c>
      <c r="GU61" s="72">
        <v>0</v>
      </c>
      <c r="GV61" s="9">
        <v>0</v>
      </c>
      <c r="GW61" s="76"/>
      <c r="GX61" s="41">
        <v>2017</v>
      </c>
      <c r="GY61" s="84">
        <v>0</v>
      </c>
      <c r="GZ61" s="79">
        <v>0</v>
      </c>
      <c r="HA61" s="72">
        <v>0</v>
      </c>
      <c r="HB61" s="72">
        <v>0</v>
      </c>
      <c r="HC61" s="48">
        <f>CL26-FR61</f>
        <v>4</v>
      </c>
      <c r="HD61" s="48">
        <f>CM26-FV61</f>
        <v>6</v>
      </c>
      <c r="HE61" s="48">
        <f>CN26-FZ61</f>
        <v>5</v>
      </c>
      <c r="HF61" s="48">
        <f>CO26-GD61</f>
        <v>6</v>
      </c>
      <c r="HG61" s="48">
        <f>CP26-GH61</f>
        <v>0</v>
      </c>
      <c r="HH61" s="48">
        <f>CQ26-GL61</f>
        <v>1</v>
      </c>
      <c r="HI61" s="48">
        <f>CR26-GP61</f>
        <v>0</v>
      </c>
      <c r="HJ61" s="9">
        <f>CS26-GT61</f>
        <v>0</v>
      </c>
      <c r="HK61" s="77">
        <f>SUM(GY61:HJ61)</f>
        <v>22</v>
      </c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</row>
    <row r="62" spans="1:232">
      <c r="A62" s="10" t="s">
        <v>170</v>
      </c>
      <c r="B62" s="11">
        <f>AVERAGE(E62:AE62)</f>
        <v>0.48148148148148145</v>
      </c>
      <c r="C62" s="2">
        <f>MIN(E62:AE62)</f>
        <v>0</v>
      </c>
      <c r="D62" s="12">
        <f>MAX(E62:AE62)</f>
        <v>2</v>
      </c>
      <c r="E62" s="13">
        <v>0</v>
      </c>
      <c r="F62" s="13">
        <v>0</v>
      </c>
      <c r="G62" s="13">
        <v>0</v>
      </c>
      <c r="H62" s="21">
        <v>2</v>
      </c>
      <c r="I62" s="13">
        <v>0</v>
      </c>
      <c r="J62" s="13">
        <v>0</v>
      </c>
      <c r="K62" s="13">
        <v>0</v>
      </c>
      <c r="L62" s="13">
        <v>0</v>
      </c>
      <c r="M62" s="13">
        <v>1</v>
      </c>
      <c r="N62" s="13">
        <v>0</v>
      </c>
      <c r="O62" s="13">
        <v>0</v>
      </c>
      <c r="P62" s="13">
        <v>0</v>
      </c>
      <c r="Q62" s="13">
        <v>0</v>
      </c>
      <c r="R62" s="13">
        <v>2</v>
      </c>
      <c r="S62" s="13">
        <v>0</v>
      </c>
      <c r="T62" s="13">
        <v>0</v>
      </c>
      <c r="U62" s="13">
        <v>0</v>
      </c>
      <c r="V62" s="13">
        <v>0</v>
      </c>
      <c r="W62" s="13">
        <v>1</v>
      </c>
      <c r="X62" s="13">
        <v>2</v>
      </c>
      <c r="Y62" s="13">
        <v>1</v>
      </c>
      <c r="Z62" s="13">
        <v>2</v>
      </c>
      <c r="AA62" s="13">
        <v>0</v>
      </c>
      <c r="AB62" s="13">
        <v>1</v>
      </c>
      <c r="AC62" s="13">
        <v>1</v>
      </c>
      <c r="AD62" s="13">
        <v>0</v>
      </c>
      <c r="AE62" s="13">
        <v>0</v>
      </c>
      <c r="AF62" s="13">
        <v>0</v>
      </c>
      <c r="AG62" s="13"/>
      <c r="AH62" s="13"/>
      <c r="CB62" s="3"/>
      <c r="CU62" s="3"/>
      <c r="CV62" s="3"/>
      <c r="CW62" s="3"/>
      <c r="CX62" s="3"/>
      <c r="CY62" s="3"/>
      <c r="CZ62" s="3"/>
      <c r="DA62" s="3"/>
      <c r="DK62" s="31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72"/>
      <c r="EY62" s="72"/>
      <c r="EZ62" s="23">
        <v>2018</v>
      </c>
      <c r="FA62" s="78">
        <v>0</v>
      </c>
      <c r="FB62" s="72">
        <v>1</v>
      </c>
      <c r="FC62" s="72">
        <v>0</v>
      </c>
      <c r="FD62" s="9">
        <v>0</v>
      </c>
      <c r="FE62" s="78">
        <v>0</v>
      </c>
      <c r="FF62" s="72">
        <v>0</v>
      </c>
      <c r="FG62" s="72">
        <v>0</v>
      </c>
      <c r="FH62" s="9">
        <v>0</v>
      </c>
      <c r="FI62" s="78">
        <v>0</v>
      </c>
      <c r="FJ62" s="72">
        <v>0</v>
      </c>
      <c r="FK62" s="72">
        <v>0</v>
      </c>
      <c r="FL62" s="9">
        <v>0</v>
      </c>
      <c r="FM62" s="78">
        <v>0</v>
      </c>
      <c r="FN62" s="72">
        <v>0</v>
      </c>
      <c r="FO62" s="72">
        <v>1</v>
      </c>
      <c r="FP62" s="9">
        <v>0</v>
      </c>
      <c r="FQ62" s="78">
        <v>0</v>
      </c>
      <c r="FR62" s="72">
        <v>1</v>
      </c>
      <c r="FS62" s="72">
        <v>0</v>
      </c>
      <c r="FT62" s="9">
        <v>0</v>
      </c>
      <c r="FU62" s="78">
        <v>0</v>
      </c>
      <c r="FV62" s="72">
        <v>2</v>
      </c>
      <c r="FW62" s="72">
        <v>0</v>
      </c>
      <c r="FX62" s="9">
        <v>0</v>
      </c>
      <c r="FY62" s="78">
        <v>0</v>
      </c>
      <c r="FZ62" s="72">
        <v>2</v>
      </c>
      <c r="GA62" s="72">
        <v>0</v>
      </c>
      <c r="GB62" s="9">
        <v>0</v>
      </c>
      <c r="GC62" s="78">
        <v>0</v>
      </c>
      <c r="GD62" s="72">
        <v>5</v>
      </c>
      <c r="GE62" s="72">
        <v>2</v>
      </c>
      <c r="GF62" s="9">
        <v>0</v>
      </c>
      <c r="GG62" s="78">
        <v>0</v>
      </c>
      <c r="GH62" s="72">
        <v>1</v>
      </c>
      <c r="GI62" s="72">
        <v>0</v>
      </c>
      <c r="GJ62" s="9">
        <v>2</v>
      </c>
      <c r="GK62" s="78">
        <v>0</v>
      </c>
      <c r="GL62" s="72">
        <v>0</v>
      </c>
      <c r="GM62" s="72">
        <v>0</v>
      </c>
      <c r="GN62" s="9">
        <v>0</v>
      </c>
      <c r="GO62" s="78">
        <v>0</v>
      </c>
      <c r="GP62" s="72">
        <v>0</v>
      </c>
      <c r="GQ62" s="72">
        <v>0</v>
      </c>
      <c r="GR62" s="9">
        <v>0</v>
      </c>
      <c r="GS62" s="78">
        <v>0</v>
      </c>
      <c r="GT62" s="72">
        <v>0</v>
      </c>
      <c r="GU62" s="72">
        <v>0</v>
      </c>
      <c r="GV62" s="9">
        <v>0</v>
      </c>
      <c r="GW62" s="76"/>
      <c r="GX62" s="41">
        <v>2018</v>
      </c>
      <c r="GY62" s="84">
        <v>1</v>
      </c>
      <c r="GZ62" s="79">
        <v>0</v>
      </c>
      <c r="HA62" s="72">
        <v>0</v>
      </c>
      <c r="HB62" s="72">
        <v>2</v>
      </c>
      <c r="HC62" s="48">
        <f>CL27-FR62</f>
        <v>5</v>
      </c>
      <c r="HD62" s="48">
        <f>CM27-FV62</f>
        <v>1</v>
      </c>
      <c r="HE62" s="48">
        <f>CN27-FZ62</f>
        <v>2</v>
      </c>
      <c r="HF62" s="48">
        <f>CO27-GD62</f>
        <v>4</v>
      </c>
      <c r="HG62" s="48">
        <f>CP27-GH62</f>
        <v>2</v>
      </c>
      <c r="HH62" s="48">
        <f>CQ27-GL62</f>
        <v>0</v>
      </c>
      <c r="HI62" s="48">
        <f>CR27-GP62</f>
        <v>0</v>
      </c>
      <c r="HJ62" s="9">
        <f>CS27-GT62</f>
        <v>0</v>
      </c>
      <c r="HK62" s="77">
        <f>SUM(GY62:HJ62)</f>
        <v>17</v>
      </c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</row>
    <row r="63" spans="1:232">
      <c r="A63" s="10" t="s">
        <v>171</v>
      </c>
      <c r="B63" s="11">
        <f>AVERAGE(E63:AE63)</f>
        <v>0.51851851851851849</v>
      </c>
      <c r="C63" s="2">
        <f>MIN(E63:AE63)</f>
        <v>0</v>
      </c>
      <c r="D63" s="12">
        <f>MAX(E63:AE63)</f>
        <v>2</v>
      </c>
      <c r="E63" s="13">
        <v>0</v>
      </c>
      <c r="F63" s="13">
        <v>0</v>
      </c>
      <c r="G63" s="13">
        <v>0</v>
      </c>
      <c r="H63" s="13">
        <v>2</v>
      </c>
      <c r="I63" s="13">
        <v>0</v>
      </c>
      <c r="J63" s="13">
        <v>0</v>
      </c>
      <c r="K63" s="13">
        <v>0</v>
      </c>
      <c r="L63" s="13">
        <v>0</v>
      </c>
      <c r="M63" s="13">
        <v>2</v>
      </c>
      <c r="N63" s="13">
        <v>0</v>
      </c>
      <c r="O63" s="13">
        <v>0</v>
      </c>
      <c r="P63" s="13">
        <v>0</v>
      </c>
      <c r="Q63" s="13">
        <v>0</v>
      </c>
      <c r="R63" s="13">
        <v>2</v>
      </c>
      <c r="S63" s="13">
        <v>0</v>
      </c>
      <c r="T63" s="13">
        <v>0</v>
      </c>
      <c r="U63" s="13">
        <v>0</v>
      </c>
      <c r="V63" s="13">
        <v>0</v>
      </c>
      <c r="W63" s="13">
        <v>1</v>
      </c>
      <c r="X63" s="13">
        <v>2</v>
      </c>
      <c r="Y63" s="13">
        <v>1</v>
      </c>
      <c r="Z63" s="13">
        <v>2</v>
      </c>
      <c r="AA63" s="13">
        <v>0</v>
      </c>
      <c r="AB63" s="13">
        <v>1</v>
      </c>
      <c r="AC63" s="13">
        <v>1</v>
      </c>
      <c r="AD63" s="13">
        <v>0</v>
      </c>
      <c r="AE63" s="13">
        <v>0</v>
      </c>
      <c r="AF63" s="13">
        <v>0</v>
      </c>
      <c r="AG63" s="13"/>
      <c r="AH63" s="13"/>
      <c r="CB63" s="3"/>
      <c r="CU63" s="3"/>
      <c r="CV63" s="3"/>
      <c r="CW63" s="3"/>
      <c r="CX63" s="3"/>
      <c r="CY63" s="3"/>
      <c r="CZ63" s="3"/>
      <c r="DA63" s="3"/>
      <c r="DK63" s="31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72"/>
      <c r="EY63" s="72"/>
      <c r="EZ63" s="23">
        <v>2019</v>
      </c>
      <c r="FA63" s="78">
        <v>2</v>
      </c>
      <c r="FB63" s="72">
        <v>1</v>
      </c>
      <c r="FC63" s="72">
        <v>0</v>
      </c>
      <c r="FD63" s="9">
        <v>0</v>
      </c>
      <c r="FE63" s="78">
        <v>0</v>
      </c>
      <c r="FF63" s="72">
        <v>0</v>
      </c>
      <c r="FG63" s="72">
        <v>0</v>
      </c>
      <c r="FH63" s="9">
        <v>0</v>
      </c>
      <c r="FI63" s="78">
        <v>1</v>
      </c>
      <c r="FJ63" s="72">
        <v>1</v>
      </c>
      <c r="FK63" s="72">
        <v>0</v>
      </c>
      <c r="FL63" s="9">
        <v>0</v>
      </c>
      <c r="FM63" s="78">
        <v>0</v>
      </c>
      <c r="FN63" s="72">
        <v>0</v>
      </c>
      <c r="FO63" s="72">
        <v>0</v>
      </c>
      <c r="FP63" s="9">
        <v>0</v>
      </c>
      <c r="FQ63" s="78">
        <v>0</v>
      </c>
      <c r="FR63" s="72">
        <v>0</v>
      </c>
      <c r="FS63" s="72">
        <v>0</v>
      </c>
      <c r="FT63" s="9">
        <v>0</v>
      </c>
      <c r="FU63" s="78">
        <v>0</v>
      </c>
      <c r="FV63" s="72">
        <v>3</v>
      </c>
      <c r="FW63" s="72">
        <v>0</v>
      </c>
      <c r="FX63" s="9">
        <v>1</v>
      </c>
      <c r="FY63" s="78">
        <v>0</v>
      </c>
      <c r="FZ63" s="72">
        <v>3</v>
      </c>
      <c r="GA63" s="72">
        <v>1</v>
      </c>
      <c r="GB63" s="9">
        <v>0</v>
      </c>
      <c r="GC63" s="78">
        <v>0</v>
      </c>
      <c r="GD63" s="72">
        <v>2</v>
      </c>
      <c r="GE63" s="72">
        <v>0</v>
      </c>
      <c r="GF63" s="9">
        <v>0</v>
      </c>
      <c r="GG63" s="78">
        <v>0</v>
      </c>
      <c r="GH63" s="72">
        <v>0</v>
      </c>
      <c r="GI63" s="72">
        <v>0</v>
      </c>
      <c r="GJ63" s="9">
        <v>0</v>
      </c>
      <c r="GK63" s="78">
        <v>0</v>
      </c>
      <c r="GL63" s="72">
        <v>0</v>
      </c>
      <c r="GM63" s="72">
        <v>0</v>
      </c>
      <c r="GN63" s="9">
        <v>0</v>
      </c>
      <c r="GO63" s="78">
        <v>0</v>
      </c>
      <c r="GP63" s="72">
        <v>0</v>
      </c>
      <c r="GQ63" s="72">
        <v>0</v>
      </c>
      <c r="GR63" s="9">
        <v>0</v>
      </c>
      <c r="GS63" s="78">
        <v>0</v>
      </c>
      <c r="GT63" s="72">
        <v>0</v>
      </c>
      <c r="GU63" s="72">
        <v>0</v>
      </c>
      <c r="GV63" s="9">
        <v>0</v>
      </c>
      <c r="GW63" s="76"/>
      <c r="GX63" s="41">
        <v>2019</v>
      </c>
      <c r="GY63" s="84">
        <v>0</v>
      </c>
      <c r="GZ63" s="79">
        <v>0</v>
      </c>
      <c r="HA63" s="72">
        <v>0</v>
      </c>
      <c r="HB63" s="72">
        <v>1</v>
      </c>
      <c r="HC63" s="48">
        <f>CL28-FR63</f>
        <v>1</v>
      </c>
      <c r="HD63" s="48">
        <f>CM28-FV63</f>
        <v>2</v>
      </c>
      <c r="HE63" s="48">
        <f>CN28-FZ63</f>
        <v>3</v>
      </c>
      <c r="HF63" s="48">
        <f>CO28-GD63</f>
        <v>7</v>
      </c>
      <c r="HG63" s="48">
        <f>CP28-GH63</f>
        <v>1</v>
      </c>
      <c r="HH63" s="48">
        <f>CQ28-GL63</f>
        <v>0</v>
      </c>
      <c r="HI63" s="48">
        <f>CR28-GP63</f>
        <v>0</v>
      </c>
      <c r="HJ63" s="9">
        <f>CS28-GT63</f>
        <v>0</v>
      </c>
      <c r="HK63" s="77">
        <f>SUM(GY63:HJ63)</f>
        <v>15</v>
      </c>
      <c r="HL63" s="3"/>
      <c r="HM63" s="3"/>
      <c r="HN63" s="3"/>
      <c r="HO63" s="3"/>
      <c r="HP63" s="3"/>
      <c r="HQ63" s="3"/>
      <c r="HR63" s="3"/>
      <c r="HS63" s="3"/>
      <c r="HT63" s="3"/>
      <c r="HU63" s="3"/>
      <c r="HV63" s="3"/>
      <c r="HW63" s="3"/>
      <c r="HX63" s="3"/>
    </row>
    <row r="64" spans="1:232">
      <c r="A64" s="10" t="s">
        <v>172</v>
      </c>
      <c r="B64" s="11">
        <f>AVERAGE(E64:AE64)</f>
        <v>0.51851851851851849</v>
      </c>
      <c r="C64" s="2">
        <f>MIN(E64:AE64)</f>
        <v>0</v>
      </c>
      <c r="D64" s="12">
        <f>MAX(E64:AE64)</f>
        <v>2</v>
      </c>
      <c r="E64" s="13">
        <v>0</v>
      </c>
      <c r="F64" s="13">
        <v>0</v>
      </c>
      <c r="G64" s="13">
        <v>0</v>
      </c>
      <c r="H64" s="13">
        <v>2</v>
      </c>
      <c r="I64" s="13">
        <v>0</v>
      </c>
      <c r="J64" s="13">
        <v>0</v>
      </c>
      <c r="K64" s="13">
        <v>0</v>
      </c>
      <c r="L64" s="13">
        <v>0</v>
      </c>
      <c r="M64" s="13">
        <v>2</v>
      </c>
      <c r="N64" s="13">
        <v>0</v>
      </c>
      <c r="O64" s="13">
        <v>0</v>
      </c>
      <c r="P64" s="13">
        <v>0</v>
      </c>
      <c r="Q64" s="13">
        <v>0</v>
      </c>
      <c r="R64" s="13">
        <v>2</v>
      </c>
      <c r="S64" s="13">
        <v>0</v>
      </c>
      <c r="T64" s="13">
        <v>0</v>
      </c>
      <c r="U64" s="13">
        <v>0</v>
      </c>
      <c r="V64" s="13">
        <v>0</v>
      </c>
      <c r="W64" s="13">
        <v>1</v>
      </c>
      <c r="X64" s="13">
        <v>2</v>
      </c>
      <c r="Y64" s="13">
        <v>1</v>
      </c>
      <c r="Z64" s="13">
        <v>2</v>
      </c>
      <c r="AA64" s="13">
        <v>0</v>
      </c>
      <c r="AB64" s="13">
        <v>1</v>
      </c>
      <c r="AC64" s="13">
        <v>1</v>
      </c>
      <c r="AD64" s="13">
        <v>0</v>
      </c>
      <c r="AE64" s="13">
        <v>0</v>
      </c>
      <c r="AF64" s="13">
        <v>0</v>
      </c>
      <c r="AG64" s="13"/>
      <c r="AH64" s="13"/>
      <c r="CB64" s="3"/>
      <c r="CU64" s="3"/>
      <c r="CV64" s="3"/>
      <c r="CW64" s="3"/>
      <c r="CX64" s="3"/>
      <c r="CY64" s="3"/>
      <c r="CZ64" s="3"/>
      <c r="DA64" s="3"/>
      <c r="DK64" s="31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72"/>
      <c r="EY64" s="72"/>
      <c r="EZ64" s="23">
        <v>2020</v>
      </c>
      <c r="FA64" s="78">
        <v>0</v>
      </c>
      <c r="FB64" s="72">
        <v>0</v>
      </c>
      <c r="FC64" s="72">
        <v>0</v>
      </c>
      <c r="FD64" s="9">
        <v>0</v>
      </c>
      <c r="FE64" s="78">
        <v>2</v>
      </c>
      <c r="FF64" s="72">
        <v>2</v>
      </c>
      <c r="FG64" s="72">
        <v>0</v>
      </c>
      <c r="FH64" s="9">
        <v>0</v>
      </c>
      <c r="FI64" s="78">
        <v>1</v>
      </c>
      <c r="FJ64" s="72">
        <v>0</v>
      </c>
      <c r="FK64" s="72">
        <v>0</v>
      </c>
      <c r="FL64" s="9">
        <v>0</v>
      </c>
      <c r="FM64" s="78">
        <v>0</v>
      </c>
      <c r="FN64" s="72">
        <v>0</v>
      </c>
      <c r="FO64" s="72">
        <v>0</v>
      </c>
      <c r="FP64" s="9">
        <v>0</v>
      </c>
      <c r="FQ64" s="78">
        <v>0</v>
      </c>
      <c r="FR64" s="72">
        <v>0</v>
      </c>
      <c r="FS64" s="72">
        <v>0</v>
      </c>
      <c r="FT64" s="9">
        <v>0</v>
      </c>
      <c r="FU64" s="78">
        <v>0</v>
      </c>
      <c r="FV64" s="72">
        <v>3</v>
      </c>
      <c r="FW64" s="72">
        <v>0</v>
      </c>
      <c r="FX64" s="9">
        <v>0</v>
      </c>
      <c r="FY64" s="78">
        <v>0</v>
      </c>
      <c r="FZ64" s="72">
        <v>2</v>
      </c>
      <c r="GA64" s="72">
        <v>0</v>
      </c>
      <c r="GB64" s="9">
        <v>0</v>
      </c>
      <c r="GC64" s="78">
        <v>0</v>
      </c>
      <c r="GD64" s="72">
        <v>2</v>
      </c>
      <c r="GE64" s="72">
        <v>1</v>
      </c>
      <c r="GF64" s="9">
        <v>0</v>
      </c>
      <c r="GG64" s="78">
        <v>0</v>
      </c>
      <c r="GH64" s="72">
        <v>1</v>
      </c>
      <c r="GI64" s="72">
        <v>0</v>
      </c>
      <c r="GJ64" s="9">
        <v>0</v>
      </c>
      <c r="GK64" s="78">
        <v>0</v>
      </c>
      <c r="GL64" s="72">
        <v>0</v>
      </c>
      <c r="GM64" s="72">
        <v>0</v>
      </c>
      <c r="GN64" s="9">
        <v>0</v>
      </c>
      <c r="GO64" s="78">
        <v>0</v>
      </c>
      <c r="GP64" s="72">
        <v>0</v>
      </c>
      <c r="GQ64" s="72">
        <v>0</v>
      </c>
      <c r="GR64" s="9">
        <v>0</v>
      </c>
      <c r="GS64" s="78">
        <v>0</v>
      </c>
      <c r="GT64" s="72">
        <v>0</v>
      </c>
      <c r="GU64" s="72">
        <v>0</v>
      </c>
      <c r="GV64" s="9">
        <v>0</v>
      </c>
      <c r="GW64" s="76"/>
      <c r="GX64" s="41">
        <v>2020</v>
      </c>
      <c r="GY64" s="84">
        <v>0</v>
      </c>
      <c r="GZ64" s="79">
        <v>0</v>
      </c>
      <c r="HA64" s="72">
        <v>0</v>
      </c>
      <c r="HB64" s="72">
        <v>0</v>
      </c>
      <c r="HC64" s="48">
        <f>CL29-FR64</f>
        <v>0</v>
      </c>
      <c r="HD64" s="48">
        <f>CM29-FV64</f>
        <v>5</v>
      </c>
      <c r="HE64" s="48">
        <f>CN29-FZ64</f>
        <v>2</v>
      </c>
      <c r="HF64" s="48">
        <f>CO29-GD64</f>
        <v>4</v>
      </c>
      <c r="HG64" s="48">
        <f>CP29-GH64</f>
        <v>1</v>
      </c>
      <c r="HH64" s="48">
        <f>CQ29-GL64</f>
        <v>0</v>
      </c>
      <c r="HI64" s="48">
        <f>CR29-GP64</f>
        <v>0</v>
      </c>
      <c r="HJ64" s="9">
        <f>CS29-GT64</f>
        <v>0</v>
      </c>
      <c r="HK64" s="77">
        <f>SUM(GY64:HJ64)</f>
        <v>12</v>
      </c>
      <c r="HL64" s="3"/>
      <c r="HM64" s="3"/>
      <c r="HN64" s="3"/>
      <c r="HO64" s="3"/>
      <c r="HP64" s="3"/>
      <c r="HQ64" s="3"/>
      <c r="HR64" s="3"/>
      <c r="HS64" s="3"/>
      <c r="HT64" s="3"/>
      <c r="HU64" s="3"/>
      <c r="HV64" s="3"/>
      <c r="HW64" s="3"/>
      <c r="HX64" s="3"/>
    </row>
    <row r="65" spans="1:232">
      <c r="A65" s="10" t="s">
        <v>173</v>
      </c>
      <c r="B65" s="11">
        <f>AVERAGE(E65:AE65)</f>
        <v>0.55555555555555558</v>
      </c>
      <c r="C65" s="2">
        <f>MIN(E65:AE65)</f>
        <v>0</v>
      </c>
      <c r="D65" s="12">
        <f>MAX(E65:AE65)</f>
        <v>2</v>
      </c>
      <c r="E65" s="13">
        <v>0</v>
      </c>
      <c r="F65" s="13">
        <v>0</v>
      </c>
      <c r="G65" s="13">
        <v>0</v>
      </c>
      <c r="H65" s="13">
        <v>2</v>
      </c>
      <c r="I65" s="13">
        <v>0</v>
      </c>
      <c r="J65" s="13">
        <v>0</v>
      </c>
      <c r="K65" s="13">
        <v>0</v>
      </c>
      <c r="L65" s="13">
        <v>0</v>
      </c>
      <c r="M65" s="13">
        <v>2</v>
      </c>
      <c r="N65" s="47">
        <v>1</v>
      </c>
      <c r="O65" s="13">
        <v>0</v>
      </c>
      <c r="P65" s="13">
        <v>0</v>
      </c>
      <c r="Q65" s="13">
        <v>0</v>
      </c>
      <c r="R65" s="13">
        <v>2</v>
      </c>
      <c r="S65" s="13">
        <v>0</v>
      </c>
      <c r="T65" s="13">
        <v>0</v>
      </c>
      <c r="U65" s="13">
        <v>0</v>
      </c>
      <c r="V65" s="13">
        <v>0</v>
      </c>
      <c r="W65" s="13">
        <v>1</v>
      </c>
      <c r="X65" s="13">
        <v>2</v>
      </c>
      <c r="Y65" s="13">
        <v>1</v>
      </c>
      <c r="Z65" s="13">
        <v>2</v>
      </c>
      <c r="AA65" s="13">
        <v>0</v>
      </c>
      <c r="AB65" s="13">
        <v>1</v>
      </c>
      <c r="AC65" s="13">
        <v>1</v>
      </c>
      <c r="AD65" s="13">
        <v>0</v>
      </c>
      <c r="AE65" s="13">
        <v>0</v>
      </c>
      <c r="AF65" s="13">
        <v>0</v>
      </c>
      <c r="AG65" s="13"/>
      <c r="AH65" s="13"/>
      <c r="CB65" s="3"/>
      <c r="CU65" s="3"/>
      <c r="CV65" s="3"/>
      <c r="CW65" s="3"/>
      <c r="CX65" s="3"/>
      <c r="CY65" s="3"/>
      <c r="CZ65" s="3"/>
      <c r="DA65" s="3"/>
      <c r="DK65" s="31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72"/>
      <c r="EY65" s="72"/>
      <c r="EZ65" s="23">
        <v>2021</v>
      </c>
      <c r="FA65" s="78">
        <v>1</v>
      </c>
      <c r="FB65" s="72">
        <v>0</v>
      </c>
      <c r="FC65" s="72">
        <v>0</v>
      </c>
      <c r="FD65" s="9">
        <v>0</v>
      </c>
      <c r="FE65" s="78">
        <v>0</v>
      </c>
      <c r="FF65" s="72">
        <v>0</v>
      </c>
      <c r="FG65" s="72">
        <v>0</v>
      </c>
      <c r="FH65" s="9">
        <v>0</v>
      </c>
      <c r="FI65" s="78">
        <v>1</v>
      </c>
      <c r="FJ65" s="72">
        <v>0</v>
      </c>
      <c r="FK65" s="72">
        <v>0</v>
      </c>
      <c r="FL65" s="9">
        <v>0</v>
      </c>
      <c r="FM65" s="78">
        <v>0</v>
      </c>
      <c r="FN65" s="72">
        <v>0</v>
      </c>
      <c r="FO65" s="72">
        <v>0</v>
      </c>
      <c r="FP65" s="9">
        <v>0</v>
      </c>
      <c r="FQ65" s="78">
        <v>0</v>
      </c>
      <c r="FR65" s="72">
        <v>2</v>
      </c>
      <c r="FS65" s="72">
        <v>0</v>
      </c>
      <c r="FT65" s="9">
        <v>0</v>
      </c>
      <c r="FU65" s="78">
        <v>0</v>
      </c>
      <c r="FV65" s="72">
        <v>1</v>
      </c>
      <c r="FW65" s="72">
        <v>0</v>
      </c>
      <c r="FX65" s="9">
        <v>1</v>
      </c>
      <c r="FY65" s="78">
        <v>0</v>
      </c>
      <c r="FZ65" s="72">
        <v>0</v>
      </c>
      <c r="GA65" s="72">
        <v>0</v>
      </c>
      <c r="GB65" s="9">
        <v>1</v>
      </c>
      <c r="GC65" s="78">
        <v>0</v>
      </c>
      <c r="GD65" s="72">
        <v>4</v>
      </c>
      <c r="GE65" s="72">
        <v>0</v>
      </c>
      <c r="GF65" s="9">
        <v>0</v>
      </c>
      <c r="GG65" s="78">
        <v>0</v>
      </c>
      <c r="GH65" s="72">
        <v>2</v>
      </c>
      <c r="GI65" s="72">
        <v>0</v>
      </c>
      <c r="GJ65" s="9">
        <v>0</v>
      </c>
      <c r="GK65" s="78">
        <v>0</v>
      </c>
      <c r="GL65" s="72">
        <v>0</v>
      </c>
      <c r="GM65" s="72">
        <v>0</v>
      </c>
      <c r="GN65" s="9">
        <v>0</v>
      </c>
      <c r="GO65" s="78">
        <v>0</v>
      </c>
      <c r="GP65" s="72">
        <v>0</v>
      </c>
      <c r="GQ65" s="72">
        <v>0</v>
      </c>
      <c r="GR65" s="9">
        <v>0</v>
      </c>
      <c r="GS65" s="78">
        <v>0</v>
      </c>
      <c r="GT65" s="72">
        <v>0</v>
      </c>
      <c r="GU65" s="72">
        <v>0</v>
      </c>
      <c r="GV65" s="9">
        <v>0</v>
      </c>
      <c r="GW65" s="76"/>
      <c r="GX65" s="41">
        <v>2021</v>
      </c>
      <c r="GY65" s="84">
        <v>0</v>
      </c>
      <c r="GZ65" s="79">
        <v>0</v>
      </c>
      <c r="HA65" s="72">
        <v>0</v>
      </c>
      <c r="HB65" s="72">
        <v>0</v>
      </c>
      <c r="HC65" s="48">
        <f>CL30-FR65</f>
        <v>3</v>
      </c>
      <c r="HD65" s="48">
        <f>CM30-FV65</f>
        <v>7</v>
      </c>
      <c r="HE65" s="48">
        <f>CN30-FZ65</f>
        <v>7</v>
      </c>
      <c r="HF65" s="48">
        <f>CO30-GD65</f>
        <v>2</v>
      </c>
      <c r="HG65" s="48">
        <f>CP30-GH65</f>
        <v>0</v>
      </c>
      <c r="HH65" s="48">
        <f>CQ30-GL65</f>
        <v>0</v>
      </c>
      <c r="HI65" s="48">
        <f>CR30-GP65</f>
        <v>0</v>
      </c>
      <c r="HJ65" s="9">
        <f>CS30-GT65</f>
        <v>0</v>
      </c>
      <c r="HK65" s="77">
        <f>SUM(GY65:HJ65)</f>
        <v>19</v>
      </c>
      <c r="HL65" s="3"/>
      <c r="HM65" s="3"/>
      <c r="HN65" s="3"/>
      <c r="HO65" s="3"/>
      <c r="HP65" s="3"/>
      <c r="HQ65" s="3"/>
      <c r="HR65" s="3"/>
      <c r="HS65" s="3"/>
      <c r="HT65" s="3"/>
      <c r="HU65" s="3"/>
      <c r="HV65" s="3"/>
      <c r="HW65" s="3"/>
      <c r="HX65" s="3"/>
    </row>
    <row r="66" spans="1:232">
      <c r="A66" s="10" t="s">
        <v>174</v>
      </c>
      <c r="B66" s="11">
        <f>AVERAGE(E66:AE66)</f>
        <v>0.55555555555555558</v>
      </c>
      <c r="C66" s="2">
        <f>MIN(E66:AE66)</f>
        <v>0</v>
      </c>
      <c r="D66" s="12">
        <f>MAX(E66:AE66)</f>
        <v>2</v>
      </c>
      <c r="E66" s="13">
        <v>0</v>
      </c>
      <c r="F66" s="13">
        <v>0</v>
      </c>
      <c r="G66" s="13">
        <v>0</v>
      </c>
      <c r="H66" s="13">
        <v>2</v>
      </c>
      <c r="I66" s="13">
        <v>0</v>
      </c>
      <c r="J66" s="13">
        <v>0</v>
      </c>
      <c r="K66" s="13">
        <v>0</v>
      </c>
      <c r="L66" s="13">
        <v>0</v>
      </c>
      <c r="M66" s="13">
        <v>2</v>
      </c>
      <c r="N66" s="13">
        <v>1</v>
      </c>
      <c r="O66" s="13">
        <v>0</v>
      </c>
      <c r="P66" s="13">
        <v>0</v>
      </c>
      <c r="Q66" s="13">
        <v>0</v>
      </c>
      <c r="R66" s="13">
        <v>2</v>
      </c>
      <c r="S66" s="13">
        <v>0</v>
      </c>
      <c r="T66" s="13">
        <v>0</v>
      </c>
      <c r="U66" s="13">
        <v>0</v>
      </c>
      <c r="V66" s="13">
        <v>0</v>
      </c>
      <c r="W66" s="13">
        <v>1</v>
      </c>
      <c r="X66" s="13">
        <v>2</v>
      </c>
      <c r="Y66" s="13">
        <v>1</v>
      </c>
      <c r="Z66" s="13">
        <v>2</v>
      </c>
      <c r="AA66" s="13">
        <v>0</v>
      </c>
      <c r="AB66" s="13">
        <v>1</v>
      </c>
      <c r="AC66" s="13">
        <v>1</v>
      </c>
      <c r="AD66" s="13">
        <v>0</v>
      </c>
      <c r="AE66" s="13">
        <v>0</v>
      </c>
      <c r="AF66" s="13">
        <v>0</v>
      </c>
      <c r="AG66" s="13"/>
      <c r="AH66" s="13"/>
      <c r="CB66" s="3"/>
      <c r="CU66" s="3"/>
      <c r="CV66" s="3"/>
      <c r="CW66" s="3"/>
      <c r="CX66" s="3"/>
      <c r="CY66" s="3"/>
      <c r="CZ66" s="3"/>
      <c r="DA66" s="3"/>
      <c r="DK66" s="31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72"/>
      <c r="EY66" s="72"/>
      <c r="EZ66" s="23">
        <v>2022</v>
      </c>
      <c r="FA66" s="78">
        <v>2</v>
      </c>
      <c r="FB66" s="72">
        <v>0</v>
      </c>
      <c r="FC66" s="72">
        <v>0</v>
      </c>
      <c r="FD66" s="9">
        <v>0</v>
      </c>
      <c r="FE66" s="78">
        <v>1</v>
      </c>
      <c r="FF66" s="72">
        <v>1</v>
      </c>
      <c r="FG66" s="72">
        <v>0</v>
      </c>
      <c r="FH66" s="9">
        <v>0</v>
      </c>
      <c r="FI66" s="78">
        <v>0</v>
      </c>
      <c r="FJ66" s="72">
        <v>0</v>
      </c>
      <c r="FK66" s="72">
        <v>0</v>
      </c>
      <c r="FL66" s="9">
        <v>0</v>
      </c>
      <c r="FM66" s="78">
        <v>1</v>
      </c>
      <c r="FN66" s="72">
        <v>1</v>
      </c>
      <c r="FO66" s="72">
        <v>0</v>
      </c>
      <c r="FP66" s="9">
        <v>0</v>
      </c>
      <c r="FQ66" s="78">
        <v>0</v>
      </c>
      <c r="FR66" s="72">
        <v>1</v>
      </c>
      <c r="FS66" s="72">
        <v>0</v>
      </c>
      <c r="FT66" s="9">
        <v>1</v>
      </c>
      <c r="FU66" s="78">
        <v>0</v>
      </c>
      <c r="FV66" s="72">
        <v>0</v>
      </c>
      <c r="FW66" s="72">
        <v>1</v>
      </c>
      <c r="FX66" s="9">
        <v>1</v>
      </c>
      <c r="FY66" s="78">
        <v>0</v>
      </c>
      <c r="FZ66" s="72">
        <v>1</v>
      </c>
      <c r="GA66" s="72">
        <v>0</v>
      </c>
      <c r="GB66" s="9">
        <v>0</v>
      </c>
      <c r="GC66" s="78">
        <v>0</v>
      </c>
      <c r="GD66" s="72">
        <v>3</v>
      </c>
      <c r="GE66" s="72">
        <v>1</v>
      </c>
      <c r="GF66" s="9">
        <v>0</v>
      </c>
      <c r="GG66" s="78">
        <v>0</v>
      </c>
      <c r="GH66" s="72">
        <v>2</v>
      </c>
      <c r="GI66" s="72">
        <v>0</v>
      </c>
      <c r="GJ66" s="9">
        <v>0</v>
      </c>
      <c r="GK66" s="78">
        <v>0</v>
      </c>
      <c r="GL66" s="72">
        <v>1</v>
      </c>
      <c r="GM66" s="72">
        <v>0</v>
      </c>
      <c r="GN66" s="9">
        <v>0</v>
      </c>
      <c r="GO66" s="78">
        <v>0</v>
      </c>
      <c r="GP66" s="72">
        <v>0</v>
      </c>
      <c r="GQ66" s="72">
        <v>0</v>
      </c>
      <c r="GR66" s="9">
        <v>0</v>
      </c>
      <c r="GS66" s="78">
        <v>0</v>
      </c>
      <c r="GT66" s="72">
        <v>0</v>
      </c>
      <c r="GU66" s="72">
        <v>0</v>
      </c>
      <c r="GV66" s="9">
        <v>0</v>
      </c>
      <c r="GW66" s="76"/>
      <c r="GX66" s="41">
        <v>2022</v>
      </c>
      <c r="GY66" s="84">
        <v>0</v>
      </c>
      <c r="GZ66" s="79">
        <v>0</v>
      </c>
      <c r="HA66" s="72">
        <v>0</v>
      </c>
      <c r="HB66" s="72">
        <v>0</v>
      </c>
      <c r="HC66" s="48">
        <f>CL31-FR66</f>
        <v>3</v>
      </c>
      <c r="HD66" s="48">
        <f>CM31-FV66</f>
        <v>5</v>
      </c>
      <c r="HE66" s="48">
        <f>CN31-FZ66</f>
        <v>3</v>
      </c>
      <c r="HF66" s="48">
        <f>CO31-GD66</f>
        <v>2</v>
      </c>
      <c r="HG66" s="48">
        <f>CP31-GH66</f>
        <v>3</v>
      </c>
      <c r="HH66" s="48">
        <f>CQ31-GL66</f>
        <v>0</v>
      </c>
      <c r="HI66" s="48">
        <f>CR31-GP66</f>
        <v>0</v>
      </c>
      <c r="HJ66" s="9">
        <f>CS31-GT66</f>
        <v>0</v>
      </c>
      <c r="HK66" s="77">
        <f>SUM(GY66:HJ66)</f>
        <v>16</v>
      </c>
      <c r="HL66" s="3"/>
      <c r="HM66" s="3"/>
      <c r="HN66" s="3"/>
      <c r="HO66" s="3"/>
      <c r="HP66" s="3"/>
      <c r="HQ66" s="3"/>
      <c r="HR66" s="3"/>
      <c r="HS66" s="3"/>
      <c r="HT66" s="3"/>
      <c r="HU66" s="3"/>
      <c r="HV66" s="3"/>
      <c r="HW66" s="3"/>
      <c r="HX66" s="3"/>
    </row>
    <row r="67" spans="1:232">
      <c r="A67" s="10" t="s">
        <v>175</v>
      </c>
      <c r="B67" s="11">
        <f>AVERAGE(E67:AE67)</f>
        <v>0.55555555555555558</v>
      </c>
      <c r="C67" s="2">
        <f>MIN(E67:AE67)</f>
        <v>0</v>
      </c>
      <c r="D67" s="12">
        <f>MAX(E67:AE67)</f>
        <v>2</v>
      </c>
      <c r="E67" s="13">
        <v>0</v>
      </c>
      <c r="F67" s="13">
        <v>0</v>
      </c>
      <c r="G67" s="13">
        <v>0</v>
      </c>
      <c r="H67" s="13">
        <v>2</v>
      </c>
      <c r="I67" s="13">
        <v>0</v>
      </c>
      <c r="J67" s="13">
        <v>0</v>
      </c>
      <c r="K67" s="13">
        <v>0</v>
      </c>
      <c r="L67" s="13">
        <v>0</v>
      </c>
      <c r="M67" s="13">
        <v>2</v>
      </c>
      <c r="N67" s="13">
        <v>1</v>
      </c>
      <c r="O67" s="13">
        <v>0</v>
      </c>
      <c r="P67" s="13">
        <v>0</v>
      </c>
      <c r="Q67" s="13">
        <v>0</v>
      </c>
      <c r="R67" s="13">
        <v>2</v>
      </c>
      <c r="S67" s="13">
        <v>0</v>
      </c>
      <c r="T67" s="13">
        <v>0</v>
      </c>
      <c r="U67" s="13">
        <v>0</v>
      </c>
      <c r="V67" s="13">
        <v>0</v>
      </c>
      <c r="W67" s="13">
        <v>1</v>
      </c>
      <c r="X67" s="13">
        <v>2</v>
      </c>
      <c r="Y67" s="13">
        <v>1</v>
      </c>
      <c r="Z67" s="13">
        <v>2</v>
      </c>
      <c r="AA67" s="13">
        <v>0</v>
      </c>
      <c r="AB67" s="13">
        <v>1</v>
      </c>
      <c r="AC67" s="13">
        <v>1</v>
      </c>
      <c r="AD67" s="13">
        <v>0</v>
      </c>
      <c r="AE67" s="13">
        <v>0</v>
      </c>
      <c r="AF67" s="13">
        <v>0</v>
      </c>
      <c r="AG67" s="13"/>
      <c r="AH67" s="13"/>
      <c r="CB67" s="3"/>
      <c r="CU67" s="3"/>
      <c r="CV67" s="3"/>
      <c r="CW67" s="3"/>
      <c r="CX67" s="3"/>
      <c r="CY67" s="3"/>
      <c r="CZ67" s="3"/>
      <c r="DA67" s="3"/>
      <c r="DK67" s="31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72"/>
      <c r="EY67" s="72"/>
      <c r="EZ67" s="23">
        <v>2023</v>
      </c>
      <c r="FA67" s="78">
        <v>0</v>
      </c>
      <c r="FB67" s="72">
        <v>0</v>
      </c>
      <c r="FC67" s="72">
        <v>0</v>
      </c>
      <c r="FD67" s="9">
        <v>0</v>
      </c>
      <c r="FE67" s="78">
        <v>1</v>
      </c>
      <c r="FF67" s="72">
        <v>1</v>
      </c>
      <c r="FG67" s="72">
        <v>0</v>
      </c>
      <c r="FH67" s="9">
        <v>0</v>
      </c>
      <c r="FI67" s="78">
        <v>1</v>
      </c>
      <c r="FJ67" s="72">
        <v>0</v>
      </c>
      <c r="FK67" s="72">
        <v>0</v>
      </c>
      <c r="FL67" s="9">
        <v>0</v>
      </c>
      <c r="FM67" s="78">
        <v>0</v>
      </c>
      <c r="FN67" s="72">
        <v>1</v>
      </c>
      <c r="FO67" s="72">
        <v>0</v>
      </c>
      <c r="FP67" s="9">
        <v>0</v>
      </c>
      <c r="FQ67" s="78">
        <v>0</v>
      </c>
      <c r="FR67" s="72">
        <v>0</v>
      </c>
      <c r="FS67" s="72">
        <v>0</v>
      </c>
      <c r="FT67" s="9">
        <v>0</v>
      </c>
      <c r="FU67" s="78">
        <v>0</v>
      </c>
      <c r="FV67" s="72">
        <v>4</v>
      </c>
      <c r="FW67" s="72">
        <v>0</v>
      </c>
      <c r="FX67" s="9">
        <v>1</v>
      </c>
      <c r="FY67" s="78">
        <v>0</v>
      </c>
      <c r="FZ67" s="72">
        <v>2</v>
      </c>
      <c r="GA67" s="72">
        <v>1</v>
      </c>
      <c r="GB67" s="9">
        <v>0</v>
      </c>
      <c r="GC67" s="78">
        <v>0</v>
      </c>
      <c r="GD67" s="72">
        <v>3</v>
      </c>
      <c r="GE67" s="72">
        <v>0</v>
      </c>
      <c r="GF67" s="9">
        <v>0</v>
      </c>
      <c r="GG67" s="78">
        <v>0</v>
      </c>
      <c r="GH67" s="72">
        <v>0</v>
      </c>
      <c r="GI67" s="72">
        <v>1</v>
      </c>
      <c r="GJ67" s="9">
        <v>0</v>
      </c>
      <c r="GK67" s="78">
        <v>0</v>
      </c>
      <c r="GL67" s="72">
        <v>1</v>
      </c>
      <c r="GM67" s="72">
        <v>0</v>
      </c>
      <c r="GN67" s="9">
        <v>0</v>
      </c>
      <c r="GO67" s="78">
        <v>0</v>
      </c>
      <c r="GP67" s="72">
        <v>0</v>
      </c>
      <c r="GQ67" s="72">
        <v>0</v>
      </c>
      <c r="GR67" s="9">
        <v>0</v>
      </c>
      <c r="GS67" s="78">
        <v>0</v>
      </c>
      <c r="GT67" s="72">
        <v>1</v>
      </c>
      <c r="GU67" s="72">
        <v>0</v>
      </c>
      <c r="GV67" s="9">
        <v>0</v>
      </c>
      <c r="GW67" s="76"/>
      <c r="GX67" s="41">
        <v>2023</v>
      </c>
      <c r="GY67" s="84">
        <v>0</v>
      </c>
      <c r="GZ67" s="79">
        <v>0</v>
      </c>
      <c r="HA67" s="72">
        <v>0</v>
      </c>
      <c r="HB67" s="72">
        <v>0</v>
      </c>
      <c r="HC67" s="48">
        <f>CL32-FR67</f>
        <v>1</v>
      </c>
      <c r="HD67" s="48">
        <f>CM32-FV67</f>
        <v>6</v>
      </c>
      <c r="HE67" s="48">
        <f>CN32-FZ67</f>
        <v>4</v>
      </c>
      <c r="HF67" s="48">
        <f>CO32-GD67</f>
        <v>2</v>
      </c>
      <c r="HG67" s="48">
        <f>CP32-GH67</f>
        <v>2</v>
      </c>
      <c r="HH67" s="48">
        <f>CQ32-GL67</f>
        <v>0</v>
      </c>
      <c r="HI67" s="48">
        <f>CR32-GP67</f>
        <v>0</v>
      </c>
      <c r="HJ67" s="9">
        <f>CS32-GT67</f>
        <v>1</v>
      </c>
      <c r="HK67" s="77">
        <f>SUM(GY67:HJ67)</f>
        <v>16</v>
      </c>
      <c r="HL67" s="3"/>
      <c r="HM67" s="3"/>
      <c r="HN67" s="3"/>
      <c r="HO67" s="3"/>
      <c r="HP67" s="3"/>
      <c r="HQ67" s="3"/>
      <c r="HR67" s="3"/>
      <c r="HS67" s="3"/>
      <c r="HT67" s="3"/>
      <c r="HU67" s="3"/>
      <c r="HV67" s="3"/>
      <c r="HW67" s="3"/>
      <c r="HX67" s="3"/>
    </row>
    <row r="68" spans="1:232">
      <c r="A68" s="10" t="s">
        <v>176</v>
      </c>
      <c r="B68" s="11">
        <f>AVERAGE(E68:AE68)</f>
        <v>0.55555555555555558</v>
      </c>
      <c r="C68" s="2">
        <f>MIN(E68:AE68)</f>
        <v>0</v>
      </c>
      <c r="D68" s="12">
        <f>MAX(E68:AE68)</f>
        <v>2</v>
      </c>
      <c r="E68" s="13">
        <v>0</v>
      </c>
      <c r="F68" s="13">
        <v>0</v>
      </c>
      <c r="G68" s="13">
        <v>0</v>
      </c>
      <c r="H68" s="13">
        <v>2</v>
      </c>
      <c r="I68" s="13">
        <v>0</v>
      </c>
      <c r="J68" s="13">
        <v>0</v>
      </c>
      <c r="K68" s="13">
        <v>0</v>
      </c>
      <c r="L68" s="13">
        <v>0</v>
      </c>
      <c r="M68" s="13">
        <v>2</v>
      </c>
      <c r="N68" s="13">
        <v>1</v>
      </c>
      <c r="O68" s="13">
        <v>0</v>
      </c>
      <c r="P68" s="13">
        <v>0</v>
      </c>
      <c r="Q68" s="13">
        <v>0</v>
      </c>
      <c r="R68" s="13">
        <v>2</v>
      </c>
      <c r="S68" s="13">
        <v>0</v>
      </c>
      <c r="T68" s="13">
        <v>0</v>
      </c>
      <c r="U68" s="13">
        <v>0</v>
      </c>
      <c r="V68" s="13">
        <v>0</v>
      </c>
      <c r="W68" s="13">
        <v>1</v>
      </c>
      <c r="X68" s="13">
        <v>2</v>
      </c>
      <c r="Y68" s="13">
        <v>1</v>
      </c>
      <c r="Z68" s="13">
        <v>2</v>
      </c>
      <c r="AA68" s="13">
        <v>0</v>
      </c>
      <c r="AB68" s="13">
        <v>1</v>
      </c>
      <c r="AC68" s="13">
        <v>1</v>
      </c>
      <c r="AD68" s="13">
        <v>0</v>
      </c>
      <c r="AE68" s="13">
        <v>0</v>
      </c>
      <c r="AF68" s="13">
        <v>0</v>
      </c>
      <c r="AG68" s="13"/>
      <c r="AH68" s="13"/>
      <c r="CB68" s="3"/>
      <c r="CU68" s="3"/>
      <c r="CV68" s="3"/>
      <c r="CW68" s="3"/>
      <c r="CX68" s="3"/>
      <c r="CY68" s="3"/>
      <c r="CZ68" s="3"/>
      <c r="DA68" s="3"/>
      <c r="DK68" s="31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72"/>
      <c r="EY68" s="72"/>
      <c r="EZ68" s="23">
        <v>2024</v>
      </c>
      <c r="FA68" s="78">
        <v>0</v>
      </c>
      <c r="FB68" s="72">
        <v>0</v>
      </c>
      <c r="FC68" s="72">
        <v>0</v>
      </c>
      <c r="FD68" s="9">
        <v>0</v>
      </c>
      <c r="FE68" s="78">
        <v>0</v>
      </c>
      <c r="FF68" s="72">
        <v>0</v>
      </c>
      <c r="FG68" s="72">
        <v>0</v>
      </c>
      <c r="FH68" s="9">
        <v>0</v>
      </c>
      <c r="FI68" s="78">
        <v>0</v>
      </c>
      <c r="FJ68" s="72">
        <v>0</v>
      </c>
      <c r="FK68" s="72">
        <v>0</v>
      </c>
      <c r="FL68" s="9">
        <v>0</v>
      </c>
      <c r="FM68" s="78">
        <v>0</v>
      </c>
      <c r="FN68" s="72">
        <v>1</v>
      </c>
      <c r="FO68" s="72">
        <v>0</v>
      </c>
      <c r="FP68" s="9">
        <v>0</v>
      </c>
      <c r="FQ68" s="78">
        <v>0</v>
      </c>
      <c r="FR68" s="72">
        <v>5</v>
      </c>
      <c r="FS68" s="72">
        <v>0</v>
      </c>
      <c r="FT68" s="9">
        <v>0</v>
      </c>
      <c r="FU68" s="78">
        <v>0</v>
      </c>
      <c r="FV68" s="72">
        <v>1</v>
      </c>
      <c r="FW68" s="72">
        <v>2</v>
      </c>
      <c r="FX68" s="9">
        <v>0</v>
      </c>
      <c r="FY68" s="78">
        <v>0</v>
      </c>
      <c r="FZ68" s="72">
        <v>2</v>
      </c>
      <c r="GA68" s="72">
        <v>5</v>
      </c>
      <c r="GB68" s="9">
        <v>0</v>
      </c>
      <c r="GC68" s="78">
        <v>0</v>
      </c>
      <c r="GD68" s="72">
        <v>1</v>
      </c>
      <c r="GE68" s="72">
        <v>2</v>
      </c>
      <c r="GF68" s="9">
        <v>0</v>
      </c>
      <c r="GG68" s="78">
        <v>0</v>
      </c>
      <c r="GH68" s="72">
        <v>1</v>
      </c>
      <c r="GI68" s="72">
        <v>0</v>
      </c>
      <c r="GJ68" s="9">
        <v>0</v>
      </c>
      <c r="GK68" s="78">
        <v>0</v>
      </c>
      <c r="GL68" s="72">
        <v>0</v>
      </c>
      <c r="GM68" s="72">
        <v>0</v>
      </c>
      <c r="GN68" s="9">
        <v>0</v>
      </c>
      <c r="GO68" s="78">
        <v>0</v>
      </c>
      <c r="GP68" s="72">
        <v>0</v>
      </c>
      <c r="GQ68" s="72">
        <v>0</v>
      </c>
      <c r="GR68" s="9">
        <v>0</v>
      </c>
      <c r="GS68" s="78">
        <v>0</v>
      </c>
      <c r="GT68" s="72">
        <v>0</v>
      </c>
      <c r="GU68" s="72">
        <v>0</v>
      </c>
      <c r="GV68" s="9">
        <v>0</v>
      </c>
      <c r="GW68" s="76"/>
      <c r="GX68" s="41">
        <v>2024</v>
      </c>
      <c r="GY68" s="84">
        <v>0</v>
      </c>
      <c r="GZ68" s="79">
        <v>0</v>
      </c>
      <c r="HA68" s="72">
        <v>0</v>
      </c>
      <c r="HB68" s="72">
        <v>0</v>
      </c>
      <c r="HC68" s="48">
        <f>CL33-FR68</f>
        <v>2</v>
      </c>
      <c r="HD68" s="48">
        <f>CM33-FV68</f>
        <v>5</v>
      </c>
      <c r="HE68" s="48">
        <f>CN33-FZ68</f>
        <v>4</v>
      </c>
      <c r="HF68" s="48">
        <f>CO33-GD68</f>
        <v>8</v>
      </c>
      <c r="HG68" s="48">
        <f>CP33-GH68</f>
        <v>0</v>
      </c>
      <c r="HH68" s="48">
        <f>CQ33-GL68</f>
        <v>0</v>
      </c>
      <c r="HI68" s="48">
        <f>CR33-GP68</f>
        <v>0</v>
      </c>
      <c r="HJ68" s="9">
        <f>CS33-GT68</f>
        <v>0</v>
      </c>
      <c r="HK68" s="77">
        <f>SUM(GY68:HJ68)</f>
        <v>19</v>
      </c>
      <c r="HL68" s="3"/>
      <c r="HM68" s="3"/>
      <c r="HN68" s="3"/>
      <c r="HO68" s="3"/>
      <c r="HP68" s="3"/>
      <c r="HQ68" s="3"/>
      <c r="HR68" s="3"/>
      <c r="HS68" s="3"/>
      <c r="HT68" s="3"/>
      <c r="HU68" s="3"/>
      <c r="HV68" s="3"/>
      <c r="HW68" s="3"/>
      <c r="HX68" s="3"/>
    </row>
    <row r="69" spans="1:232">
      <c r="A69" s="10" t="s">
        <v>177</v>
      </c>
      <c r="B69" s="11">
        <f>AVERAGE(E69:AE69)</f>
        <v>0.59259259259259256</v>
      </c>
      <c r="C69" s="2">
        <f>MIN(E69:AE69)</f>
        <v>0</v>
      </c>
      <c r="D69" s="12">
        <f>MAX(E69:AE69)</f>
        <v>2</v>
      </c>
      <c r="E69" s="13">
        <v>0</v>
      </c>
      <c r="F69" s="21">
        <v>1</v>
      </c>
      <c r="G69" s="13">
        <v>0</v>
      </c>
      <c r="H69" s="13">
        <v>2</v>
      </c>
      <c r="I69" s="13">
        <v>0</v>
      </c>
      <c r="J69" s="13">
        <v>0</v>
      </c>
      <c r="K69" s="13">
        <v>0</v>
      </c>
      <c r="L69" s="13">
        <v>0</v>
      </c>
      <c r="M69" s="13">
        <v>2</v>
      </c>
      <c r="N69" s="13">
        <v>1</v>
      </c>
      <c r="O69" s="13">
        <v>0</v>
      </c>
      <c r="P69" s="13">
        <v>0</v>
      </c>
      <c r="Q69" s="13">
        <v>0</v>
      </c>
      <c r="R69" s="13">
        <v>2</v>
      </c>
      <c r="S69" s="13">
        <v>0</v>
      </c>
      <c r="T69" s="13">
        <v>0</v>
      </c>
      <c r="U69" s="13">
        <v>0</v>
      </c>
      <c r="V69" s="13">
        <v>0</v>
      </c>
      <c r="W69" s="13">
        <v>1</v>
      </c>
      <c r="X69" s="13">
        <v>2</v>
      </c>
      <c r="Y69" s="13">
        <v>1</v>
      </c>
      <c r="Z69" s="13">
        <v>2</v>
      </c>
      <c r="AA69" s="13">
        <v>0</v>
      </c>
      <c r="AB69" s="13">
        <v>1</v>
      </c>
      <c r="AC69" s="13">
        <v>1</v>
      </c>
      <c r="AD69" s="13">
        <v>0</v>
      </c>
      <c r="AE69" s="13">
        <v>0</v>
      </c>
      <c r="AF69" s="13">
        <v>0</v>
      </c>
      <c r="AG69" s="13"/>
      <c r="AH69" s="13"/>
      <c r="CB69" s="3"/>
      <c r="CU69" s="3"/>
      <c r="CV69" s="3"/>
      <c r="CW69" s="3"/>
      <c r="CX69" s="3"/>
      <c r="CY69" s="3"/>
      <c r="CZ69" s="3"/>
      <c r="DA69" s="3"/>
      <c r="DK69" s="31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72"/>
      <c r="EY69" s="72"/>
      <c r="EZ69" s="23">
        <v>2025</v>
      </c>
      <c r="FA69" s="78">
        <v>0</v>
      </c>
      <c r="FB69" s="72">
        <v>0</v>
      </c>
      <c r="FC69" s="72">
        <v>0</v>
      </c>
      <c r="FD69" s="9">
        <v>0</v>
      </c>
      <c r="FE69" s="78">
        <v>0</v>
      </c>
      <c r="FF69" s="72">
        <v>0</v>
      </c>
      <c r="FG69" s="72">
        <v>0</v>
      </c>
      <c r="FH69" s="9">
        <v>0</v>
      </c>
      <c r="FI69" s="78">
        <v>0</v>
      </c>
      <c r="FJ69" s="72">
        <v>0</v>
      </c>
      <c r="FK69" s="72">
        <v>0</v>
      </c>
      <c r="FL69" s="9">
        <v>0</v>
      </c>
      <c r="FM69" s="78">
        <v>0</v>
      </c>
      <c r="FN69" s="72">
        <v>0</v>
      </c>
      <c r="FO69" s="72">
        <v>0</v>
      </c>
      <c r="FP69" s="9">
        <v>0</v>
      </c>
      <c r="FQ69" s="78">
        <v>0</v>
      </c>
      <c r="FR69" s="72">
        <v>1</v>
      </c>
      <c r="FS69" s="72">
        <v>0</v>
      </c>
      <c r="FT69" s="9">
        <v>0</v>
      </c>
      <c r="FU69" s="78">
        <v>0</v>
      </c>
      <c r="FV69" s="72">
        <v>1</v>
      </c>
      <c r="FW69" s="72">
        <v>1</v>
      </c>
      <c r="FX69" s="9">
        <v>0</v>
      </c>
      <c r="FY69" s="78">
        <v>0</v>
      </c>
      <c r="FZ69" s="72">
        <v>3</v>
      </c>
      <c r="GA69" s="72">
        <v>0</v>
      </c>
      <c r="GB69" s="9">
        <v>0</v>
      </c>
      <c r="GC69" s="78">
        <v>0</v>
      </c>
      <c r="GD69" s="72">
        <v>0</v>
      </c>
      <c r="GE69" s="72">
        <v>1</v>
      </c>
      <c r="GF69" s="9">
        <v>0</v>
      </c>
      <c r="GG69" s="78">
        <v>0</v>
      </c>
      <c r="GH69" s="72">
        <v>2</v>
      </c>
      <c r="GI69" s="72">
        <v>1</v>
      </c>
      <c r="GJ69" s="9">
        <v>0</v>
      </c>
      <c r="GK69" s="78">
        <v>0</v>
      </c>
      <c r="GL69" s="72">
        <v>0</v>
      </c>
      <c r="GM69" s="72">
        <v>0</v>
      </c>
      <c r="GN69" s="9">
        <v>0</v>
      </c>
      <c r="GO69" s="78">
        <v>0</v>
      </c>
      <c r="GP69" s="72">
        <v>0</v>
      </c>
      <c r="GQ69" s="72">
        <v>0</v>
      </c>
      <c r="GR69" s="9">
        <v>0</v>
      </c>
      <c r="GS69" s="78">
        <v>0</v>
      </c>
      <c r="GT69" s="72">
        <v>0</v>
      </c>
      <c r="GU69" s="72">
        <v>0</v>
      </c>
      <c r="GV69" s="9">
        <v>0</v>
      </c>
      <c r="GW69" s="76"/>
      <c r="GX69" s="41">
        <v>2025</v>
      </c>
      <c r="GY69" s="84">
        <v>0</v>
      </c>
      <c r="GZ69" s="79">
        <v>0</v>
      </c>
      <c r="HA69" s="72">
        <v>0</v>
      </c>
      <c r="HB69" s="72">
        <v>0</v>
      </c>
      <c r="HC69" s="48">
        <f>CL34-FR69</f>
        <v>3</v>
      </c>
      <c r="HD69" s="48">
        <f>CM34-FV69</f>
        <v>2</v>
      </c>
      <c r="HE69" s="48">
        <f>CN34-FZ69</f>
        <v>4</v>
      </c>
      <c r="HF69" s="48">
        <f>CO34-GD69</f>
        <v>2</v>
      </c>
      <c r="HG69" s="48">
        <f>CP34-GH69</f>
        <v>1</v>
      </c>
      <c r="HH69" s="48">
        <f>CQ34-GL69</f>
        <v>0</v>
      </c>
      <c r="HI69" s="48">
        <f>CR34-GP69</f>
        <v>0</v>
      </c>
      <c r="HJ69" s="9">
        <f>CS34-GT69</f>
        <v>0</v>
      </c>
      <c r="HK69" s="77">
        <f>SUM(GY69:HJ69)</f>
        <v>12</v>
      </c>
      <c r="HL69" s="3"/>
      <c r="HM69" s="3"/>
      <c r="HN69" s="3"/>
      <c r="HO69" s="3"/>
      <c r="HP69" s="3"/>
      <c r="HQ69" s="3"/>
      <c r="HR69" s="3"/>
      <c r="HS69" s="3"/>
      <c r="HT69" s="3"/>
      <c r="HU69" s="3"/>
      <c r="HV69" s="3"/>
      <c r="HW69" s="3"/>
      <c r="HX69" s="3"/>
    </row>
    <row r="70" spans="1:232">
      <c r="A70" s="10" t="s">
        <v>178</v>
      </c>
      <c r="B70" s="11">
        <f>AVERAGE(E70:AE70)</f>
        <v>0.59259259259259256</v>
      </c>
      <c r="C70" s="2">
        <f>MIN(E70:AE70)</f>
        <v>0</v>
      </c>
      <c r="D70" s="12">
        <f>MAX(E70:AE70)</f>
        <v>2</v>
      </c>
      <c r="E70" s="13">
        <v>0</v>
      </c>
      <c r="F70" s="13">
        <v>1</v>
      </c>
      <c r="G70" s="13">
        <v>0</v>
      </c>
      <c r="H70" s="13">
        <v>2</v>
      </c>
      <c r="I70" s="13">
        <v>0</v>
      </c>
      <c r="J70" s="13">
        <v>0</v>
      </c>
      <c r="K70" s="13">
        <v>0</v>
      </c>
      <c r="L70" s="13">
        <v>0</v>
      </c>
      <c r="M70" s="13">
        <v>2</v>
      </c>
      <c r="N70" s="13">
        <v>1</v>
      </c>
      <c r="O70" s="13">
        <v>0</v>
      </c>
      <c r="P70" s="13">
        <v>0</v>
      </c>
      <c r="Q70" s="13">
        <v>0</v>
      </c>
      <c r="R70" s="13">
        <v>2</v>
      </c>
      <c r="S70" s="13">
        <v>0</v>
      </c>
      <c r="T70" s="13">
        <v>0</v>
      </c>
      <c r="U70" s="13">
        <v>0</v>
      </c>
      <c r="V70" s="13">
        <v>0</v>
      </c>
      <c r="W70" s="13">
        <v>1</v>
      </c>
      <c r="X70" s="13">
        <v>2</v>
      </c>
      <c r="Y70" s="13">
        <v>1</v>
      </c>
      <c r="Z70" s="13">
        <v>2</v>
      </c>
      <c r="AA70" s="13">
        <v>0</v>
      </c>
      <c r="AB70" s="13">
        <v>1</v>
      </c>
      <c r="AC70" s="13">
        <v>1</v>
      </c>
      <c r="AD70" s="13">
        <v>0</v>
      </c>
      <c r="AE70" s="13">
        <v>0</v>
      </c>
      <c r="AF70" s="13">
        <v>0</v>
      </c>
      <c r="AG70" s="13"/>
      <c r="AH70" s="13"/>
      <c r="CB70" s="3"/>
      <c r="CU70" s="3"/>
      <c r="CV70" s="3"/>
      <c r="CW70" s="3"/>
      <c r="CX70" s="3"/>
      <c r="CY70" s="3"/>
      <c r="CZ70" s="3"/>
      <c r="DA70" s="3"/>
      <c r="DK70" s="31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72"/>
      <c r="EY70" s="72"/>
      <c r="EZ70" s="23">
        <v>2026</v>
      </c>
      <c r="FA70" s="78">
        <v>0</v>
      </c>
      <c r="FB70" s="72">
        <v>0</v>
      </c>
      <c r="FC70" s="72">
        <v>0</v>
      </c>
      <c r="FD70" s="9">
        <v>0</v>
      </c>
      <c r="FE70" s="78">
        <v>0</v>
      </c>
      <c r="FF70" s="72">
        <v>0</v>
      </c>
      <c r="FG70" s="72">
        <v>0</v>
      </c>
      <c r="FH70" s="9">
        <v>0</v>
      </c>
      <c r="FI70" s="78">
        <v>0</v>
      </c>
      <c r="FJ70" s="72">
        <v>0</v>
      </c>
      <c r="FK70" s="72">
        <v>0</v>
      </c>
      <c r="FL70" s="9">
        <v>0</v>
      </c>
      <c r="FM70" s="78">
        <v>0</v>
      </c>
      <c r="FN70" s="72">
        <v>1</v>
      </c>
      <c r="FO70" s="72">
        <v>0</v>
      </c>
      <c r="FP70" s="9">
        <v>0</v>
      </c>
      <c r="FQ70" s="78">
        <v>0</v>
      </c>
      <c r="FR70" s="72">
        <v>2</v>
      </c>
      <c r="FS70" s="72">
        <v>0</v>
      </c>
      <c r="FT70" s="9">
        <v>0</v>
      </c>
      <c r="FU70" s="78">
        <v>0</v>
      </c>
      <c r="FV70" s="72">
        <v>2</v>
      </c>
      <c r="FW70" s="72">
        <v>1</v>
      </c>
      <c r="FX70" s="9"/>
      <c r="FY70" s="78">
        <v>0</v>
      </c>
      <c r="FZ70" s="72"/>
      <c r="GA70" s="72"/>
      <c r="GB70" s="9"/>
      <c r="GC70" s="78">
        <v>0</v>
      </c>
      <c r="GD70" s="72"/>
      <c r="GE70" s="72"/>
      <c r="GF70" s="9"/>
      <c r="GG70" s="78">
        <v>0</v>
      </c>
      <c r="GH70" s="72"/>
      <c r="GI70" s="72"/>
      <c r="GJ70" s="9"/>
      <c r="GK70" s="78">
        <v>0</v>
      </c>
      <c r="GL70" s="72"/>
      <c r="GM70" s="72"/>
      <c r="GN70" s="9"/>
      <c r="GO70" s="78">
        <v>0</v>
      </c>
      <c r="GP70" s="72">
        <v>0</v>
      </c>
      <c r="GQ70" s="72">
        <v>0</v>
      </c>
      <c r="GR70" s="9">
        <v>0</v>
      </c>
      <c r="GS70" s="78">
        <v>0</v>
      </c>
      <c r="GT70" s="72"/>
      <c r="GU70" s="72"/>
      <c r="GV70" s="9"/>
      <c r="GW70" s="76"/>
      <c r="GX70" s="63">
        <v>2026</v>
      </c>
      <c r="GY70" s="85">
        <v>0</v>
      </c>
      <c r="GZ70" s="86">
        <v>0</v>
      </c>
      <c r="HA70" s="87">
        <v>0</v>
      </c>
      <c r="HB70" s="87">
        <v>0</v>
      </c>
      <c r="HC70" s="87">
        <v>2</v>
      </c>
      <c r="HD70" s="87">
        <v>4</v>
      </c>
      <c r="HE70" s="87">
        <v>2</v>
      </c>
      <c r="HF70" s="87"/>
      <c r="HG70" s="87"/>
      <c r="HH70" s="87"/>
      <c r="HI70" s="87"/>
      <c r="HJ70" s="88"/>
      <c r="HK70" s="77">
        <f>SUM(GY70:HJ70)</f>
        <v>8</v>
      </c>
      <c r="HL70" s="3"/>
      <c r="HM70" s="3"/>
      <c r="HN70" s="3"/>
      <c r="HO70" s="3"/>
      <c r="HP70" s="3"/>
      <c r="HQ70" s="3"/>
      <c r="HR70" s="3"/>
      <c r="HS70" s="3"/>
      <c r="HT70" s="3"/>
      <c r="HU70" s="3"/>
      <c r="HV70" s="3"/>
      <c r="HW70" s="3"/>
      <c r="HX70" s="3"/>
    </row>
    <row r="71" spans="1:232">
      <c r="A71" s="10" t="s">
        <v>179</v>
      </c>
      <c r="B71" s="11">
        <f>AVERAGE(E71:AE71)</f>
        <v>0.59259259259259256</v>
      </c>
      <c r="C71" s="2">
        <f>MIN(E71:AE71)</f>
        <v>0</v>
      </c>
      <c r="D71" s="12">
        <f>MAX(E71:AE71)</f>
        <v>2</v>
      </c>
      <c r="E71" s="13">
        <v>0</v>
      </c>
      <c r="F71" s="13">
        <v>1</v>
      </c>
      <c r="G71" s="13">
        <v>0</v>
      </c>
      <c r="H71" s="13">
        <v>2</v>
      </c>
      <c r="I71" s="13">
        <v>0</v>
      </c>
      <c r="J71" s="13">
        <v>0</v>
      </c>
      <c r="K71" s="13">
        <v>0</v>
      </c>
      <c r="L71" s="13">
        <v>0</v>
      </c>
      <c r="M71" s="13">
        <v>2</v>
      </c>
      <c r="N71" s="13">
        <v>1</v>
      </c>
      <c r="O71" s="13">
        <v>0</v>
      </c>
      <c r="P71" s="13">
        <v>0</v>
      </c>
      <c r="Q71" s="13">
        <v>0</v>
      </c>
      <c r="R71" s="13">
        <v>2</v>
      </c>
      <c r="S71" s="13">
        <v>0</v>
      </c>
      <c r="T71" s="13">
        <v>0</v>
      </c>
      <c r="U71" s="13">
        <v>0</v>
      </c>
      <c r="V71" s="13">
        <v>0</v>
      </c>
      <c r="W71" s="13">
        <v>1</v>
      </c>
      <c r="X71" s="13">
        <v>2</v>
      </c>
      <c r="Y71" s="13">
        <v>1</v>
      </c>
      <c r="Z71" s="13">
        <v>2</v>
      </c>
      <c r="AA71" s="13">
        <v>0</v>
      </c>
      <c r="AB71" s="13">
        <v>1</v>
      </c>
      <c r="AC71" s="13">
        <v>1</v>
      </c>
      <c r="AD71" s="13">
        <v>0</v>
      </c>
      <c r="AE71" s="13">
        <v>0</v>
      </c>
      <c r="AF71" s="13">
        <v>0</v>
      </c>
      <c r="AG71" s="13"/>
      <c r="AH71" s="13"/>
      <c r="CB71" s="3"/>
      <c r="CU71" s="3"/>
      <c r="CV71" s="3"/>
      <c r="CW71" s="3"/>
      <c r="CX71" s="3"/>
      <c r="CY71" s="3"/>
      <c r="CZ71" s="3"/>
      <c r="DA71" s="3"/>
      <c r="DK71" s="31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72"/>
      <c r="EY71" s="72"/>
      <c r="EZ71" s="23" t="s">
        <v>34</v>
      </c>
      <c r="FA71" s="73">
        <f>SUM(FA43:FA70)</f>
        <v>7</v>
      </c>
      <c r="FB71" s="73">
        <f>SUM(FB43:FB70)</f>
        <v>4</v>
      </c>
      <c r="FC71" s="73">
        <f>SUM(FC43:FC70)</f>
        <v>0</v>
      </c>
      <c r="FD71" s="73">
        <f>SUM(FD43:FD70)</f>
        <v>1</v>
      </c>
      <c r="FE71" s="73">
        <f>SUM(FE43:FE70)</f>
        <v>4</v>
      </c>
      <c r="FF71" s="73">
        <f>SUM(FF43:FF70)</f>
        <v>5</v>
      </c>
      <c r="FG71" s="73">
        <f>SUM(FG43:FG70)</f>
        <v>0</v>
      </c>
      <c r="FH71" s="73">
        <f>SUM(FH43:FH70)</f>
        <v>0</v>
      </c>
      <c r="FI71" s="73">
        <f>SUM(FI43:FI70)</f>
        <v>6</v>
      </c>
      <c r="FJ71" s="73">
        <f>SUM(FJ43:FJ70)</f>
        <v>5</v>
      </c>
      <c r="FK71" s="73">
        <f>SUM(FK43:FK70)</f>
        <v>0</v>
      </c>
      <c r="FL71" s="73">
        <f>SUM(FL43:FL70)</f>
        <v>2</v>
      </c>
      <c r="FM71" s="73">
        <f>SUM(FM43:FM70)</f>
        <v>2</v>
      </c>
      <c r="FN71" s="73">
        <f>SUM(FN43:FN70)</f>
        <v>25</v>
      </c>
      <c r="FO71" s="73">
        <f>SUM(FO43:FO70)</f>
        <v>2</v>
      </c>
      <c r="FP71" s="73">
        <f>SUM(FP43:FP70)</f>
        <v>0</v>
      </c>
      <c r="FQ71" s="73">
        <f>SUM(FQ43:FQ70)</f>
        <v>1</v>
      </c>
      <c r="FR71" s="73">
        <f>SUM(FR43:FR70)</f>
        <v>49</v>
      </c>
      <c r="FS71" s="73">
        <f>SUM(FS43:FS70)</f>
        <v>5</v>
      </c>
      <c r="FT71" s="73">
        <f>SUM(FT43:FT70)</f>
        <v>3</v>
      </c>
      <c r="FU71" s="73">
        <f>SUM(FU43:FU70)</f>
        <v>0</v>
      </c>
      <c r="FV71" s="73">
        <f>SUM(FV43:FV70)</f>
        <v>51</v>
      </c>
      <c r="FW71" s="73">
        <f>SUM(FW43:FW70)</f>
        <v>17</v>
      </c>
      <c r="FX71" s="73">
        <f>SUM(FX43:FX70)</f>
        <v>11</v>
      </c>
      <c r="FY71" s="73">
        <f>SUM(FY43:FY70)</f>
        <v>0</v>
      </c>
      <c r="FZ71" s="73">
        <f>SUM(FZ43:FZ70)</f>
        <v>64</v>
      </c>
      <c r="GA71" s="73">
        <f>SUM(GA43:GA70)</f>
        <v>15</v>
      </c>
      <c r="GB71" s="73">
        <f>SUM(GB43:GB70)</f>
        <v>12</v>
      </c>
      <c r="GC71" s="73">
        <f>SUM(GC43:GC70)</f>
        <v>0</v>
      </c>
      <c r="GD71" s="73">
        <f>SUM(GD43:GD70)</f>
        <v>51</v>
      </c>
      <c r="GE71" s="73">
        <f>SUM(GE43:GE70)</f>
        <v>15</v>
      </c>
      <c r="GF71" s="73">
        <f>SUM(GF43:GF70)</f>
        <v>6</v>
      </c>
      <c r="GG71" s="73">
        <f>SUM(GG43:GG70)</f>
        <v>0</v>
      </c>
      <c r="GH71" s="73">
        <f>SUM(GH43:GH70)</f>
        <v>19</v>
      </c>
      <c r="GI71" s="73">
        <f>SUM(GI43:GI70)</f>
        <v>2</v>
      </c>
      <c r="GJ71" s="73">
        <f>SUM(GJ43:GJ70)</f>
        <v>3</v>
      </c>
      <c r="GK71" s="73">
        <f>SUM(GK43:GK70)</f>
        <v>0</v>
      </c>
      <c r="GL71" s="73">
        <f>SUM(GL43:GL70)</f>
        <v>3</v>
      </c>
      <c r="GM71" s="73">
        <f>SUM(GM43:GM70)</f>
        <v>0</v>
      </c>
      <c r="GN71" s="73">
        <f>SUM(GN43:GN70)</f>
        <v>0</v>
      </c>
      <c r="GO71" s="73">
        <f>SUM(GO43:GO70)</f>
        <v>0</v>
      </c>
      <c r="GP71" s="73">
        <f>SUM(GP43:GP70)</f>
        <v>0</v>
      </c>
      <c r="GQ71" s="73">
        <f>SUM(GQ43:GQ70)</f>
        <v>0</v>
      </c>
      <c r="GR71" s="73">
        <f>SUM(GR43:GR70)</f>
        <v>0</v>
      </c>
      <c r="GS71" s="73">
        <f>SUM(GS43:GS70)</f>
        <v>0</v>
      </c>
      <c r="GT71" s="73">
        <f>SUM(GT43:GT70)</f>
        <v>3</v>
      </c>
      <c r="GU71" s="73">
        <f>SUM(GU43:GU70)</f>
        <v>0</v>
      </c>
      <c r="GV71" s="89">
        <f>SUM(GV43:GV70)</f>
        <v>1</v>
      </c>
      <c r="GW71" s="77"/>
      <c r="GX71" s="77" t="s">
        <v>34</v>
      </c>
      <c r="GY71" s="77">
        <f>SUM(GY43:GY70)</f>
        <v>3</v>
      </c>
      <c r="GZ71" s="77">
        <f>SUM(GZ43:GZ70)</f>
        <v>1</v>
      </c>
      <c r="HA71" s="77">
        <f>SUM(HA43:HA70)</f>
        <v>3</v>
      </c>
      <c r="HB71" s="77">
        <f>SUM(HB43:HB70)</f>
        <v>16</v>
      </c>
      <c r="HC71" s="77">
        <f>SUM(HC43:HC70)</f>
        <v>90</v>
      </c>
      <c r="HD71" s="77">
        <f>SUM(HD43:HD70)</f>
        <v>120</v>
      </c>
      <c r="HE71" s="77">
        <f>SUM(HE43:HE70)</f>
        <v>131</v>
      </c>
      <c r="HF71" s="77">
        <f>SUM(HF43:HF70)</f>
        <v>94</v>
      </c>
      <c r="HG71" s="77">
        <f>SUM(HG43:HG70)</f>
        <v>25</v>
      </c>
      <c r="HH71" s="77">
        <f>SUM(HH43:HH70)</f>
        <v>4</v>
      </c>
      <c r="HI71" s="77">
        <f>SUM(HI43:HI70)</f>
        <v>1</v>
      </c>
      <c r="HJ71" s="77">
        <f>SUM(HJ43:HJ70)</f>
        <v>2</v>
      </c>
      <c r="HK71" s="3"/>
      <c r="HL71" s="3"/>
      <c r="HM71" s="3"/>
      <c r="HN71" s="3"/>
      <c r="HO71" s="3"/>
      <c r="HP71" s="3"/>
      <c r="HQ71" s="3"/>
      <c r="HR71" s="3"/>
      <c r="HS71" s="3"/>
      <c r="HT71" s="3"/>
      <c r="HU71" s="3"/>
      <c r="HV71" s="3"/>
      <c r="HW71" s="3"/>
      <c r="HX71" s="3"/>
    </row>
    <row r="72" spans="1:232">
      <c r="A72" s="10" t="s">
        <v>180</v>
      </c>
      <c r="B72" s="11">
        <f>AVERAGE(E72:AE72)</f>
        <v>0.59259259259259256</v>
      </c>
      <c r="C72" s="2">
        <f>MIN(E72:AE72)</f>
        <v>0</v>
      </c>
      <c r="D72" s="12">
        <f>MAX(E72:AE72)</f>
        <v>2</v>
      </c>
      <c r="E72" s="13">
        <v>0</v>
      </c>
      <c r="F72" s="13">
        <v>1</v>
      </c>
      <c r="G72" s="13">
        <v>0</v>
      </c>
      <c r="H72" s="13">
        <v>2</v>
      </c>
      <c r="I72" s="13">
        <v>0</v>
      </c>
      <c r="J72" s="13">
        <v>0</v>
      </c>
      <c r="K72" s="13">
        <v>0</v>
      </c>
      <c r="L72" s="13">
        <v>0</v>
      </c>
      <c r="M72" s="13">
        <v>2</v>
      </c>
      <c r="N72" s="13">
        <v>1</v>
      </c>
      <c r="O72" s="13">
        <v>0</v>
      </c>
      <c r="P72" s="13">
        <v>0</v>
      </c>
      <c r="Q72" s="13">
        <v>0</v>
      </c>
      <c r="R72" s="13">
        <v>2</v>
      </c>
      <c r="S72" s="13">
        <v>0</v>
      </c>
      <c r="T72" s="13">
        <v>0</v>
      </c>
      <c r="U72" s="13">
        <v>0</v>
      </c>
      <c r="V72" s="13">
        <v>0</v>
      </c>
      <c r="W72" s="13">
        <v>1</v>
      </c>
      <c r="X72" s="13">
        <v>2</v>
      </c>
      <c r="Y72" s="13">
        <v>1</v>
      </c>
      <c r="Z72" s="13">
        <v>2</v>
      </c>
      <c r="AA72" s="13">
        <v>0</v>
      </c>
      <c r="AB72" s="13">
        <v>1</v>
      </c>
      <c r="AC72" s="13">
        <v>1</v>
      </c>
      <c r="AD72" s="13">
        <v>0</v>
      </c>
      <c r="AE72" s="13">
        <v>0</v>
      </c>
      <c r="AF72" s="13">
        <v>0</v>
      </c>
      <c r="AG72" s="13"/>
      <c r="AH72" s="13"/>
      <c r="CB72" s="3"/>
      <c r="CU72" s="3"/>
      <c r="CV72" s="3"/>
      <c r="CW72" s="3"/>
      <c r="CX72" s="3"/>
      <c r="CY72" s="3"/>
      <c r="CZ72" s="3"/>
      <c r="DA72" s="3"/>
      <c r="DK72" s="31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72"/>
      <c r="EY72" s="72"/>
      <c r="EZ72" s="71" t="s">
        <v>114</v>
      </c>
      <c r="FA72" s="90">
        <f>AVERAGE(FA43:FA70)</f>
        <v>0.25</v>
      </c>
      <c r="FB72" s="90">
        <f>AVERAGE(FB43:FB70)</f>
        <v>0.14285714285714285</v>
      </c>
      <c r="FC72" s="90">
        <f>AVERAGE(FC43:FC70)</f>
        <v>0</v>
      </c>
      <c r="FD72" s="90">
        <f>AVERAGE(FD43:FD70)</f>
        <v>3.5714285714285712E-2</v>
      </c>
      <c r="FE72" s="90">
        <f>AVERAGE(FE43:FE70)</f>
        <v>0.14285714285714285</v>
      </c>
      <c r="FF72" s="90">
        <f>AVERAGE(FF43:FF70)</f>
        <v>0.17857142857142858</v>
      </c>
      <c r="FG72" s="90">
        <f>AVERAGE(FG43:FG70)</f>
        <v>0</v>
      </c>
      <c r="FH72" s="90">
        <f>AVERAGE(FH43:FH70)</f>
        <v>0</v>
      </c>
      <c r="FI72" s="90">
        <f>AVERAGE(FI43:FI70)</f>
        <v>0.21428571428571427</v>
      </c>
      <c r="FJ72" s="90">
        <f>AVERAGE(FJ43:FJ70)</f>
        <v>0.17857142857142858</v>
      </c>
      <c r="FK72" s="90">
        <f>AVERAGE(FK43:FK70)</f>
        <v>0</v>
      </c>
      <c r="FL72" s="90">
        <f>AVERAGE(FL43:FL70)</f>
        <v>7.1428571428571425E-2</v>
      </c>
      <c r="FM72" s="90">
        <f>AVERAGE(FM43:FM70)</f>
        <v>7.1428571428571425E-2</v>
      </c>
      <c r="FN72" s="90">
        <f>AVERAGE(FN43:FN70)</f>
        <v>0.8928571428571429</v>
      </c>
      <c r="FO72" s="90">
        <f>AVERAGE(FO43:FO70)</f>
        <v>7.1428571428571425E-2</v>
      </c>
      <c r="FP72" s="90">
        <f>AVERAGE(FP43:FP70)</f>
        <v>0</v>
      </c>
      <c r="FQ72" s="90">
        <f>AVERAGE(FQ43:FQ70)</f>
        <v>3.5714285714285712E-2</v>
      </c>
      <c r="FR72" s="90">
        <f>AVERAGE(FR43:FR70)</f>
        <v>1.75</v>
      </c>
      <c r="FS72" s="90">
        <f>AVERAGE(FS43:FS70)</f>
        <v>0.17857142857142858</v>
      </c>
      <c r="FT72" s="90">
        <f>AVERAGE(FT43:FT70)</f>
        <v>0.10714285714285714</v>
      </c>
      <c r="FU72" s="90">
        <f>AVERAGE(FU43:FU70)</f>
        <v>0</v>
      </c>
      <c r="FV72" s="90">
        <f>AVERAGE(FV43:FV70)</f>
        <v>1.8214285714285714</v>
      </c>
      <c r="FW72" s="90">
        <f>AVERAGE(FW43:FW70)</f>
        <v>0.6071428571428571</v>
      </c>
      <c r="FX72" s="90">
        <f>AVERAGE(FX43:FX70)</f>
        <v>0.40740740740740738</v>
      </c>
      <c r="FY72" s="90">
        <f>AVERAGE(FY43:FY70)</f>
        <v>0</v>
      </c>
      <c r="FZ72" s="90">
        <f>AVERAGE(FZ43:FZ70)</f>
        <v>2.3703703703703702</v>
      </c>
      <c r="GA72" s="90">
        <f>AVERAGE(GA43:GA70)</f>
        <v>0.55555555555555558</v>
      </c>
      <c r="GB72" s="90">
        <f>AVERAGE(GB43:GB70)</f>
        <v>0.44444444444444442</v>
      </c>
      <c r="GC72" s="90">
        <f>AVERAGE(GC43:GC70)</f>
        <v>0</v>
      </c>
      <c r="GD72" s="90">
        <f>AVERAGE(GD43:GD70)</f>
        <v>1.8888888888888888</v>
      </c>
      <c r="GE72" s="90">
        <f>AVERAGE(GE43:GE70)</f>
        <v>0.55555555555555558</v>
      </c>
      <c r="GF72" s="90">
        <f>AVERAGE(GF43:GF70)</f>
        <v>0.22222222222222221</v>
      </c>
      <c r="GG72" s="90">
        <f>AVERAGE(GG43:GG70)</f>
        <v>0</v>
      </c>
      <c r="GH72" s="90">
        <f>AVERAGE(GH43:GH70)</f>
        <v>0.70370370370370372</v>
      </c>
      <c r="GI72" s="90">
        <f>AVERAGE(GI43:GI70)</f>
        <v>7.407407407407407E-2</v>
      </c>
      <c r="GJ72" s="90">
        <f>AVERAGE(GJ43:GJ70)</f>
        <v>0.1111111111111111</v>
      </c>
      <c r="GK72" s="90">
        <f>AVERAGE(GK43:GK70)</f>
        <v>0</v>
      </c>
      <c r="GL72" s="90">
        <f>AVERAGE(GL43:GL70)</f>
        <v>0.1111111111111111</v>
      </c>
      <c r="GM72" s="90">
        <f>AVERAGE(GM43:GM70)</f>
        <v>0</v>
      </c>
      <c r="GN72" s="90">
        <f>AVERAGE(GN43:GN70)</f>
        <v>0</v>
      </c>
      <c r="GO72" s="90">
        <f>AVERAGE(GO43:GO70)</f>
        <v>0</v>
      </c>
      <c r="GP72" s="90">
        <f>AVERAGE(GP43:GP70)</f>
        <v>0</v>
      </c>
      <c r="GQ72" s="90">
        <f>AVERAGE(GQ43:GQ70)</f>
        <v>0</v>
      </c>
      <c r="GR72" s="90">
        <f>AVERAGE(GR43:GR70)</f>
        <v>0</v>
      </c>
      <c r="GS72" s="90">
        <f>AVERAGE(GS43:GS70)</f>
        <v>0</v>
      </c>
      <c r="GT72" s="90">
        <f>AVERAGE(GT43:GT70)</f>
        <v>0.1111111111111111</v>
      </c>
      <c r="GU72" s="90">
        <f>AVERAGE(GU43:GU70)</f>
        <v>0</v>
      </c>
      <c r="GV72" s="91">
        <f>AVERAGE(GV43:GV70)</f>
        <v>3.7037037037037035E-2</v>
      </c>
      <c r="GW72" s="3"/>
      <c r="GX72" s="77" t="s">
        <v>114</v>
      </c>
      <c r="GY72" s="92">
        <f>AVERAGE(GY43:GY70)</f>
        <v>0.10714285714285714</v>
      </c>
      <c r="GZ72" s="92">
        <f>AVERAGE(GZ43:GZ70)</f>
        <v>3.5714285714285712E-2</v>
      </c>
      <c r="HA72" s="92">
        <f>AVERAGE(HA43:HA70)</f>
        <v>0.10714285714285714</v>
      </c>
      <c r="HB72" s="92">
        <f>AVERAGE(HB43:HB70)</f>
        <v>0.5714285714285714</v>
      </c>
      <c r="HC72" s="92">
        <f>AVERAGE(HC43:HC70)</f>
        <v>3.2142857142857144</v>
      </c>
      <c r="HD72" s="92">
        <f>AVERAGE(HD43:HD70)</f>
        <v>4.2857142857142856</v>
      </c>
      <c r="HE72" s="92">
        <f>AVERAGE(HE43:HE70)</f>
        <v>4.6785714285714288</v>
      </c>
      <c r="HF72" s="92">
        <f>AVERAGE(HF43:HF70)</f>
        <v>3.4814814814814814</v>
      </c>
      <c r="HG72" s="92">
        <f>AVERAGE(HG43:HG70)</f>
        <v>0.92592592592592593</v>
      </c>
      <c r="HH72" s="92">
        <f>AVERAGE(HH43:HH70)</f>
        <v>0.14814814814814814</v>
      </c>
      <c r="HI72" s="92">
        <f>AVERAGE(HI43:HI70)</f>
        <v>3.7037037037037035E-2</v>
      </c>
      <c r="HJ72" s="92">
        <f>AVERAGE(HJ43:HJ70)</f>
        <v>7.407407407407407E-2</v>
      </c>
      <c r="HK72" s="3"/>
      <c r="HL72" s="3"/>
      <c r="HM72" s="3"/>
      <c r="HN72" s="3"/>
      <c r="HO72" s="3"/>
      <c r="HP72" s="3"/>
      <c r="HQ72" s="3"/>
      <c r="HR72" s="3"/>
      <c r="HS72" s="3"/>
      <c r="HT72" s="3"/>
      <c r="HU72" s="3"/>
      <c r="HV72" s="3"/>
      <c r="HW72" s="3"/>
      <c r="HX72" s="3"/>
    </row>
    <row r="73" spans="1:232">
      <c r="A73" s="10" t="s">
        <v>181</v>
      </c>
      <c r="B73" s="11">
        <f>AVERAGE(E73:AE73)</f>
        <v>0.59259259259259256</v>
      </c>
      <c r="C73" s="2">
        <f>MIN(E73:AE73)</f>
        <v>0</v>
      </c>
      <c r="D73" s="12">
        <f>MAX(E73:AE73)</f>
        <v>2</v>
      </c>
      <c r="E73" s="13">
        <v>0</v>
      </c>
      <c r="F73" s="13">
        <v>1</v>
      </c>
      <c r="G73" s="13">
        <v>0</v>
      </c>
      <c r="H73" s="13">
        <v>2</v>
      </c>
      <c r="I73" s="13">
        <v>0</v>
      </c>
      <c r="J73" s="13">
        <v>0</v>
      </c>
      <c r="K73" s="13">
        <v>0</v>
      </c>
      <c r="L73" s="13">
        <v>0</v>
      </c>
      <c r="M73" s="13">
        <v>2</v>
      </c>
      <c r="N73" s="13">
        <v>1</v>
      </c>
      <c r="O73" s="13">
        <v>0</v>
      </c>
      <c r="P73" s="13">
        <v>0</v>
      </c>
      <c r="Q73" s="13">
        <v>0</v>
      </c>
      <c r="R73" s="13">
        <v>2</v>
      </c>
      <c r="S73" s="13">
        <v>0</v>
      </c>
      <c r="T73" s="13">
        <v>0</v>
      </c>
      <c r="U73" s="13">
        <v>0</v>
      </c>
      <c r="V73" s="13">
        <v>0</v>
      </c>
      <c r="W73" s="13">
        <v>1</v>
      </c>
      <c r="X73" s="13">
        <v>2</v>
      </c>
      <c r="Y73" s="14">
        <v>1</v>
      </c>
      <c r="Z73" s="13">
        <v>2</v>
      </c>
      <c r="AA73" s="13">
        <v>0</v>
      </c>
      <c r="AB73" s="13">
        <v>1</v>
      </c>
      <c r="AC73" s="13">
        <v>1</v>
      </c>
      <c r="AD73" s="13">
        <v>0</v>
      </c>
      <c r="AE73" s="13">
        <v>0</v>
      </c>
      <c r="AF73" s="13">
        <v>0</v>
      </c>
      <c r="AG73" s="13"/>
      <c r="AH73" s="13"/>
      <c r="CB73" s="3"/>
      <c r="CU73" s="3"/>
      <c r="CV73" s="3"/>
      <c r="CW73" s="3"/>
      <c r="CX73" s="3"/>
      <c r="CY73" s="3"/>
      <c r="CZ73" s="3"/>
      <c r="DA73" s="3"/>
      <c r="DK73" s="31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Z73" s="2"/>
      <c r="FA73" s="93" t="s">
        <v>182</v>
      </c>
      <c r="FB73" s="94" t="s">
        <v>183</v>
      </c>
      <c r="FC73" s="95" t="s">
        <v>184</v>
      </c>
      <c r="FD73" s="96" t="s">
        <v>17</v>
      </c>
      <c r="FE73" s="93" t="s">
        <v>182</v>
      </c>
      <c r="FF73" s="94" t="s">
        <v>183</v>
      </c>
      <c r="FG73" s="95" t="s">
        <v>184</v>
      </c>
      <c r="FH73" s="96" t="s">
        <v>17</v>
      </c>
      <c r="FI73" s="93" t="s">
        <v>182</v>
      </c>
      <c r="FJ73" s="94" t="s">
        <v>183</v>
      </c>
      <c r="FK73" s="95" t="s">
        <v>184</v>
      </c>
      <c r="FL73" s="96" t="s">
        <v>17</v>
      </c>
      <c r="FM73" s="93" t="s">
        <v>182</v>
      </c>
      <c r="FN73" s="94" t="s">
        <v>183</v>
      </c>
      <c r="FO73" s="95" t="s">
        <v>184</v>
      </c>
      <c r="FP73" s="96" t="s">
        <v>17</v>
      </c>
      <c r="FQ73" s="93" t="s">
        <v>182</v>
      </c>
      <c r="FR73" s="94" t="s">
        <v>183</v>
      </c>
      <c r="FS73" s="95" t="s">
        <v>184</v>
      </c>
      <c r="FT73" s="96" t="s">
        <v>17</v>
      </c>
      <c r="FU73" s="93" t="s">
        <v>182</v>
      </c>
      <c r="FV73" s="94" t="s">
        <v>183</v>
      </c>
      <c r="FW73" s="95" t="s">
        <v>184</v>
      </c>
      <c r="FX73" s="96" t="s">
        <v>17</v>
      </c>
      <c r="FY73" s="93" t="s">
        <v>182</v>
      </c>
      <c r="FZ73" s="94" t="s">
        <v>183</v>
      </c>
      <c r="GA73" s="95" t="s">
        <v>184</v>
      </c>
      <c r="GB73" s="96" t="s">
        <v>17</v>
      </c>
      <c r="GC73" s="93" t="s">
        <v>182</v>
      </c>
      <c r="GD73" s="94" t="s">
        <v>183</v>
      </c>
      <c r="GE73" s="95" t="s">
        <v>184</v>
      </c>
      <c r="GF73" s="96" t="s">
        <v>17</v>
      </c>
      <c r="GG73" s="93" t="s">
        <v>182</v>
      </c>
      <c r="GH73" s="94" t="s">
        <v>183</v>
      </c>
      <c r="GI73" s="95" t="s">
        <v>184</v>
      </c>
      <c r="GJ73" s="96" t="s">
        <v>17</v>
      </c>
      <c r="GK73" s="93" t="s">
        <v>182</v>
      </c>
      <c r="GL73" s="94" t="s">
        <v>183</v>
      </c>
      <c r="GM73" s="95" t="s">
        <v>184</v>
      </c>
      <c r="GN73" s="96" t="s">
        <v>17</v>
      </c>
      <c r="GO73" s="93" t="s">
        <v>182</v>
      </c>
      <c r="GP73" s="94" t="s">
        <v>183</v>
      </c>
      <c r="GQ73" s="95" t="s">
        <v>184</v>
      </c>
      <c r="GR73" s="96" t="s">
        <v>17</v>
      </c>
      <c r="GS73" s="93" t="s">
        <v>182</v>
      </c>
      <c r="GT73" s="94" t="s">
        <v>183</v>
      </c>
      <c r="GU73" s="95" t="s">
        <v>184</v>
      </c>
      <c r="GV73" s="96" t="s">
        <v>17</v>
      </c>
      <c r="GW73" s="3"/>
      <c r="GX73" s="3"/>
      <c r="GY73" s="3"/>
      <c r="GZ73" s="3"/>
      <c r="HK73" s="3"/>
      <c r="HL73" s="3"/>
      <c r="HM73" s="3"/>
      <c r="HN73" s="3"/>
      <c r="HO73" s="3"/>
      <c r="HP73" s="3"/>
      <c r="HQ73" s="3"/>
      <c r="HR73" s="3"/>
      <c r="HS73" s="3"/>
      <c r="HT73" s="3"/>
      <c r="HU73" s="3"/>
      <c r="HV73" s="3"/>
      <c r="HW73" s="3"/>
      <c r="HX73" s="3"/>
    </row>
    <row r="74" spans="1:232">
      <c r="A74" s="10" t="s">
        <v>185</v>
      </c>
      <c r="B74" s="11">
        <f>AVERAGE(E74:AE74)</f>
        <v>0.66666666666666663</v>
      </c>
      <c r="C74" s="2">
        <f>MIN(E74:AE74)</f>
        <v>0</v>
      </c>
      <c r="D74" s="12">
        <f>MAX(E74:AE74)</f>
        <v>2</v>
      </c>
      <c r="E74" s="13">
        <v>0</v>
      </c>
      <c r="F74" s="13">
        <v>1</v>
      </c>
      <c r="G74" s="13">
        <v>0</v>
      </c>
      <c r="H74" s="13">
        <v>2</v>
      </c>
      <c r="I74" s="13">
        <v>0</v>
      </c>
      <c r="J74" s="13">
        <v>0</v>
      </c>
      <c r="K74" s="13">
        <v>0</v>
      </c>
      <c r="L74" s="13">
        <v>0</v>
      </c>
      <c r="M74" s="13">
        <v>2</v>
      </c>
      <c r="N74" s="13">
        <v>1</v>
      </c>
      <c r="O74" s="13">
        <v>0</v>
      </c>
      <c r="P74" s="13">
        <v>0</v>
      </c>
      <c r="Q74" s="13">
        <v>0</v>
      </c>
      <c r="R74" s="13">
        <v>2</v>
      </c>
      <c r="S74" s="13">
        <v>0</v>
      </c>
      <c r="T74" s="13">
        <v>0</v>
      </c>
      <c r="U74" s="13">
        <v>0</v>
      </c>
      <c r="V74" s="13">
        <v>0</v>
      </c>
      <c r="W74" s="13">
        <v>1</v>
      </c>
      <c r="X74" s="13">
        <v>2</v>
      </c>
      <c r="Y74" s="21">
        <v>2</v>
      </c>
      <c r="Z74" s="13">
        <v>2</v>
      </c>
      <c r="AA74" s="13">
        <v>0</v>
      </c>
      <c r="AB74" s="13">
        <v>1</v>
      </c>
      <c r="AC74" s="13">
        <v>2</v>
      </c>
      <c r="AD74" s="13">
        <v>0</v>
      </c>
      <c r="AE74" s="13">
        <v>0</v>
      </c>
      <c r="AF74" s="13">
        <v>0</v>
      </c>
      <c r="AG74" s="13"/>
      <c r="AH74" s="13"/>
      <c r="CB74" s="3"/>
      <c r="CU74" s="3"/>
      <c r="CV74" s="3"/>
      <c r="CW74" s="3"/>
      <c r="CX74" s="3"/>
      <c r="CY74" s="3"/>
      <c r="CZ74" s="3"/>
      <c r="DA74" s="3"/>
      <c r="DK74" s="31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HK74" s="3"/>
      <c r="HL74" s="3"/>
      <c r="HM74" s="3"/>
      <c r="HN74" s="3"/>
      <c r="HO74" s="3"/>
      <c r="HP74" s="3"/>
      <c r="HQ74" s="3"/>
      <c r="HR74" s="3"/>
      <c r="HS74" s="3"/>
      <c r="HT74" s="3"/>
      <c r="HU74" s="3"/>
      <c r="HV74" s="3"/>
      <c r="HW74" s="3"/>
      <c r="HX74" s="3"/>
    </row>
    <row r="75" spans="1:232">
      <c r="A75" s="10" t="s">
        <v>186</v>
      </c>
      <c r="B75" s="11">
        <f>AVERAGE(E75:AE75)</f>
        <v>0.66666666666666663</v>
      </c>
      <c r="C75" s="2">
        <f>MIN(E75:AE75)</f>
        <v>0</v>
      </c>
      <c r="D75" s="12">
        <f>MAX(E75:AE75)</f>
        <v>2</v>
      </c>
      <c r="E75" s="13">
        <v>0</v>
      </c>
      <c r="F75" s="13">
        <v>1</v>
      </c>
      <c r="G75" s="13">
        <v>0</v>
      </c>
      <c r="H75" s="13">
        <v>2</v>
      </c>
      <c r="I75" s="13">
        <v>0</v>
      </c>
      <c r="J75" s="13">
        <v>0</v>
      </c>
      <c r="K75" s="13">
        <v>0</v>
      </c>
      <c r="L75" s="13">
        <v>0</v>
      </c>
      <c r="M75" s="13">
        <v>2</v>
      </c>
      <c r="N75" s="13">
        <v>1</v>
      </c>
      <c r="O75" s="13">
        <v>0</v>
      </c>
      <c r="P75" s="13">
        <v>0</v>
      </c>
      <c r="Q75" s="13">
        <v>0</v>
      </c>
      <c r="R75" s="13">
        <v>2</v>
      </c>
      <c r="S75" s="13">
        <v>0</v>
      </c>
      <c r="T75" s="13">
        <v>0</v>
      </c>
      <c r="U75" s="13">
        <v>0</v>
      </c>
      <c r="V75" s="13">
        <v>0</v>
      </c>
      <c r="W75" s="13">
        <v>1</v>
      </c>
      <c r="X75" s="13">
        <v>2</v>
      </c>
      <c r="Y75" s="13">
        <v>2</v>
      </c>
      <c r="Z75" s="13">
        <v>2</v>
      </c>
      <c r="AA75" s="13">
        <v>0</v>
      </c>
      <c r="AB75" s="13">
        <v>1</v>
      </c>
      <c r="AC75" s="13">
        <v>2</v>
      </c>
      <c r="AD75" s="13">
        <v>0</v>
      </c>
      <c r="AE75" s="13">
        <v>0</v>
      </c>
      <c r="AF75" s="13">
        <v>0</v>
      </c>
      <c r="AG75" s="13"/>
      <c r="AH75" s="13"/>
      <c r="CB75" s="3"/>
      <c r="CU75" s="3"/>
      <c r="CV75" s="3"/>
      <c r="CW75" s="3"/>
      <c r="CX75" s="3"/>
      <c r="CY75" s="3"/>
      <c r="CZ75" s="3"/>
      <c r="DA75" s="3"/>
      <c r="DK75" s="31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HK75" s="3"/>
      <c r="HL75" s="3"/>
      <c r="HM75" s="3"/>
      <c r="HN75" s="3"/>
      <c r="HO75" s="3"/>
      <c r="HP75" s="3"/>
      <c r="HQ75" s="3"/>
      <c r="HR75" s="3"/>
      <c r="HS75" s="3"/>
      <c r="HT75" s="3"/>
      <c r="HU75" s="3"/>
      <c r="HV75" s="3"/>
      <c r="HW75" s="3"/>
      <c r="HX75" s="3"/>
    </row>
    <row r="76" spans="1:232">
      <c r="A76" s="10" t="s">
        <v>187</v>
      </c>
      <c r="B76" s="11">
        <f>AVERAGE(E76:AE76)</f>
        <v>0.66666666666666663</v>
      </c>
      <c r="C76" s="2">
        <f>MIN(E76:AE76)</f>
        <v>0</v>
      </c>
      <c r="D76" s="12">
        <f>MAX(E76:AE76)</f>
        <v>2</v>
      </c>
      <c r="E76" s="13">
        <v>0</v>
      </c>
      <c r="F76" s="13">
        <v>1</v>
      </c>
      <c r="G76" s="13">
        <v>0</v>
      </c>
      <c r="H76" s="13">
        <v>2</v>
      </c>
      <c r="I76" s="13">
        <v>0</v>
      </c>
      <c r="J76" s="13">
        <v>0</v>
      </c>
      <c r="K76" s="13">
        <v>0</v>
      </c>
      <c r="L76" s="13">
        <v>0</v>
      </c>
      <c r="M76" s="13">
        <v>2</v>
      </c>
      <c r="N76" s="13">
        <v>1</v>
      </c>
      <c r="O76" s="13">
        <v>0</v>
      </c>
      <c r="P76" s="13">
        <v>0</v>
      </c>
      <c r="Q76" s="13">
        <v>0</v>
      </c>
      <c r="R76" s="13">
        <v>2</v>
      </c>
      <c r="S76" s="13">
        <v>0</v>
      </c>
      <c r="T76" s="13">
        <v>0</v>
      </c>
      <c r="U76" s="13">
        <v>0</v>
      </c>
      <c r="V76" s="13">
        <v>0</v>
      </c>
      <c r="W76" s="13">
        <v>1</v>
      </c>
      <c r="X76" s="13">
        <v>2</v>
      </c>
      <c r="Y76" s="13">
        <v>2</v>
      </c>
      <c r="Z76" s="13">
        <v>2</v>
      </c>
      <c r="AA76" s="13">
        <v>0</v>
      </c>
      <c r="AB76" s="13">
        <v>1</v>
      </c>
      <c r="AC76" s="13">
        <v>2</v>
      </c>
      <c r="AD76" s="13">
        <v>0</v>
      </c>
      <c r="AE76" s="13">
        <v>0</v>
      </c>
      <c r="AF76" s="13">
        <v>0</v>
      </c>
      <c r="AG76" s="13"/>
      <c r="AH76" s="13"/>
      <c r="CB76" s="3"/>
      <c r="CU76" s="3"/>
      <c r="CV76" s="3"/>
      <c r="CW76" s="3"/>
      <c r="CX76" s="3"/>
      <c r="CY76" s="3"/>
      <c r="CZ76" s="3"/>
      <c r="DA76" s="3"/>
      <c r="DK76" s="31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HK76" s="3"/>
      <c r="HL76" s="3"/>
      <c r="HM76" s="3"/>
      <c r="HN76" s="3"/>
      <c r="HO76" s="3"/>
      <c r="HP76" s="3"/>
      <c r="HQ76" s="3"/>
      <c r="HR76" s="3"/>
      <c r="HS76" s="3"/>
      <c r="HT76" s="3"/>
      <c r="HU76" s="3"/>
      <c r="HV76" s="3"/>
      <c r="HW76" s="3"/>
      <c r="HX76" s="3"/>
    </row>
    <row r="77" spans="1:232">
      <c r="A77" s="10" t="s">
        <v>188</v>
      </c>
      <c r="B77" s="11">
        <f>AVERAGE(E77:AE77)</f>
        <v>0.66666666666666663</v>
      </c>
      <c r="C77" s="2">
        <f>MIN(E77:AE77)</f>
        <v>0</v>
      </c>
      <c r="D77" s="12">
        <f>MAX(E77:AE77)</f>
        <v>2</v>
      </c>
      <c r="E77" s="13">
        <v>0</v>
      </c>
      <c r="F77" s="13">
        <v>1</v>
      </c>
      <c r="G77" s="13">
        <v>0</v>
      </c>
      <c r="H77" s="13">
        <v>2</v>
      </c>
      <c r="I77" s="13">
        <v>0</v>
      </c>
      <c r="J77" s="13">
        <v>0</v>
      </c>
      <c r="K77" s="13">
        <v>0</v>
      </c>
      <c r="L77" s="13">
        <v>0</v>
      </c>
      <c r="M77" s="13">
        <v>2</v>
      </c>
      <c r="N77" s="13">
        <v>1</v>
      </c>
      <c r="O77" s="13">
        <v>0</v>
      </c>
      <c r="P77" s="13">
        <v>0</v>
      </c>
      <c r="Q77" s="13">
        <v>0</v>
      </c>
      <c r="R77" s="13">
        <v>2</v>
      </c>
      <c r="S77" s="13">
        <v>0</v>
      </c>
      <c r="T77" s="13">
        <v>0</v>
      </c>
      <c r="U77" s="13">
        <v>0</v>
      </c>
      <c r="V77" s="13">
        <v>0</v>
      </c>
      <c r="W77" s="13">
        <v>1</v>
      </c>
      <c r="X77" s="13">
        <v>2</v>
      </c>
      <c r="Y77" s="13">
        <v>2</v>
      </c>
      <c r="Z77" s="14">
        <v>2</v>
      </c>
      <c r="AA77" s="13">
        <v>0</v>
      </c>
      <c r="AB77" s="13">
        <v>1</v>
      </c>
      <c r="AC77" s="13">
        <v>2</v>
      </c>
      <c r="AD77" s="13">
        <v>0</v>
      </c>
      <c r="AE77" s="13">
        <v>0</v>
      </c>
      <c r="AF77" s="13">
        <v>0</v>
      </c>
      <c r="AG77" s="13"/>
      <c r="AH77" s="13"/>
      <c r="CB77" s="3"/>
      <c r="CU77" s="3"/>
      <c r="CV77" s="3"/>
      <c r="CW77" s="3"/>
      <c r="CX77" s="3"/>
      <c r="CY77" s="3"/>
      <c r="CZ77" s="3"/>
      <c r="DA77" s="3"/>
      <c r="DK77" s="31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HK77" s="3"/>
      <c r="HL77" s="3"/>
      <c r="HM77" s="3"/>
      <c r="HN77" s="3"/>
      <c r="HO77" s="3"/>
      <c r="HP77" s="3"/>
      <c r="HQ77" s="3"/>
      <c r="HR77" s="3"/>
      <c r="HS77" s="3"/>
      <c r="HT77" s="3"/>
      <c r="HU77" s="3"/>
      <c r="HV77" s="3"/>
      <c r="HW77" s="3"/>
      <c r="HX77" s="3"/>
    </row>
    <row r="78" spans="1:232">
      <c r="A78" s="10" t="s">
        <v>189</v>
      </c>
      <c r="B78" s="11">
        <f>AVERAGE(E78:AE78)</f>
        <v>0.70370370370370372</v>
      </c>
      <c r="C78" s="2">
        <f>MIN(E78:AE78)</f>
        <v>0</v>
      </c>
      <c r="D78" s="12">
        <f>MAX(E78:AE78)</f>
        <v>2</v>
      </c>
      <c r="E78" s="13">
        <v>0</v>
      </c>
      <c r="F78" s="13">
        <v>1</v>
      </c>
      <c r="G78" s="13">
        <v>0</v>
      </c>
      <c r="H78" s="13">
        <v>2</v>
      </c>
      <c r="I78" s="13">
        <v>0</v>
      </c>
      <c r="J78" s="13">
        <v>0</v>
      </c>
      <c r="K78" s="13">
        <v>0</v>
      </c>
      <c r="L78" s="13">
        <v>0</v>
      </c>
      <c r="M78" s="13">
        <v>2</v>
      </c>
      <c r="N78" s="13">
        <v>1</v>
      </c>
      <c r="O78" s="13">
        <v>0</v>
      </c>
      <c r="P78" s="21">
        <v>1</v>
      </c>
      <c r="Q78" s="13">
        <v>0</v>
      </c>
      <c r="R78" s="13">
        <v>2</v>
      </c>
      <c r="S78" s="13">
        <v>0</v>
      </c>
      <c r="T78" s="13">
        <v>0</v>
      </c>
      <c r="U78" s="13">
        <v>0</v>
      </c>
      <c r="V78" s="13">
        <v>0</v>
      </c>
      <c r="W78" s="13">
        <v>1</v>
      </c>
      <c r="X78" s="13">
        <v>2</v>
      </c>
      <c r="Y78" s="13">
        <v>2</v>
      </c>
      <c r="Z78" s="13">
        <v>2</v>
      </c>
      <c r="AA78" s="13">
        <v>0</v>
      </c>
      <c r="AB78" s="13">
        <v>1</v>
      </c>
      <c r="AC78" s="13">
        <v>2</v>
      </c>
      <c r="AD78" s="13">
        <v>0</v>
      </c>
      <c r="AE78" s="13">
        <v>0</v>
      </c>
      <c r="AF78" s="13">
        <v>0</v>
      </c>
      <c r="AG78" s="13"/>
      <c r="AH78" s="13"/>
      <c r="CB78" s="3"/>
      <c r="CU78" s="3"/>
      <c r="CV78" s="3"/>
      <c r="CW78" s="3"/>
      <c r="CX78" s="3"/>
      <c r="CY78" s="3"/>
      <c r="CZ78" s="3"/>
      <c r="DA78" s="3"/>
      <c r="DK78" s="31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  <c r="EC78" s="3"/>
      <c r="ED78" s="3"/>
      <c r="EE78" s="3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HK78" s="3"/>
      <c r="HL78" s="3"/>
      <c r="HM78" s="3"/>
      <c r="HN78" s="3"/>
      <c r="HO78" s="3"/>
      <c r="HP78" s="3"/>
      <c r="HQ78" s="3"/>
      <c r="HR78" s="3"/>
      <c r="HS78" s="3"/>
      <c r="HT78" s="3"/>
      <c r="HU78" s="3"/>
      <c r="HV78" s="3"/>
      <c r="HW78" s="3"/>
      <c r="HX78" s="3"/>
    </row>
    <row r="79" spans="1:232">
      <c r="A79" s="10" t="s">
        <v>190</v>
      </c>
      <c r="B79" s="11">
        <f>AVERAGE(E79:AE79)</f>
        <v>0.7407407407407407</v>
      </c>
      <c r="C79" s="2">
        <f>MIN(E79:AE79)</f>
        <v>0</v>
      </c>
      <c r="D79" s="12">
        <f>MAX(E79:AE79)</f>
        <v>2</v>
      </c>
      <c r="E79" s="13">
        <v>0</v>
      </c>
      <c r="F79" s="21">
        <v>2</v>
      </c>
      <c r="G79" s="13">
        <v>0</v>
      </c>
      <c r="H79" s="13">
        <v>2</v>
      </c>
      <c r="I79" s="13">
        <v>0</v>
      </c>
      <c r="J79" s="13">
        <v>0</v>
      </c>
      <c r="K79" s="13">
        <v>0</v>
      </c>
      <c r="L79" s="13">
        <v>0</v>
      </c>
      <c r="M79" s="13">
        <v>2</v>
      </c>
      <c r="N79" s="13">
        <v>1</v>
      </c>
      <c r="O79" s="13">
        <v>0</v>
      </c>
      <c r="P79" s="13">
        <v>1</v>
      </c>
      <c r="Q79" s="13">
        <v>0</v>
      </c>
      <c r="R79" s="13">
        <v>2</v>
      </c>
      <c r="S79" s="13">
        <v>0</v>
      </c>
      <c r="T79" s="13">
        <v>0</v>
      </c>
      <c r="U79" s="13">
        <v>0</v>
      </c>
      <c r="V79" s="13">
        <v>0</v>
      </c>
      <c r="W79" s="13">
        <v>1</v>
      </c>
      <c r="X79" s="13">
        <v>2</v>
      </c>
      <c r="Y79" s="13">
        <v>2</v>
      </c>
      <c r="Z79" s="13">
        <v>2</v>
      </c>
      <c r="AA79" s="13">
        <v>0</v>
      </c>
      <c r="AB79" s="13">
        <v>1</v>
      </c>
      <c r="AC79" s="13">
        <v>2</v>
      </c>
      <c r="AD79" s="13">
        <v>0</v>
      </c>
      <c r="AE79" s="13">
        <v>0</v>
      </c>
      <c r="AF79" s="13">
        <v>0</v>
      </c>
      <c r="AG79" s="13"/>
      <c r="AH79" s="13"/>
      <c r="CB79" s="3"/>
      <c r="CU79" s="3"/>
      <c r="CV79" s="3"/>
      <c r="CW79" s="3"/>
      <c r="CX79" s="3"/>
      <c r="CY79" s="3"/>
      <c r="CZ79" s="3"/>
      <c r="DA79" s="3"/>
      <c r="DK79" s="31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HK79" s="3"/>
      <c r="HL79" s="3"/>
      <c r="HM79" s="3"/>
      <c r="HN79" s="3"/>
      <c r="HO79" s="3"/>
      <c r="HP79" s="3"/>
      <c r="HQ79" s="3"/>
      <c r="HR79" s="3"/>
      <c r="HS79" s="3"/>
      <c r="HT79" s="3"/>
      <c r="HU79" s="3"/>
      <c r="HV79" s="3"/>
      <c r="HW79" s="3"/>
      <c r="HX79" s="3"/>
    </row>
    <row r="80" spans="1:232">
      <c r="A80" s="10" t="s">
        <v>191</v>
      </c>
      <c r="B80" s="11">
        <f>AVERAGE(E80:AE80)</f>
        <v>0.7407407407407407</v>
      </c>
      <c r="C80" s="2">
        <f>MIN(E80:AE80)</f>
        <v>0</v>
      </c>
      <c r="D80" s="12">
        <f>MAX(E80:AE80)</f>
        <v>2</v>
      </c>
      <c r="E80" s="13">
        <v>0</v>
      </c>
      <c r="F80" s="13">
        <v>2</v>
      </c>
      <c r="G80" s="13">
        <v>0</v>
      </c>
      <c r="H80" s="13">
        <v>2</v>
      </c>
      <c r="I80" s="13">
        <v>0</v>
      </c>
      <c r="J80" s="13">
        <v>0</v>
      </c>
      <c r="K80" s="13">
        <v>0</v>
      </c>
      <c r="L80" s="13">
        <v>0</v>
      </c>
      <c r="M80" s="13">
        <v>2</v>
      </c>
      <c r="N80" s="13">
        <v>1</v>
      </c>
      <c r="O80" s="13">
        <v>0</v>
      </c>
      <c r="P80" s="13">
        <v>1</v>
      </c>
      <c r="Q80" s="13">
        <v>0</v>
      </c>
      <c r="R80" s="13">
        <v>2</v>
      </c>
      <c r="S80" s="13">
        <v>0</v>
      </c>
      <c r="T80" s="13">
        <v>0</v>
      </c>
      <c r="U80" s="13">
        <v>0</v>
      </c>
      <c r="V80" s="13">
        <v>0</v>
      </c>
      <c r="W80" s="13">
        <v>1</v>
      </c>
      <c r="X80" s="13">
        <v>2</v>
      </c>
      <c r="Y80" s="13">
        <v>2</v>
      </c>
      <c r="Z80" s="13">
        <v>2</v>
      </c>
      <c r="AA80" s="13">
        <v>0</v>
      </c>
      <c r="AB80" s="13">
        <v>1</v>
      </c>
      <c r="AC80" s="13">
        <v>2</v>
      </c>
      <c r="AD80" s="13">
        <v>0</v>
      </c>
      <c r="AE80" s="13">
        <v>0</v>
      </c>
      <c r="AF80" s="13">
        <v>0</v>
      </c>
      <c r="AG80" s="13"/>
      <c r="AH80" s="13"/>
      <c r="CB80" s="3"/>
      <c r="CU80" s="3"/>
      <c r="CV80" s="3"/>
      <c r="CW80" s="3"/>
      <c r="CX80" s="3"/>
      <c r="CY80" s="3"/>
      <c r="CZ80" s="3"/>
      <c r="DA80" s="3"/>
      <c r="DK80" s="31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  <c r="EC80" s="3"/>
      <c r="ED80" s="3"/>
      <c r="EE80" s="3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HK80" s="3"/>
      <c r="HL80" s="3"/>
      <c r="HM80" s="3"/>
      <c r="HN80" s="3"/>
      <c r="HO80" s="3"/>
      <c r="HP80" s="3"/>
      <c r="HQ80" s="3"/>
      <c r="HR80" s="3"/>
      <c r="HS80" s="3"/>
      <c r="HT80" s="3"/>
      <c r="HU80" s="3"/>
      <c r="HV80" s="3"/>
      <c r="HW80" s="3"/>
      <c r="HX80" s="3"/>
    </row>
    <row r="81" spans="1:232">
      <c r="A81" s="10" t="s">
        <v>192</v>
      </c>
      <c r="B81" s="11">
        <f>AVERAGE(E81:AE81)</f>
        <v>0.7407407407407407</v>
      </c>
      <c r="C81" s="2">
        <f>MIN(E81:AE81)</f>
        <v>0</v>
      </c>
      <c r="D81" s="12">
        <f>MAX(E81:AE81)</f>
        <v>2</v>
      </c>
      <c r="E81" s="13">
        <v>0</v>
      </c>
      <c r="F81" s="13">
        <v>2</v>
      </c>
      <c r="G81" s="13">
        <v>0</v>
      </c>
      <c r="H81" s="13">
        <v>2</v>
      </c>
      <c r="I81" s="13">
        <v>0</v>
      </c>
      <c r="J81" s="13">
        <v>0</v>
      </c>
      <c r="K81" s="13">
        <v>0</v>
      </c>
      <c r="L81" s="13">
        <v>0</v>
      </c>
      <c r="M81" s="13">
        <v>2</v>
      </c>
      <c r="N81" s="13">
        <v>1</v>
      </c>
      <c r="O81" s="13">
        <v>0</v>
      </c>
      <c r="P81" s="13">
        <v>1</v>
      </c>
      <c r="Q81" s="13">
        <v>0</v>
      </c>
      <c r="R81" s="13">
        <v>2</v>
      </c>
      <c r="S81" s="13">
        <v>0</v>
      </c>
      <c r="T81" s="13">
        <v>0</v>
      </c>
      <c r="U81" s="13">
        <v>0</v>
      </c>
      <c r="V81" s="13">
        <v>0</v>
      </c>
      <c r="W81" s="13">
        <v>1</v>
      </c>
      <c r="X81" s="13">
        <v>2</v>
      </c>
      <c r="Y81" s="13">
        <v>2</v>
      </c>
      <c r="Z81" s="13">
        <v>2</v>
      </c>
      <c r="AA81" s="13">
        <v>0</v>
      </c>
      <c r="AB81" s="13">
        <v>1</v>
      </c>
      <c r="AC81" s="13">
        <v>2</v>
      </c>
      <c r="AD81" s="13">
        <v>0</v>
      </c>
      <c r="AE81" s="13">
        <v>0</v>
      </c>
      <c r="AF81" s="13">
        <v>0</v>
      </c>
      <c r="AG81" s="13"/>
      <c r="AH81" s="13"/>
      <c r="CB81" s="3"/>
      <c r="CU81" s="3"/>
      <c r="CV81" s="3"/>
      <c r="CW81" s="3"/>
      <c r="CX81" s="3"/>
      <c r="CY81" s="3"/>
      <c r="CZ81" s="3"/>
      <c r="DA81" s="3"/>
      <c r="DK81" s="31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HK81" s="3"/>
      <c r="HL81" s="3"/>
      <c r="HM81" s="3"/>
      <c r="HN81" s="3"/>
      <c r="HO81" s="3"/>
      <c r="HP81" s="3"/>
      <c r="HQ81" s="3"/>
      <c r="HR81" s="3"/>
      <c r="HS81" s="3"/>
      <c r="HT81" s="3"/>
      <c r="HU81" s="3"/>
      <c r="HV81" s="3"/>
      <c r="HW81" s="3"/>
      <c r="HX81" s="3"/>
    </row>
    <row r="82" spans="1:232">
      <c r="A82" s="10" t="s">
        <v>193</v>
      </c>
      <c r="B82" s="11">
        <f>AVERAGE(E82:AE82)</f>
        <v>0.7407407407407407</v>
      </c>
      <c r="C82" s="2">
        <f>MIN(E82:AE82)</f>
        <v>0</v>
      </c>
      <c r="D82" s="12">
        <f>MAX(E82:AE82)</f>
        <v>2</v>
      </c>
      <c r="E82" s="13">
        <v>0</v>
      </c>
      <c r="F82" s="13">
        <v>2</v>
      </c>
      <c r="G82" s="13">
        <v>0</v>
      </c>
      <c r="H82" s="13">
        <v>2</v>
      </c>
      <c r="I82" s="13">
        <v>0</v>
      </c>
      <c r="J82" s="13">
        <v>0</v>
      </c>
      <c r="K82" s="13">
        <v>0</v>
      </c>
      <c r="L82" s="13">
        <v>0</v>
      </c>
      <c r="M82" s="13">
        <v>2</v>
      </c>
      <c r="N82" s="14">
        <v>1</v>
      </c>
      <c r="O82" s="13">
        <v>0</v>
      </c>
      <c r="P82" s="13">
        <v>1</v>
      </c>
      <c r="Q82" s="13">
        <v>0</v>
      </c>
      <c r="R82" s="13">
        <v>2</v>
      </c>
      <c r="S82" s="13">
        <v>0</v>
      </c>
      <c r="T82" s="13">
        <v>0</v>
      </c>
      <c r="U82" s="13">
        <v>0</v>
      </c>
      <c r="V82" s="13">
        <v>0</v>
      </c>
      <c r="W82" s="13">
        <v>1</v>
      </c>
      <c r="X82" s="13">
        <v>2</v>
      </c>
      <c r="Y82" s="13">
        <v>2</v>
      </c>
      <c r="Z82" s="13">
        <v>2</v>
      </c>
      <c r="AA82" s="13">
        <v>0</v>
      </c>
      <c r="AB82" s="13">
        <v>1</v>
      </c>
      <c r="AC82" s="13">
        <v>2</v>
      </c>
      <c r="AD82" s="13">
        <v>0</v>
      </c>
      <c r="AE82" s="13">
        <v>0</v>
      </c>
      <c r="AF82" s="13">
        <v>0</v>
      </c>
      <c r="AG82" s="13"/>
      <c r="AH82" s="13"/>
      <c r="CB82" s="3"/>
      <c r="CU82" s="3"/>
      <c r="CV82" s="3"/>
      <c r="CW82" s="3"/>
      <c r="CX82" s="3"/>
      <c r="CY82" s="3"/>
      <c r="CZ82" s="3"/>
      <c r="DA82" s="3"/>
      <c r="DK82" s="31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HK82" s="3"/>
      <c r="HL82" s="3"/>
      <c r="HM82" s="3"/>
      <c r="HN82" s="3"/>
      <c r="HO82" s="3"/>
      <c r="HP82" s="3"/>
      <c r="HQ82" s="3"/>
      <c r="HR82" s="3"/>
      <c r="HS82" s="3"/>
      <c r="HT82" s="3"/>
      <c r="HU82" s="3"/>
      <c r="HV82" s="3"/>
      <c r="HW82" s="3"/>
      <c r="HX82" s="3"/>
    </row>
    <row r="83" spans="1:232">
      <c r="A83" s="10" t="s">
        <v>194</v>
      </c>
      <c r="B83" s="11">
        <f>AVERAGE(E83:AE83)</f>
        <v>0.7407407407407407</v>
      </c>
      <c r="C83" s="2">
        <f>MIN(E83:AE83)</f>
        <v>0</v>
      </c>
      <c r="D83" s="12">
        <f>MAX(E83:AE83)</f>
        <v>2</v>
      </c>
      <c r="E83" s="13">
        <v>0</v>
      </c>
      <c r="F83" s="13">
        <v>2</v>
      </c>
      <c r="G83" s="13">
        <v>0</v>
      </c>
      <c r="H83" s="13">
        <v>2</v>
      </c>
      <c r="I83" s="13">
        <v>0</v>
      </c>
      <c r="J83" s="13">
        <v>0</v>
      </c>
      <c r="K83" s="13">
        <v>0</v>
      </c>
      <c r="L83" s="13">
        <v>0</v>
      </c>
      <c r="M83" s="13">
        <v>2</v>
      </c>
      <c r="N83" s="13">
        <v>1</v>
      </c>
      <c r="O83" s="13">
        <v>0</v>
      </c>
      <c r="P83" s="13">
        <v>1</v>
      </c>
      <c r="Q83" s="13">
        <v>0</v>
      </c>
      <c r="R83" s="13">
        <v>2</v>
      </c>
      <c r="S83" s="13">
        <v>0</v>
      </c>
      <c r="T83" s="13">
        <v>0</v>
      </c>
      <c r="U83" s="13">
        <v>0</v>
      </c>
      <c r="V83" s="13">
        <v>0</v>
      </c>
      <c r="W83" s="13">
        <v>1</v>
      </c>
      <c r="X83" s="13">
        <v>2</v>
      </c>
      <c r="Y83" s="13">
        <v>2</v>
      </c>
      <c r="Z83" s="13">
        <v>2</v>
      </c>
      <c r="AA83" s="13">
        <v>0</v>
      </c>
      <c r="AB83" s="13">
        <v>1</v>
      </c>
      <c r="AC83" s="13">
        <v>2</v>
      </c>
      <c r="AD83" s="13">
        <v>0</v>
      </c>
      <c r="AE83" s="13">
        <v>0</v>
      </c>
      <c r="AF83" s="13">
        <v>0</v>
      </c>
      <c r="AG83" s="13"/>
      <c r="AH83" s="13"/>
      <c r="CB83" s="3"/>
      <c r="CU83" s="3"/>
      <c r="CV83" s="3"/>
      <c r="CW83" s="3"/>
      <c r="CX83" s="3"/>
      <c r="CY83" s="3"/>
      <c r="CZ83" s="3"/>
      <c r="DA83" s="3"/>
      <c r="DK83" s="31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HK83" s="3"/>
      <c r="HL83" s="3"/>
      <c r="HM83" s="3"/>
      <c r="HN83" s="3"/>
      <c r="HO83" s="3"/>
      <c r="HP83" s="3"/>
      <c r="HQ83" s="3"/>
      <c r="HR83" s="3"/>
      <c r="HS83" s="3"/>
      <c r="HT83" s="3"/>
      <c r="HU83" s="3"/>
      <c r="HV83" s="3"/>
      <c r="HW83" s="3"/>
      <c r="HX83" s="3"/>
    </row>
    <row r="84" spans="1:232">
      <c r="A84" s="10" t="s">
        <v>195</v>
      </c>
      <c r="B84" s="11">
        <f>AVERAGE(E84:AE84)</f>
        <v>0.7407407407407407</v>
      </c>
      <c r="C84" s="2">
        <f>MIN(E84:AE84)</f>
        <v>0</v>
      </c>
      <c r="D84" s="12">
        <f>MAX(E84:AE84)</f>
        <v>2</v>
      </c>
      <c r="E84" s="13">
        <v>0</v>
      </c>
      <c r="F84" s="13">
        <v>2</v>
      </c>
      <c r="G84" s="13">
        <v>0</v>
      </c>
      <c r="H84" s="13">
        <v>2</v>
      </c>
      <c r="I84" s="13">
        <v>0</v>
      </c>
      <c r="J84" s="13">
        <v>0</v>
      </c>
      <c r="K84" s="13">
        <v>0</v>
      </c>
      <c r="L84" s="13">
        <v>0</v>
      </c>
      <c r="M84" s="13">
        <v>2</v>
      </c>
      <c r="N84" s="13">
        <v>1</v>
      </c>
      <c r="O84" s="13">
        <v>0</v>
      </c>
      <c r="P84" s="13">
        <v>1</v>
      </c>
      <c r="Q84" s="13">
        <v>0</v>
      </c>
      <c r="R84" s="13">
        <v>2</v>
      </c>
      <c r="S84" s="13">
        <v>0</v>
      </c>
      <c r="T84" s="13">
        <v>0</v>
      </c>
      <c r="U84" s="13">
        <v>0</v>
      </c>
      <c r="V84" s="13">
        <v>0</v>
      </c>
      <c r="W84" s="13">
        <v>1</v>
      </c>
      <c r="X84" s="13">
        <v>2</v>
      </c>
      <c r="Y84" s="13">
        <v>2</v>
      </c>
      <c r="Z84" s="13">
        <v>2</v>
      </c>
      <c r="AA84" s="13">
        <v>0</v>
      </c>
      <c r="AB84" s="13">
        <v>1</v>
      </c>
      <c r="AC84" s="13">
        <v>2</v>
      </c>
      <c r="AD84" s="13">
        <v>0</v>
      </c>
      <c r="AE84" s="13">
        <v>0</v>
      </c>
      <c r="AF84" s="13">
        <v>0</v>
      </c>
      <c r="AG84" s="13"/>
      <c r="AH84" s="13"/>
      <c r="CB84" s="3"/>
      <c r="CU84" s="3"/>
      <c r="CV84" s="3"/>
      <c r="CW84" s="3"/>
      <c r="CX84" s="3"/>
      <c r="CY84" s="3"/>
      <c r="CZ84" s="3"/>
      <c r="DA84" s="3"/>
      <c r="DK84" s="31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HK84" s="3"/>
      <c r="HL84" s="3"/>
      <c r="HM84" s="3"/>
      <c r="HN84" s="3"/>
      <c r="HO84" s="3"/>
      <c r="HP84" s="3"/>
      <c r="HQ84" s="3"/>
      <c r="HR84" s="3"/>
      <c r="HS84" s="3"/>
      <c r="HT84" s="3"/>
      <c r="HU84" s="3"/>
      <c r="HV84" s="3"/>
      <c r="HW84" s="3"/>
      <c r="HX84" s="3"/>
    </row>
    <row r="85" spans="1:232">
      <c r="A85" s="10" t="s">
        <v>196</v>
      </c>
      <c r="B85" s="11">
        <f>AVERAGE(E85:AE85)</f>
        <v>0.7407407407407407</v>
      </c>
      <c r="C85" s="2">
        <f>MIN(E85:AE85)</f>
        <v>0</v>
      </c>
      <c r="D85" s="12">
        <f>MAX(E85:AE85)</f>
        <v>2</v>
      </c>
      <c r="E85" s="13">
        <v>0</v>
      </c>
      <c r="F85" s="13">
        <v>2</v>
      </c>
      <c r="G85" s="13">
        <v>0</v>
      </c>
      <c r="H85" s="13">
        <v>2</v>
      </c>
      <c r="I85" s="13">
        <v>0</v>
      </c>
      <c r="J85" s="13">
        <v>0</v>
      </c>
      <c r="K85" s="13">
        <v>0</v>
      </c>
      <c r="L85" s="13">
        <v>0</v>
      </c>
      <c r="M85" s="13">
        <v>2</v>
      </c>
      <c r="N85" s="13">
        <v>1</v>
      </c>
      <c r="O85" s="13">
        <v>0</v>
      </c>
      <c r="P85" s="13">
        <v>1</v>
      </c>
      <c r="Q85" s="13">
        <v>0</v>
      </c>
      <c r="R85" s="13">
        <v>2</v>
      </c>
      <c r="S85" s="13">
        <v>0</v>
      </c>
      <c r="T85" s="13">
        <v>0</v>
      </c>
      <c r="U85" s="13">
        <v>0</v>
      </c>
      <c r="V85" s="13">
        <v>0</v>
      </c>
      <c r="W85" s="13">
        <v>1</v>
      </c>
      <c r="X85" s="13">
        <v>2</v>
      </c>
      <c r="Y85" s="13">
        <v>2</v>
      </c>
      <c r="Z85" s="13">
        <v>2</v>
      </c>
      <c r="AA85" s="13">
        <v>0</v>
      </c>
      <c r="AB85" s="13">
        <v>1</v>
      </c>
      <c r="AC85" s="13">
        <v>2</v>
      </c>
      <c r="AD85" s="13">
        <v>0</v>
      </c>
      <c r="AE85" s="13">
        <v>0</v>
      </c>
      <c r="AF85" s="13">
        <v>0</v>
      </c>
      <c r="AG85" s="13"/>
      <c r="AH85" s="13"/>
      <c r="CB85" s="3"/>
      <c r="CU85" s="3"/>
      <c r="CV85" s="3"/>
      <c r="CW85" s="3"/>
      <c r="CX85" s="3"/>
      <c r="CY85" s="3"/>
      <c r="CZ85" s="3"/>
      <c r="DA85" s="3"/>
      <c r="DK85" s="31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HK85" s="3"/>
      <c r="HL85" s="3"/>
      <c r="HM85" s="3"/>
      <c r="HN85" s="3"/>
      <c r="HO85" s="3"/>
      <c r="HP85" s="3"/>
      <c r="HQ85" s="3"/>
      <c r="HR85" s="3"/>
      <c r="HS85" s="3"/>
      <c r="HT85" s="3"/>
      <c r="HU85" s="3"/>
      <c r="HV85" s="3"/>
      <c r="HW85" s="3"/>
      <c r="HX85" s="3"/>
    </row>
    <row r="86" spans="1:232">
      <c r="A86" s="10" t="s">
        <v>197</v>
      </c>
      <c r="B86" s="11">
        <f>AVERAGE(E86:AE86)</f>
        <v>0.7407407407407407</v>
      </c>
      <c r="C86" s="2">
        <f>MIN(E86:AE86)</f>
        <v>0</v>
      </c>
      <c r="D86" s="12">
        <f>MAX(E86:AE86)</f>
        <v>2</v>
      </c>
      <c r="E86" s="13">
        <v>0</v>
      </c>
      <c r="F86" s="13">
        <v>2</v>
      </c>
      <c r="G86" s="13">
        <v>0</v>
      </c>
      <c r="H86" s="13">
        <v>2</v>
      </c>
      <c r="I86" s="13">
        <v>0</v>
      </c>
      <c r="J86" s="13">
        <v>0</v>
      </c>
      <c r="K86" s="13">
        <v>0</v>
      </c>
      <c r="L86" s="13">
        <v>0</v>
      </c>
      <c r="M86" s="13">
        <v>2</v>
      </c>
      <c r="N86" s="13">
        <v>1</v>
      </c>
      <c r="O86" s="13">
        <v>0</v>
      </c>
      <c r="P86" s="13">
        <v>1</v>
      </c>
      <c r="Q86" s="13">
        <v>0</v>
      </c>
      <c r="R86" s="13">
        <v>2</v>
      </c>
      <c r="S86" s="13">
        <v>0</v>
      </c>
      <c r="T86" s="13">
        <v>0</v>
      </c>
      <c r="U86" s="13">
        <v>0</v>
      </c>
      <c r="V86" s="13">
        <v>0</v>
      </c>
      <c r="W86" s="13">
        <v>1</v>
      </c>
      <c r="X86" s="13">
        <v>2</v>
      </c>
      <c r="Y86" s="13">
        <v>2</v>
      </c>
      <c r="Z86" s="13">
        <v>2</v>
      </c>
      <c r="AA86" s="13">
        <v>0</v>
      </c>
      <c r="AB86" s="13">
        <v>1</v>
      </c>
      <c r="AC86" s="13">
        <v>2</v>
      </c>
      <c r="AD86" s="13">
        <v>0</v>
      </c>
      <c r="AE86" s="13">
        <v>0</v>
      </c>
      <c r="AF86" s="13">
        <v>0</v>
      </c>
      <c r="AG86" s="13"/>
      <c r="AH86" s="13"/>
      <c r="CB86" s="3"/>
      <c r="CU86" s="3"/>
      <c r="CV86" s="3"/>
      <c r="CW86" s="3"/>
      <c r="CX86" s="3"/>
      <c r="CY86" s="3"/>
      <c r="CZ86" s="3"/>
      <c r="DA86" s="3"/>
      <c r="DK86" s="31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HK86" s="3"/>
      <c r="HL86" s="3"/>
      <c r="HM86" s="3"/>
      <c r="HN86" s="3"/>
      <c r="HO86" s="3"/>
      <c r="HP86" s="3"/>
      <c r="HQ86" s="3"/>
      <c r="HR86" s="3"/>
      <c r="HS86" s="3"/>
      <c r="HT86" s="3"/>
      <c r="HU86" s="3"/>
      <c r="HV86" s="3"/>
      <c r="HW86" s="3"/>
      <c r="HX86" s="3"/>
    </row>
    <row r="87" spans="1:232">
      <c r="A87" s="10" t="s">
        <v>198</v>
      </c>
      <c r="B87" s="11">
        <f>AVERAGE(E87:AE87)</f>
        <v>0.77777777777777779</v>
      </c>
      <c r="C87" s="2">
        <f>MIN(E87:AE87)</f>
        <v>0</v>
      </c>
      <c r="D87" s="12">
        <f>MAX(E87:AE87)</f>
        <v>2</v>
      </c>
      <c r="E87" s="13">
        <v>0</v>
      </c>
      <c r="F87" s="13">
        <v>2</v>
      </c>
      <c r="G87" s="13">
        <v>0</v>
      </c>
      <c r="H87" s="13">
        <v>2</v>
      </c>
      <c r="I87" s="13">
        <v>0</v>
      </c>
      <c r="J87" s="13">
        <v>0</v>
      </c>
      <c r="K87" s="13">
        <v>0</v>
      </c>
      <c r="L87" s="13">
        <v>0</v>
      </c>
      <c r="M87" s="13">
        <v>2</v>
      </c>
      <c r="N87" s="13">
        <v>1</v>
      </c>
      <c r="O87" s="97">
        <v>1</v>
      </c>
      <c r="P87" s="13">
        <v>1</v>
      </c>
      <c r="Q87" s="13">
        <v>0</v>
      </c>
      <c r="R87" s="13">
        <v>2</v>
      </c>
      <c r="S87" s="13">
        <v>0</v>
      </c>
      <c r="T87" s="13">
        <v>0</v>
      </c>
      <c r="U87" s="13">
        <v>0</v>
      </c>
      <c r="V87" s="13">
        <v>0</v>
      </c>
      <c r="W87" s="13">
        <v>1</v>
      </c>
      <c r="X87" s="13">
        <v>2</v>
      </c>
      <c r="Y87" s="13">
        <v>2</v>
      </c>
      <c r="Z87" s="13">
        <v>2</v>
      </c>
      <c r="AA87" s="13">
        <v>0</v>
      </c>
      <c r="AB87" s="13">
        <v>1</v>
      </c>
      <c r="AC87" s="13">
        <v>2</v>
      </c>
      <c r="AD87" s="13">
        <v>0</v>
      </c>
      <c r="AE87" s="13">
        <v>0</v>
      </c>
      <c r="AF87" s="13">
        <v>0</v>
      </c>
      <c r="AG87" s="13"/>
      <c r="AH87" s="13"/>
      <c r="CB87" s="3"/>
      <c r="CU87" s="3"/>
      <c r="CV87" s="3"/>
      <c r="CW87" s="3"/>
      <c r="CX87" s="3"/>
      <c r="CY87" s="3"/>
      <c r="CZ87" s="3"/>
      <c r="DA87" s="3"/>
      <c r="DK87" s="31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HK87" s="3"/>
      <c r="HL87" s="3"/>
      <c r="HM87" s="3"/>
      <c r="HN87" s="3"/>
      <c r="HO87" s="3"/>
      <c r="HP87" s="3"/>
      <c r="HQ87" s="3"/>
      <c r="HR87" s="3"/>
      <c r="HS87" s="3"/>
      <c r="HT87" s="3"/>
      <c r="HU87" s="3"/>
      <c r="HV87" s="3"/>
      <c r="HW87" s="3"/>
      <c r="HX87" s="3"/>
    </row>
    <row r="88" spans="1:232">
      <c r="A88" s="10" t="s">
        <v>199</v>
      </c>
      <c r="B88" s="11">
        <f>AVERAGE(E88:AE88)</f>
        <v>0.77777777777777779</v>
      </c>
      <c r="C88" s="2">
        <f>MIN(E88:AE88)</f>
        <v>0</v>
      </c>
      <c r="D88" s="12">
        <f>MAX(E88:AE88)</f>
        <v>2</v>
      </c>
      <c r="E88" s="13">
        <v>0</v>
      </c>
      <c r="F88" s="13">
        <v>2</v>
      </c>
      <c r="G88" s="13">
        <v>0</v>
      </c>
      <c r="H88" s="13">
        <v>2</v>
      </c>
      <c r="I88" s="13">
        <v>0</v>
      </c>
      <c r="J88" s="13">
        <v>0</v>
      </c>
      <c r="K88" s="13">
        <v>0</v>
      </c>
      <c r="L88" s="13">
        <v>0</v>
      </c>
      <c r="M88" s="13">
        <v>2</v>
      </c>
      <c r="N88" s="13">
        <v>1</v>
      </c>
      <c r="O88" s="14">
        <v>1</v>
      </c>
      <c r="P88" s="13">
        <v>1</v>
      </c>
      <c r="Q88" s="13">
        <v>0</v>
      </c>
      <c r="R88" s="13">
        <v>2</v>
      </c>
      <c r="S88" s="13">
        <v>0</v>
      </c>
      <c r="T88" s="13">
        <v>0</v>
      </c>
      <c r="U88" s="13">
        <v>0</v>
      </c>
      <c r="V88" s="13">
        <v>0</v>
      </c>
      <c r="W88" s="13">
        <v>1</v>
      </c>
      <c r="X88" s="13">
        <v>2</v>
      </c>
      <c r="Y88" s="13">
        <v>2</v>
      </c>
      <c r="Z88" s="13">
        <v>2</v>
      </c>
      <c r="AA88" s="13">
        <v>0</v>
      </c>
      <c r="AB88" s="13">
        <v>1</v>
      </c>
      <c r="AC88" s="13">
        <v>2</v>
      </c>
      <c r="AD88" s="13">
        <v>0</v>
      </c>
      <c r="AE88" s="13">
        <v>0</v>
      </c>
      <c r="AF88" s="13">
        <v>0</v>
      </c>
      <c r="AG88" s="13"/>
      <c r="AH88" s="13"/>
      <c r="CB88" s="3"/>
      <c r="CU88" s="3"/>
      <c r="CV88" s="3"/>
      <c r="CW88" s="3"/>
      <c r="CX88" s="3"/>
      <c r="CY88" s="3"/>
      <c r="CZ88" s="3"/>
      <c r="DA88" s="3"/>
      <c r="DK88" s="31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HK88" s="3"/>
      <c r="HL88" s="3"/>
      <c r="HM88" s="3"/>
      <c r="HN88" s="3"/>
      <c r="HO88" s="3"/>
      <c r="HP88" s="3"/>
      <c r="HQ88" s="3"/>
      <c r="HR88" s="3"/>
      <c r="HS88" s="3"/>
      <c r="HT88" s="3"/>
      <c r="HU88" s="3"/>
      <c r="HV88" s="3"/>
      <c r="HW88" s="3"/>
      <c r="HX88" s="3"/>
    </row>
    <row r="89" spans="1:232">
      <c r="A89" s="10" t="s">
        <v>200</v>
      </c>
      <c r="B89" s="11">
        <f>AVERAGE(E89:AE89)</f>
        <v>0.77777777777777779</v>
      </c>
      <c r="C89" s="2">
        <f>MIN(E89:AE89)</f>
        <v>0</v>
      </c>
      <c r="D89" s="12">
        <f>MAX(E89:AE89)</f>
        <v>2</v>
      </c>
      <c r="E89" s="13">
        <v>0</v>
      </c>
      <c r="F89" s="13">
        <v>2</v>
      </c>
      <c r="G89" s="13">
        <v>0</v>
      </c>
      <c r="H89" s="13">
        <v>2</v>
      </c>
      <c r="I89" s="13">
        <v>0</v>
      </c>
      <c r="J89" s="13">
        <v>0</v>
      </c>
      <c r="K89" s="13">
        <v>0</v>
      </c>
      <c r="L89" s="13">
        <v>0</v>
      </c>
      <c r="M89" s="13">
        <v>2</v>
      </c>
      <c r="N89" s="13">
        <v>1</v>
      </c>
      <c r="O89" s="13">
        <v>1</v>
      </c>
      <c r="P89" s="13">
        <v>1</v>
      </c>
      <c r="Q89" s="13">
        <v>0</v>
      </c>
      <c r="R89" s="13">
        <v>2</v>
      </c>
      <c r="S89" s="13">
        <v>0</v>
      </c>
      <c r="T89" s="13">
        <v>0</v>
      </c>
      <c r="U89" s="13">
        <v>0</v>
      </c>
      <c r="V89" s="13">
        <v>0</v>
      </c>
      <c r="W89" s="13">
        <v>1</v>
      </c>
      <c r="X89" s="13">
        <v>2</v>
      </c>
      <c r="Y89" s="13">
        <v>2</v>
      </c>
      <c r="Z89" s="13">
        <v>2</v>
      </c>
      <c r="AA89" s="13">
        <v>0</v>
      </c>
      <c r="AB89" s="13">
        <v>1</v>
      </c>
      <c r="AC89" s="13">
        <v>2</v>
      </c>
      <c r="AD89" s="13">
        <v>0</v>
      </c>
      <c r="AE89" s="13">
        <v>0</v>
      </c>
      <c r="AF89" s="13">
        <v>0</v>
      </c>
      <c r="AG89" s="13"/>
      <c r="AH89" s="13"/>
      <c r="CB89" s="3"/>
      <c r="CU89" s="3"/>
      <c r="CV89" s="3"/>
      <c r="CW89" s="3"/>
      <c r="CX89" s="3"/>
      <c r="CY89" s="3"/>
      <c r="CZ89" s="3"/>
      <c r="DA89" s="3"/>
      <c r="DK89" s="31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HK89" s="3"/>
      <c r="HL89" s="3"/>
      <c r="HM89" s="3"/>
      <c r="HN89" s="3"/>
      <c r="HO89" s="3"/>
      <c r="HP89" s="3"/>
      <c r="HQ89" s="3"/>
      <c r="HR89" s="3"/>
      <c r="HS89" s="3"/>
      <c r="HT89" s="3"/>
      <c r="HU89" s="3"/>
      <c r="HV89" s="3"/>
      <c r="HW89" s="3"/>
      <c r="HX89" s="3"/>
    </row>
    <row r="90" spans="1:232">
      <c r="A90" s="10" t="s">
        <v>201</v>
      </c>
      <c r="B90" s="11">
        <f>AVERAGE(E90:AE90)</f>
        <v>0.81481481481481477</v>
      </c>
      <c r="C90" s="2">
        <f>MIN(E90:AE90)</f>
        <v>0</v>
      </c>
      <c r="D90" s="12">
        <f>MAX(E90:AE90)</f>
        <v>2</v>
      </c>
      <c r="E90" s="13">
        <v>0</v>
      </c>
      <c r="F90" s="13">
        <v>2</v>
      </c>
      <c r="G90" s="13">
        <v>0</v>
      </c>
      <c r="H90" s="13">
        <v>2</v>
      </c>
      <c r="I90" s="13">
        <v>0</v>
      </c>
      <c r="J90" s="13">
        <v>0</v>
      </c>
      <c r="K90" s="13">
        <v>0</v>
      </c>
      <c r="L90" s="13">
        <v>0</v>
      </c>
      <c r="M90" s="13">
        <v>2</v>
      </c>
      <c r="N90" s="13">
        <v>1</v>
      </c>
      <c r="O90" s="13">
        <v>1</v>
      </c>
      <c r="P90" s="13">
        <v>2</v>
      </c>
      <c r="Q90" s="13">
        <v>0</v>
      </c>
      <c r="R90" s="13">
        <v>2</v>
      </c>
      <c r="S90" s="13">
        <v>0</v>
      </c>
      <c r="T90" s="13">
        <v>0</v>
      </c>
      <c r="U90" s="13">
        <v>0</v>
      </c>
      <c r="V90" s="13">
        <v>0</v>
      </c>
      <c r="W90" s="13">
        <v>1</v>
      </c>
      <c r="X90" s="13">
        <v>2</v>
      </c>
      <c r="Y90" s="13">
        <v>2</v>
      </c>
      <c r="Z90" s="13">
        <v>2</v>
      </c>
      <c r="AA90" s="13">
        <v>0</v>
      </c>
      <c r="AB90" s="13">
        <v>1</v>
      </c>
      <c r="AC90" s="13">
        <v>2</v>
      </c>
      <c r="AD90" s="13">
        <v>0</v>
      </c>
      <c r="AE90" s="13">
        <v>0</v>
      </c>
      <c r="AF90" s="13">
        <v>0</v>
      </c>
      <c r="AG90" s="13"/>
      <c r="AH90" s="13"/>
      <c r="CB90" s="3"/>
      <c r="CU90" s="3"/>
      <c r="CV90" s="3"/>
      <c r="CW90" s="3"/>
      <c r="CX90" s="3"/>
      <c r="CY90" s="3"/>
      <c r="CZ90" s="3"/>
      <c r="DA90" s="3"/>
      <c r="DK90" s="31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HK90" s="3"/>
      <c r="HL90" s="3"/>
      <c r="HM90" s="3"/>
      <c r="HN90" s="3"/>
      <c r="HO90" s="3"/>
      <c r="HP90" s="3"/>
      <c r="HQ90" s="3"/>
      <c r="HR90" s="3"/>
      <c r="HS90" s="3"/>
      <c r="HT90" s="3"/>
      <c r="HU90" s="3"/>
      <c r="HV90" s="3"/>
      <c r="HW90" s="3"/>
      <c r="HX90" s="3"/>
    </row>
    <row r="91" spans="1:232">
      <c r="A91" s="10" t="s">
        <v>202</v>
      </c>
      <c r="B91" s="11">
        <f>AVERAGE(E91:AE91)</f>
        <v>0.81481481481481477</v>
      </c>
      <c r="C91" s="2">
        <f>MIN(E91:AE91)</f>
        <v>0</v>
      </c>
      <c r="D91" s="12">
        <f>MAX(E91:AE91)</f>
        <v>2</v>
      </c>
      <c r="E91" s="13">
        <v>0</v>
      </c>
      <c r="F91" s="13">
        <v>2</v>
      </c>
      <c r="G91" s="13">
        <v>0</v>
      </c>
      <c r="H91" s="13">
        <v>2</v>
      </c>
      <c r="I91" s="13">
        <v>0</v>
      </c>
      <c r="J91" s="13">
        <v>0</v>
      </c>
      <c r="K91" s="13">
        <v>0</v>
      </c>
      <c r="L91" s="13">
        <v>0</v>
      </c>
      <c r="M91" s="13">
        <v>2</v>
      </c>
      <c r="N91" s="13">
        <v>1</v>
      </c>
      <c r="O91" s="13">
        <v>1</v>
      </c>
      <c r="P91" s="13">
        <v>2</v>
      </c>
      <c r="Q91" s="13">
        <v>0</v>
      </c>
      <c r="R91" s="13">
        <v>2</v>
      </c>
      <c r="S91" s="13">
        <v>0</v>
      </c>
      <c r="T91" s="13">
        <v>0</v>
      </c>
      <c r="U91" s="13">
        <v>0</v>
      </c>
      <c r="V91" s="13">
        <v>0</v>
      </c>
      <c r="W91" s="13">
        <v>1</v>
      </c>
      <c r="X91" s="13">
        <v>2</v>
      </c>
      <c r="Y91" s="13">
        <v>2</v>
      </c>
      <c r="Z91" s="13">
        <v>2</v>
      </c>
      <c r="AA91" s="14">
        <v>0</v>
      </c>
      <c r="AB91" s="13">
        <v>1</v>
      </c>
      <c r="AC91" s="14">
        <v>2</v>
      </c>
      <c r="AD91" s="13">
        <v>0</v>
      </c>
      <c r="AE91" s="13">
        <v>0</v>
      </c>
      <c r="AF91" s="13">
        <v>0</v>
      </c>
      <c r="AG91" s="13"/>
      <c r="AH91" s="13"/>
      <c r="CB91" s="3"/>
      <c r="CU91" s="3"/>
      <c r="CV91" s="3"/>
      <c r="CW91" s="3"/>
      <c r="CX91" s="3"/>
      <c r="CY91" s="3"/>
      <c r="CZ91" s="3"/>
      <c r="DA91" s="3"/>
      <c r="DK91" s="31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HK91" s="3"/>
      <c r="HL91" s="3"/>
      <c r="HM91" s="3"/>
      <c r="HN91" s="3"/>
      <c r="HO91" s="3"/>
      <c r="HP91" s="3"/>
      <c r="HQ91" s="3"/>
      <c r="HR91" s="3"/>
      <c r="HS91" s="3"/>
      <c r="HT91" s="3"/>
      <c r="HU91" s="3"/>
      <c r="HV91" s="3"/>
      <c r="HW91" s="3"/>
      <c r="HX91" s="3"/>
    </row>
    <row r="92" spans="1:232">
      <c r="A92" s="10" t="s">
        <v>203</v>
      </c>
      <c r="B92" s="11">
        <f>AVERAGE(E92:AE92)</f>
        <v>0.81481481481481477</v>
      </c>
      <c r="C92" s="2">
        <f>MIN(E92:AE92)</f>
        <v>0</v>
      </c>
      <c r="D92" s="12">
        <f>MAX(E92:AE92)</f>
        <v>2</v>
      </c>
      <c r="E92" s="13">
        <v>0</v>
      </c>
      <c r="F92" s="13">
        <v>2</v>
      </c>
      <c r="G92" s="13">
        <v>0</v>
      </c>
      <c r="H92" s="13">
        <v>2</v>
      </c>
      <c r="I92" s="13">
        <v>0</v>
      </c>
      <c r="J92" s="13">
        <v>0</v>
      </c>
      <c r="K92" s="13">
        <v>0</v>
      </c>
      <c r="L92" s="13">
        <v>0</v>
      </c>
      <c r="M92" s="13">
        <v>2</v>
      </c>
      <c r="N92" s="13">
        <v>1</v>
      </c>
      <c r="O92" s="13">
        <v>1</v>
      </c>
      <c r="P92" s="13">
        <v>2</v>
      </c>
      <c r="Q92" s="13">
        <v>0</v>
      </c>
      <c r="R92" s="13">
        <v>2</v>
      </c>
      <c r="S92" s="13">
        <v>0</v>
      </c>
      <c r="T92" s="13">
        <v>0</v>
      </c>
      <c r="U92" s="13">
        <v>0</v>
      </c>
      <c r="V92" s="13">
        <v>0</v>
      </c>
      <c r="W92" s="13">
        <v>1</v>
      </c>
      <c r="X92" s="13">
        <v>2</v>
      </c>
      <c r="Y92" s="13">
        <v>2</v>
      </c>
      <c r="Z92" s="13">
        <v>2</v>
      </c>
      <c r="AA92" s="13">
        <v>0</v>
      </c>
      <c r="AB92" s="13">
        <v>1</v>
      </c>
      <c r="AC92" s="13">
        <v>2</v>
      </c>
      <c r="AD92" s="13">
        <v>0</v>
      </c>
      <c r="AE92" s="13">
        <v>0</v>
      </c>
      <c r="AF92" s="13">
        <v>0</v>
      </c>
      <c r="AG92" s="13"/>
      <c r="AH92" s="13"/>
      <c r="CB92" s="3"/>
      <c r="CU92" s="3"/>
      <c r="CV92" s="3"/>
      <c r="CW92" s="3"/>
      <c r="CX92" s="3"/>
      <c r="CY92" s="3"/>
      <c r="CZ92" s="3"/>
      <c r="DA92" s="3"/>
      <c r="DK92" s="31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HK92" s="3"/>
      <c r="HL92" s="3"/>
      <c r="HM92" s="3"/>
      <c r="HN92" s="3"/>
      <c r="HO92" s="3"/>
      <c r="HP92" s="3"/>
      <c r="HQ92" s="3"/>
      <c r="HR92" s="3"/>
      <c r="HS92" s="3"/>
      <c r="HT92" s="3"/>
      <c r="HU92" s="3"/>
      <c r="HV92" s="3"/>
      <c r="HW92" s="3"/>
      <c r="HX92" s="3"/>
    </row>
    <row r="93" spans="1:232">
      <c r="A93" s="10" t="s">
        <v>204</v>
      </c>
      <c r="B93" s="11">
        <f>AVERAGE(E93:AE93)</f>
        <v>0.81481481481481477</v>
      </c>
      <c r="C93" s="2">
        <f>MIN(E93:AE93)</f>
        <v>0</v>
      </c>
      <c r="D93" s="12">
        <f>MAX(E93:AE93)</f>
        <v>2</v>
      </c>
      <c r="E93" s="13">
        <v>0</v>
      </c>
      <c r="F93" s="13">
        <v>2</v>
      </c>
      <c r="G93" s="13">
        <v>0</v>
      </c>
      <c r="H93" s="13">
        <v>2</v>
      </c>
      <c r="I93" s="13">
        <v>0</v>
      </c>
      <c r="J93" s="13">
        <v>0</v>
      </c>
      <c r="K93" s="13">
        <v>0</v>
      </c>
      <c r="L93" s="13">
        <v>0</v>
      </c>
      <c r="M93" s="13">
        <v>2</v>
      </c>
      <c r="N93" s="13">
        <v>1</v>
      </c>
      <c r="O93" s="13">
        <v>1</v>
      </c>
      <c r="P93" s="13">
        <v>2</v>
      </c>
      <c r="Q93" s="13">
        <v>0</v>
      </c>
      <c r="R93" s="13">
        <v>2</v>
      </c>
      <c r="S93" s="13">
        <v>0</v>
      </c>
      <c r="T93" s="13">
        <v>0</v>
      </c>
      <c r="U93" s="13">
        <v>0</v>
      </c>
      <c r="V93" s="13">
        <v>0</v>
      </c>
      <c r="W93" s="13">
        <v>1</v>
      </c>
      <c r="X93" s="13">
        <v>2</v>
      </c>
      <c r="Y93" s="13">
        <v>2</v>
      </c>
      <c r="Z93" s="13">
        <v>2</v>
      </c>
      <c r="AA93" s="13">
        <v>0</v>
      </c>
      <c r="AB93" s="13">
        <v>1</v>
      </c>
      <c r="AC93" s="13">
        <v>2</v>
      </c>
      <c r="AD93" s="13">
        <v>0</v>
      </c>
      <c r="AE93" s="13">
        <v>0</v>
      </c>
      <c r="AF93" s="13">
        <v>0</v>
      </c>
      <c r="AG93" s="13"/>
      <c r="AH93" s="13"/>
      <c r="CB93" s="3"/>
      <c r="CU93" s="3"/>
      <c r="CV93" s="3"/>
      <c r="CW93" s="3"/>
      <c r="CX93" s="3"/>
      <c r="CY93" s="3"/>
      <c r="CZ93" s="3"/>
      <c r="DA93" s="3"/>
      <c r="DK93" s="31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HK93" s="3"/>
      <c r="HL93" s="3"/>
      <c r="HM93" s="3"/>
      <c r="HN93" s="3"/>
      <c r="HO93" s="3"/>
      <c r="HP93" s="3"/>
      <c r="HQ93" s="3"/>
      <c r="HR93" s="3"/>
      <c r="HS93" s="3"/>
      <c r="HT93" s="3"/>
      <c r="HU93" s="3"/>
      <c r="HV93" s="3"/>
      <c r="HW93" s="3"/>
      <c r="HX93" s="3"/>
    </row>
    <row r="94" spans="1:232">
      <c r="A94" s="10" t="s">
        <v>205</v>
      </c>
      <c r="B94" s="11">
        <f>AVERAGE(E94:AE94)</f>
        <v>0.85185185185185186</v>
      </c>
      <c r="C94" s="2">
        <f>MIN(E94:AE94)</f>
        <v>0</v>
      </c>
      <c r="D94" s="12">
        <f>MAX(E94:AE94)</f>
        <v>3</v>
      </c>
      <c r="E94" s="13">
        <v>0</v>
      </c>
      <c r="F94" s="13">
        <v>2</v>
      </c>
      <c r="G94" s="13">
        <v>0</v>
      </c>
      <c r="H94" s="13">
        <v>2</v>
      </c>
      <c r="I94" s="13">
        <v>0</v>
      </c>
      <c r="J94" s="13">
        <v>0</v>
      </c>
      <c r="K94" s="13">
        <v>0</v>
      </c>
      <c r="L94" s="13">
        <v>0</v>
      </c>
      <c r="M94" s="13">
        <v>2</v>
      </c>
      <c r="N94" s="13">
        <v>1</v>
      </c>
      <c r="O94" s="13">
        <v>1</v>
      </c>
      <c r="P94" s="21">
        <v>3</v>
      </c>
      <c r="Q94" s="13">
        <v>0</v>
      </c>
      <c r="R94" s="13">
        <v>2</v>
      </c>
      <c r="S94" s="13">
        <v>0</v>
      </c>
      <c r="T94" s="13">
        <v>0</v>
      </c>
      <c r="U94" s="13">
        <v>0</v>
      </c>
      <c r="V94" s="13">
        <v>0</v>
      </c>
      <c r="W94" s="13">
        <v>1</v>
      </c>
      <c r="X94" s="13">
        <v>2</v>
      </c>
      <c r="Y94" s="13">
        <v>2</v>
      </c>
      <c r="Z94" s="13">
        <v>2</v>
      </c>
      <c r="AA94" s="13">
        <v>0</v>
      </c>
      <c r="AB94" s="13">
        <v>1</v>
      </c>
      <c r="AC94" s="13">
        <v>2</v>
      </c>
      <c r="AD94" s="13">
        <v>0</v>
      </c>
      <c r="AE94" s="13">
        <v>0</v>
      </c>
      <c r="AF94" s="13">
        <v>0</v>
      </c>
      <c r="AG94" s="13"/>
      <c r="AH94" s="13"/>
      <c r="CB94" s="3"/>
      <c r="CU94" s="3"/>
      <c r="CV94" s="3"/>
      <c r="CW94" s="3"/>
      <c r="CX94" s="3"/>
      <c r="CY94" s="3"/>
      <c r="CZ94" s="3"/>
      <c r="DA94" s="3"/>
      <c r="DK94" s="31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HK94" s="3"/>
      <c r="HL94" s="3"/>
      <c r="HM94" s="3"/>
      <c r="HN94" s="3"/>
      <c r="HO94" s="3"/>
      <c r="HP94" s="3"/>
      <c r="HQ94" s="3"/>
      <c r="HR94" s="3"/>
      <c r="HS94" s="3"/>
      <c r="HT94" s="3"/>
      <c r="HU94" s="3"/>
      <c r="HV94" s="3"/>
      <c r="HW94" s="3"/>
      <c r="HX94" s="3"/>
    </row>
    <row r="95" spans="1:232">
      <c r="A95" s="10" t="s">
        <v>206</v>
      </c>
      <c r="B95" s="11">
        <f>AVERAGE(E95:AE95)</f>
        <v>0.88888888888888884</v>
      </c>
      <c r="C95" s="2">
        <f>MIN(E95:AE95)</f>
        <v>0</v>
      </c>
      <c r="D95" s="12">
        <f>MAX(E95:AE95)</f>
        <v>3</v>
      </c>
      <c r="E95" s="13">
        <v>0</v>
      </c>
      <c r="F95" s="13">
        <v>2</v>
      </c>
      <c r="G95" s="13">
        <v>0</v>
      </c>
      <c r="H95" s="13">
        <v>2</v>
      </c>
      <c r="I95" s="13">
        <v>0</v>
      </c>
      <c r="J95" s="13">
        <v>0</v>
      </c>
      <c r="K95" s="13">
        <v>0</v>
      </c>
      <c r="L95" s="13">
        <v>0</v>
      </c>
      <c r="M95" s="13">
        <v>2</v>
      </c>
      <c r="N95" s="13">
        <v>1</v>
      </c>
      <c r="O95" s="13">
        <v>1</v>
      </c>
      <c r="P95" s="13">
        <v>3</v>
      </c>
      <c r="Q95" s="13">
        <v>0</v>
      </c>
      <c r="R95" s="13">
        <v>2</v>
      </c>
      <c r="S95" s="13">
        <v>0</v>
      </c>
      <c r="T95" s="13">
        <v>0</v>
      </c>
      <c r="U95" s="13">
        <v>1</v>
      </c>
      <c r="V95" s="13">
        <v>0</v>
      </c>
      <c r="W95" s="13">
        <v>1</v>
      </c>
      <c r="X95" s="13">
        <v>2</v>
      </c>
      <c r="Y95" s="13">
        <v>2</v>
      </c>
      <c r="Z95" s="13">
        <v>2</v>
      </c>
      <c r="AA95" s="13">
        <v>0</v>
      </c>
      <c r="AB95" s="13">
        <v>1</v>
      </c>
      <c r="AC95" s="13">
        <v>2</v>
      </c>
      <c r="AD95" s="13">
        <v>0</v>
      </c>
      <c r="AE95" s="13">
        <v>0</v>
      </c>
      <c r="AF95" s="13">
        <v>0</v>
      </c>
      <c r="AG95" s="13"/>
      <c r="AH95" s="13"/>
      <c r="CB95" s="3"/>
      <c r="CU95" s="3"/>
      <c r="CV95" s="3"/>
      <c r="CW95" s="3"/>
      <c r="CX95" s="3"/>
      <c r="CY95" s="3"/>
      <c r="CZ95" s="3"/>
      <c r="DA95" s="3"/>
      <c r="DK95" s="31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HK95" s="3"/>
      <c r="HL95" s="3"/>
      <c r="HM95" s="3"/>
      <c r="HN95" s="3"/>
      <c r="HO95" s="3"/>
      <c r="HP95" s="3"/>
      <c r="HQ95" s="3"/>
      <c r="HR95" s="3"/>
      <c r="HS95" s="3"/>
      <c r="HT95" s="3"/>
      <c r="HU95" s="3"/>
      <c r="HV95" s="3"/>
      <c r="HW95" s="3"/>
      <c r="HX95" s="3"/>
    </row>
    <row r="96" spans="1:232">
      <c r="A96" s="10" t="s">
        <v>207</v>
      </c>
      <c r="B96" s="11">
        <f>AVERAGE(E96:AE96)</f>
        <v>0.88888888888888884</v>
      </c>
      <c r="C96" s="2">
        <f>MIN(E96:AE96)</f>
        <v>0</v>
      </c>
      <c r="D96" s="12">
        <f>MAX(E96:AE96)</f>
        <v>3</v>
      </c>
      <c r="E96" s="13">
        <v>0</v>
      </c>
      <c r="F96" s="13">
        <v>2</v>
      </c>
      <c r="G96" s="13">
        <v>0</v>
      </c>
      <c r="H96" s="13">
        <v>2</v>
      </c>
      <c r="I96" s="13">
        <v>0</v>
      </c>
      <c r="J96" s="13">
        <v>0</v>
      </c>
      <c r="K96" s="13">
        <v>0</v>
      </c>
      <c r="L96" s="13">
        <v>0</v>
      </c>
      <c r="M96" s="13">
        <v>2</v>
      </c>
      <c r="N96" s="13">
        <v>1</v>
      </c>
      <c r="O96" s="13">
        <v>1</v>
      </c>
      <c r="P96" s="13">
        <v>3</v>
      </c>
      <c r="Q96" s="13">
        <v>0</v>
      </c>
      <c r="R96" s="13">
        <v>2</v>
      </c>
      <c r="S96" s="13">
        <v>0</v>
      </c>
      <c r="T96" s="13">
        <v>0</v>
      </c>
      <c r="U96" s="13">
        <v>1</v>
      </c>
      <c r="V96" s="14">
        <v>0</v>
      </c>
      <c r="W96" s="13">
        <v>1</v>
      </c>
      <c r="X96" s="13">
        <v>2</v>
      </c>
      <c r="Y96" s="13">
        <v>2</v>
      </c>
      <c r="Z96" s="13">
        <v>2</v>
      </c>
      <c r="AA96" s="13">
        <v>0</v>
      </c>
      <c r="AB96" s="13">
        <v>1</v>
      </c>
      <c r="AC96" s="13">
        <v>2</v>
      </c>
      <c r="AD96" s="13">
        <v>0</v>
      </c>
      <c r="AE96" s="13">
        <v>0</v>
      </c>
      <c r="AF96" s="13">
        <v>0</v>
      </c>
      <c r="AG96" s="13"/>
      <c r="AH96" s="13"/>
      <c r="CB96" s="3"/>
      <c r="CU96" s="3"/>
      <c r="CV96" s="3"/>
      <c r="CW96" s="3"/>
      <c r="CX96" s="3"/>
      <c r="CY96" s="3"/>
      <c r="CZ96" s="3"/>
      <c r="DA96" s="3"/>
      <c r="DK96" s="31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HK96" s="3"/>
      <c r="HL96" s="3"/>
      <c r="HM96" s="3"/>
      <c r="HN96" s="3"/>
      <c r="HO96" s="3"/>
      <c r="HP96" s="3"/>
      <c r="HQ96" s="3"/>
      <c r="HR96" s="3"/>
      <c r="HS96" s="3"/>
      <c r="HT96" s="3"/>
      <c r="HU96" s="3"/>
      <c r="HV96" s="3"/>
      <c r="HW96" s="3"/>
      <c r="HX96" s="3"/>
    </row>
    <row r="97" spans="1:232">
      <c r="A97" s="10" t="s">
        <v>208</v>
      </c>
      <c r="B97" s="11">
        <f>AVERAGE(E97:AE97)</f>
        <v>0.88888888888888884</v>
      </c>
      <c r="C97" s="2">
        <f>MIN(E97:AE97)</f>
        <v>0</v>
      </c>
      <c r="D97" s="12">
        <f>MAX(E97:AE97)</f>
        <v>3</v>
      </c>
      <c r="E97" s="13">
        <v>0</v>
      </c>
      <c r="F97" s="13">
        <v>2</v>
      </c>
      <c r="G97" s="13">
        <v>0</v>
      </c>
      <c r="H97" s="13">
        <v>2</v>
      </c>
      <c r="I97" s="13">
        <v>0</v>
      </c>
      <c r="J97" s="13">
        <v>0</v>
      </c>
      <c r="K97" s="13">
        <v>0</v>
      </c>
      <c r="L97" s="13">
        <v>0</v>
      </c>
      <c r="M97" s="13">
        <v>2</v>
      </c>
      <c r="N97" s="13">
        <v>1</v>
      </c>
      <c r="O97" s="13">
        <v>1</v>
      </c>
      <c r="P97" s="13">
        <v>3</v>
      </c>
      <c r="Q97" s="13">
        <v>0</v>
      </c>
      <c r="R97" s="13">
        <v>2</v>
      </c>
      <c r="S97" s="13">
        <v>0</v>
      </c>
      <c r="T97" s="13">
        <v>0</v>
      </c>
      <c r="U97" s="13">
        <v>1</v>
      </c>
      <c r="V97" s="13">
        <v>0</v>
      </c>
      <c r="W97" s="13">
        <v>1</v>
      </c>
      <c r="X97" s="13">
        <v>2</v>
      </c>
      <c r="Y97" s="13">
        <v>2</v>
      </c>
      <c r="Z97" s="13">
        <v>2</v>
      </c>
      <c r="AA97" s="13">
        <v>0</v>
      </c>
      <c r="AB97" s="13">
        <v>1</v>
      </c>
      <c r="AC97" s="13">
        <v>2</v>
      </c>
      <c r="AD97" s="13">
        <v>0</v>
      </c>
      <c r="AE97" s="13">
        <v>0</v>
      </c>
      <c r="AF97" s="13">
        <v>0</v>
      </c>
      <c r="AG97" s="13"/>
      <c r="AH97" s="13"/>
      <c r="CB97" s="3"/>
      <c r="CU97" s="3"/>
      <c r="CV97" s="3"/>
      <c r="CW97" s="3"/>
      <c r="CX97" s="3"/>
      <c r="CY97" s="3"/>
      <c r="CZ97" s="3"/>
      <c r="DA97" s="3"/>
      <c r="DK97" s="31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HK97" s="3"/>
      <c r="HL97" s="3"/>
      <c r="HM97" s="3"/>
      <c r="HN97" s="3"/>
      <c r="HO97" s="3"/>
      <c r="HP97" s="3"/>
      <c r="HQ97" s="3"/>
      <c r="HR97" s="3"/>
      <c r="HS97" s="3"/>
      <c r="HT97" s="3"/>
      <c r="HU97" s="3"/>
      <c r="HV97" s="3"/>
      <c r="HW97" s="3"/>
      <c r="HX97" s="3"/>
    </row>
    <row r="98" spans="1:232">
      <c r="A98" s="10" t="s">
        <v>209</v>
      </c>
      <c r="B98" s="11">
        <f>AVERAGE(E98:AE98)</f>
        <v>0.96296296296296291</v>
      </c>
      <c r="C98" s="2">
        <f>MIN(E98:AE98)</f>
        <v>0</v>
      </c>
      <c r="D98" s="12">
        <f>MAX(E98:AE98)</f>
        <v>3</v>
      </c>
      <c r="E98" s="13">
        <v>0</v>
      </c>
      <c r="F98" s="13">
        <v>2</v>
      </c>
      <c r="G98" s="13">
        <v>0</v>
      </c>
      <c r="H98" s="13">
        <v>2</v>
      </c>
      <c r="I98" s="13">
        <v>0</v>
      </c>
      <c r="J98" s="13">
        <v>0</v>
      </c>
      <c r="K98" s="13">
        <v>0</v>
      </c>
      <c r="L98" s="13">
        <v>0</v>
      </c>
      <c r="M98" s="21">
        <v>3</v>
      </c>
      <c r="N98" s="13">
        <v>1</v>
      </c>
      <c r="O98" s="13">
        <v>1</v>
      </c>
      <c r="P98" s="13">
        <v>3</v>
      </c>
      <c r="Q98" s="13">
        <v>0</v>
      </c>
      <c r="R98" s="13">
        <v>2</v>
      </c>
      <c r="S98" s="13">
        <v>0</v>
      </c>
      <c r="T98" s="13">
        <v>1</v>
      </c>
      <c r="U98" s="13">
        <v>1</v>
      </c>
      <c r="V98" s="13">
        <v>0</v>
      </c>
      <c r="W98" s="13">
        <v>1</v>
      </c>
      <c r="X98" s="13">
        <v>2</v>
      </c>
      <c r="Y98" s="13">
        <v>2</v>
      </c>
      <c r="Z98" s="13">
        <v>2</v>
      </c>
      <c r="AA98" s="13">
        <v>0</v>
      </c>
      <c r="AB98" s="13">
        <v>1</v>
      </c>
      <c r="AC98" s="13">
        <v>2</v>
      </c>
      <c r="AD98" s="13">
        <v>0</v>
      </c>
      <c r="AE98" s="13">
        <v>0</v>
      </c>
      <c r="AF98" s="13">
        <v>0</v>
      </c>
      <c r="AG98" s="13"/>
      <c r="AH98" s="13"/>
      <c r="CB98" s="3"/>
      <c r="CU98" s="3"/>
      <c r="CV98" s="3"/>
      <c r="CW98" s="3"/>
      <c r="CX98" s="3"/>
      <c r="CY98" s="3"/>
      <c r="CZ98" s="3"/>
      <c r="DA98" s="3"/>
      <c r="DK98" s="31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HK98" s="3"/>
      <c r="HL98" s="3"/>
      <c r="HM98" s="3"/>
      <c r="HN98" s="3"/>
      <c r="HO98" s="3"/>
      <c r="HP98" s="3"/>
      <c r="HQ98" s="3"/>
      <c r="HR98" s="3"/>
      <c r="HS98" s="3"/>
      <c r="HT98" s="3"/>
      <c r="HU98" s="3"/>
      <c r="HV98" s="3"/>
      <c r="HW98" s="3"/>
      <c r="HX98" s="3"/>
    </row>
    <row r="99" spans="1:232">
      <c r="A99" s="10" t="s">
        <v>210</v>
      </c>
      <c r="B99" s="11">
        <f>AVERAGE(E99:AE99)</f>
        <v>1.037037037037037</v>
      </c>
      <c r="C99" s="2">
        <f>MIN(E99:AE99)</f>
        <v>0</v>
      </c>
      <c r="D99" s="12">
        <f>MAX(E99:AE99)</f>
        <v>3</v>
      </c>
      <c r="E99" s="13">
        <v>0</v>
      </c>
      <c r="F99" s="13">
        <v>2</v>
      </c>
      <c r="G99" s="21">
        <v>1</v>
      </c>
      <c r="H99" s="13">
        <v>2</v>
      </c>
      <c r="I99" s="13">
        <v>0</v>
      </c>
      <c r="J99" s="13">
        <v>0</v>
      </c>
      <c r="K99" s="13">
        <v>0</v>
      </c>
      <c r="L99" s="13">
        <v>0</v>
      </c>
      <c r="M99" s="13">
        <v>3</v>
      </c>
      <c r="N99" s="13">
        <v>1</v>
      </c>
      <c r="O99" s="13">
        <v>1</v>
      </c>
      <c r="P99" s="13">
        <v>3</v>
      </c>
      <c r="Q99" s="13">
        <v>0</v>
      </c>
      <c r="R99" s="13">
        <v>2</v>
      </c>
      <c r="S99" s="13">
        <v>0</v>
      </c>
      <c r="T99" s="13">
        <v>1</v>
      </c>
      <c r="U99" s="13">
        <v>1</v>
      </c>
      <c r="V99" s="13">
        <v>0</v>
      </c>
      <c r="W99" s="13">
        <v>1</v>
      </c>
      <c r="X99" s="13">
        <v>3</v>
      </c>
      <c r="Y99" s="13">
        <v>2</v>
      </c>
      <c r="Z99" s="13">
        <v>2</v>
      </c>
      <c r="AA99" s="13">
        <v>0</v>
      </c>
      <c r="AB99" s="13">
        <v>1</v>
      </c>
      <c r="AC99" s="13">
        <v>2</v>
      </c>
      <c r="AD99" s="13">
        <v>0</v>
      </c>
      <c r="AE99" s="13">
        <v>0</v>
      </c>
      <c r="AF99" s="13">
        <v>0</v>
      </c>
      <c r="AG99" s="13"/>
      <c r="AH99" s="13"/>
      <c r="CB99" s="3"/>
      <c r="CU99" s="3"/>
      <c r="CV99" s="3"/>
      <c r="CW99" s="3"/>
      <c r="CX99" s="3"/>
      <c r="CY99" s="3"/>
      <c r="CZ99" s="3"/>
      <c r="DA99" s="3"/>
      <c r="DK99" s="31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HK99" s="3"/>
      <c r="HL99" s="3"/>
      <c r="HM99" s="3"/>
      <c r="HN99" s="3"/>
      <c r="HO99" s="3"/>
      <c r="HP99" s="3"/>
      <c r="HQ99" s="3"/>
      <c r="HR99" s="3"/>
      <c r="HS99" s="3"/>
      <c r="HT99" s="3"/>
      <c r="HU99" s="3"/>
      <c r="HV99" s="3"/>
      <c r="HW99" s="3"/>
      <c r="HX99" s="3"/>
    </row>
    <row r="100" spans="1:232">
      <c r="A100" s="10" t="s">
        <v>211</v>
      </c>
      <c r="B100" s="11">
        <f>AVERAGE(E100:AE100)</f>
        <v>1.1111111111111112</v>
      </c>
      <c r="C100" s="2">
        <f>MIN(E100:AE100)</f>
        <v>0</v>
      </c>
      <c r="D100" s="12">
        <f>MAX(E100:AE100)</f>
        <v>3</v>
      </c>
      <c r="E100" s="13">
        <v>0</v>
      </c>
      <c r="F100" s="13">
        <v>2</v>
      </c>
      <c r="G100" s="13">
        <v>1</v>
      </c>
      <c r="H100" s="13">
        <v>2</v>
      </c>
      <c r="I100" s="13">
        <v>0</v>
      </c>
      <c r="J100" s="13">
        <v>1</v>
      </c>
      <c r="K100" s="13">
        <v>0</v>
      </c>
      <c r="L100" s="13">
        <v>0</v>
      </c>
      <c r="M100" s="13">
        <v>3</v>
      </c>
      <c r="N100" s="13">
        <v>1</v>
      </c>
      <c r="O100" s="13">
        <v>1</v>
      </c>
      <c r="P100" s="13">
        <v>3</v>
      </c>
      <c r="Q100" s="13">
        <v>0</v>
      </c>
      <c r="R100" s="13">
        <v>2</v>
      </c>
      <c r="S100" s="13">
        <v>0</v>
      </c>
      <c r="T100" s="13">
        <v>1</v>
      </c>
      <c r="U100" s="13">
        <v>1</v>
      </c>
      <c r="V100" s="13">
        <v>0</v>
      </c>
      <c r="W100" s="13">
        <v>1</v>
      </c>
      <c r="X100" s="13">
        <v>3</v>
      </c>
      <c r="Y100" s="13">
        <v>2</v>
      </c>
      <c r="Z100" s="13">
        <v>2</v>
      </c>
      <c r="AA100" s="13">
        <v>0</v>
      </c>
      <c r="AB100" s="13">
        <v>1</v>
      </c>
      <c r="AC100" s="13">
        <v>2</v>
      </c>
      <c r="AD100" s="21">
        <v>1</v>
      </c>
      <c r="AE100" s="13">
        <v>0</v>
      </c>
      <c r="AF100" s="13">
        <v>0</v>
      </c>
      <c r="AG100" s="13"/>
      <c r="AH100" s="13"/>
      <c r="CB100" s="3"/>
      <c r="CU100" s="3"/>
      <c r="CV100" s="3"/>
      <c r="CW100" s="3"/>
      <c r="CX100" s="3"/>
      <c r="CY100" s="3"/>
      <c r="CZ100" s="3"/>
      <c r="DA100" s="3"/>
      <c r="DK100" s="31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HK100" s="3"/>
      <c r="HL100" s="3"/>
      <c r="HM100" s="3"/>
      <c r="HN100" s="3"/>
      <c r="HO100" s="3"/>
      <c r="HP100" s="3"/>
      <c r="HQ100" s="3"/>
      <c r="HR100" s="3"/>
      <c r="HS100" s="3"/>
      <c r="HT100" s="3"/>
      <c r="HU100" s="3"/>
      <c r="HV100" s="3"/>
      <c r="HW100" s="3"/>
      <c r="HX100" s="3"/>
    </row>
    <row r="101" spans="1:232">
      <c r="A101" s="10" t="s">
        <v>212</v>
      </c>
      <c r="B101" s="11">
        <f>AVERAGE(E101:AE101)</f>
        <v>1.1481481481481481</v>
      </c>
      <c r="C101" s="2">
        <f>MIN(E101:AE101)</f>
        <v>0</v>
      </c>
      <c r="D101" s="12">
        <f>MAX(E101:AE101)</f>
        <v>3</v>
      </c>
      <c r="E101" s="13">
        <v>0</v>
      </c>
      <c r="F101" s="13">
        <v>2</v>
      </c>
      <c r="G101" s="13">
        <v>1</v>
      </c>
      <c r="H101" s="13">
        <v>2</v>
      </c>
      <c r="I101" s="13">
        <v>0</v>
      </c>
      <c r="J101" s="13">
        <v>1</v>
      </c>
      <c r="K101" s="13">
        <v>0</v>
      </c>
      <c r="L101" s="13">
        <v>0</v>
      </c>
      <c r="M101" s="13">
        <v>3</v>
      </c>
      <c r="N101" s="13">
        <v>1</v>
      </c>
      <c r="O101" s="13">
        <v>1</v>
      </c>
      <c r="P101" s="13">
        <v>3</v>
      </c>
      <c r="Q101" s="13">
        <v>0</v>
      </c>
      <c r="R101" s="13">
        <v>2</v>
      </c>
      <c r="S101" s="13">
        <v>0</v>
      </c>
      <c r="T101" s="13">
        <v>1</v>
      </c>
      <c r="U101" s="21">
        <v>2</v>
      </c>
      <c r="V101" s="13">
        <v>0</v>
      </c>
      <c r="W101" s="13">
        <v>1</v>
      </c>
      <c r="X101" s="13">
        <v>3</v>
      </c>
      <c r="Y101" s="13">
        <v>2</v>
      </c>
      <c r="Z101" s="13">
        <v>2</v>
      </c>
      <c r="AA101" s="13">
        <v>0</v>
      </c>
      <c r="AB101" s="13">
        <v>1</v>
      </c>
      <c r="AC101" s="13">
        <v>2</v>
      </c>
      <c r="AD101" s="13">
        <v>1</v>
      </c>
      <c r="AE101" s="13">
        <v>0</v>
      </c>
      <c r="AF101" s="13">
        <v>0</v>
      </c>
      <c r="AG101" s="13"/>
      <c r="AH101" s="13"/>
      <c r="CB101" s="3"/>
      <c r="CU101" s="3"/>
      <c r="CV101" s="3"/>
      <c r="CW101" s="3"/>
      <c r="CX101" s="3"/>
      <c r="CY101" s="3"/>
      <c r="CZ101" s="3"/>
      <c r="DA101" s="3"/>
      <c r="DK101" s="31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HK101" s="3"/>
      <c r="HL101" s="3"/>
      <c r="HM101" s="3"/>
      <c r="HN101" s="3"/>
      <c r="HO101" s="3"/>
      <c r="HP101" s="3"/>
      <c r="HQ101" s="3"/>
      <c r="HR101" s="3"/>
      <c r="HS101" s="3"/>
      <c r="HT101" s="3"/>
      <c r="HU101" s="3"/>
      <c r="HV101" s="3"/>
      <c r="HW101" s="3"/>
      <c r="HX101" s="3"/>
    </row>
    <row r="102" spans="1:232">
      <c r="A102" s="10" t="s">
        <v>213</v>
      </c>
      <c r="B102" s="11">
        <f>AVERAGE(E102:AE102)</f>
        <v>1.1481481481481481</v>
      </c>
      <c r="C102" s="2">
        <f>MIN(E102:AE102)</f>
        <v>0</v>
      </c>
      <c r="D102" s="12">
        <f>MAX(E102:AE102)</f>
        <v>3</v>
      </c>
      <c r="E102" s="13">
        <v>0</v>
      </c>
      <c r="F102" s="13">
        <v>2</v>
      </c>
      <c r="G102" s="13">
        <v>1</v>
      </c>
      <c r="H102" s="13">
        <v>2</v>
      </c>
      <c r="I102" s="13">
        <v>0</v>
      </c>
      <c r="J102" s="13">
        <v>1</v>
      </c>
      <c r="K102" s="13">
        <v>0</v>
      </c>
      <c r="L102" s="13">
        <v>0</v>
      </c>
      <c r="M102" s="13">
        <v>3</v>
      </c>
      <c r="N102" s="13">
        <v>1</v>
      </c>
      <c r="O102" s="13">
        <v>1</v>
      </c>
      <c r="P102" s="13">
        <v>3</v>
      </c>
      <c r="Q102" s="13">
        <v>0</v>
      </c>
      <c r="R102" s="13">
        <v>2</v>
      </c>
      <c r="S102" s="13">
        <v>0</v>
      </c>
      <c r="T102" s="13">
        <v>1</v>
      </c>
      <c r="U102" s="13">
        <v>2</v>
      </c>
      <c r="V102" s="13">
        <v>0</v>
      </c>
      <c r="W102" s="13">
        <v>1</v>
      </c>
      <c r="X102" s="13">
        <v>3</v>
      </c>
      <c r="Y102" s="13">
        <v>2</v>
      </c>
      <c r="Z102" s="13">
        <v>2</v>
      </c>
      <c r="AA102" s="13">
        <v>0</v>
      </c>
      <c r="AB102" s="13">
        <v>1</v>
      </c>
      <c r="AC102" s="13">
        <v>2</v>
      </c>
      <c r="AD102" s="13">
        <v>1</v>
      </c>
      <c r="AE102" s="13">
        <v>0</v>
      </c>
      <c r="AF102" s="13">
        <v>0</v>
      </c>
      <c r="AG102" s="13"/>
      <c r="AH102" s="13"/>
      <c r="CB102" s="3"/>
      <c r="CU102" s="3"/>
      <c r="CV102" s="3"/>
      <c r="CW102" s="3"/>
      <c r="CX102" s="3"/>
      <c r="CY102" s="3"/>
      <c r="CZ102" s="3"/>
      <c r="DA102" s="3"/>
      <c r="DK102" s="31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HK102" s="3"/>
      <c r="HL102" s="3"/>
      <c r="HM102" s="3"/>
      <c r="HN102" s="3"/>
      <c r="HO102" s="3"/>
      <c r="HP102" s="3"/>
      <c r="HQ102" s="3"/>
      <c r="HR102" s="3"/>
      <c r="HS102" s="3"/>
      <c r="HT102" s="3"/>
      <c r="HU102" s="3"/>
      <c r="HV102" s="3"/>
      <c r="HW102" s="3"/>
      <c r="HX102" s="3"/>
    </row>
    <row r="103" spans="1:232">
      <c r="A103" s="10" t="s">
        <v>214</v>
      </c>
      <c r="B103" s="11">
        <f>AVERAGE(E103:AE103)</f>
        <v>1.1851851851851851</v>
      </c>
      <c r="C103" s="2">
        <f>MIN(E103:AE103)</f>
        <v>0</v>
      </c>
      <c r="D103" s="12">
        <f>MAX(E103:AE103)</f>
        <v>3</v>
      </c>
      <c r="E103" s="13">
        <v>0</v>
      </c>
      <c r="F103" s="13">
        <v>2</v>
      </c>
      <c r="G103" s="13">
        <v>1</v>
      </c>
      <c r="H103" s="13">
        <v>2</v>
      </c>
      <c r="I103" s="13">
        <v>0</v>
      </c>
      <c r="J103" s="21">
        <v>2</v>
      </c>
      <c r="K103" s="13">
        <v>0</v>
      </c>
      <c r="L103" s="13">
        <v>0</v>
      </c>
      <c r="M103" s="13">
        <v>3</v>
      </c>
      <c r="N103" s="13">
        <v>1</v>
      </c>
      <c r="O103" s="13">
        <v>1</v>
      </c>
      <c r="P103" s="13">
        <v>3</v>
      </c>
      <c r="Q103" s="13">
        <v>0</v>
      </c>
      <c r="R103" s="13">
        <v>2</v>
      </c>
      <c r="S103" s="13">
        <v>0</v>
      </c>
      <c r="T103" s="13">
        <v>1</v>
      </c>
      <c r="U103" s="13">
        <v>2</v>
      </c>
      <c r="V103" s="13">
        <v>0</v>
      </c>
      <c r="W103" s="13">
        <v>1</v>
      </c>
      <c r="X103" s="13">
        <v>3</v>
      </c>
      <c r="Y103" s="13">
        <v>2</v>
      </c>
      <c r="Z103" s="13">
        <v>2</v>
      </c>
      <c r="AA103" s="13">
        <v>0</v>
      </c>
      <c r="AB103" s="13">
        <v>1</v>
      </c>
      <c r="AC103" s="13">
        <v>2</v>
      </c>
      <c r="AD103" s="13">
        <v>1</v>
      </c>
      <c r="AE103" s="13">
        <v>0</v>
      </c>
      <c r="AF103" s="13">
        <v>0</v>
      </c>
      <c r="AG103" s="13"/>
      <c r="AH103" s="13"/>
      <c r="CB103" s="3"/>
      <c r="CU103" s="3"/>
      <c r="CV103" s="3"/>
      <c r="CW103" s="3"/>
      <c r="CX103" s="3"/>
      <c r="CY103" s="3"/>
      <c r="CZ103" s="3"/>
      <c r="DA103" s="3"/>
      <c r="DK103" s="31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HK103" s="3"/>
      <c r="HL103" s="3"/>
      <c r="HM103" s="3"/>
      <c r="HN103" s="3"/>
      <c r="HO103" s="3"/>
      <c r="HP103" s="3"/>
      <c r="HQ103" s="3"/>
      <c r="HR103" s="3"/>
      <c r="HS103" s="3"/>
      <c r="HT103" s="3"/>
      <c r="HU103" s="3"/>
      <c r="HV103" s="3"/>
      <c r="HW103" s="3"/>
      <c r="HX103" s="3"/>
    </row>
    <row r="104" spans="1:232">
      <c r="A104" s="10" t="s">
        <v>215</v>
      </c>
      <c r="B104" s="11">
        <f>AVERAGE(E104:AE104)</f>
        <v>1.2222222222222223</v>
      </c>
      <c r="C104" s="2">
        <f>MIN(E104:AE104)</f>
        <v>0</v>
      </c>
      <c r="D104" s="12">
        <f>MAX(E104:AE104)</f>
        <v>3</v>
      </c>
      <c r="E104" s="13">
        <v>0</v>
      </c>
      <c r="F104" s="13">
        <v>2</v>
      </c>
      <c r="G104" s="13">
        <v>1</v>
      </c>
      <c r="H104" s="13">
        <v>2</v>
      </c>
      <c r="I104" s="13">
        <v>0</v>
      </c>
      <c r="J104" s="13">
        <v>2</v>
      </c>
      <c r="K104" s="13">
        <v>0</v>
      </c>
      <c r="L104" s="13">
        <v>0</v>
      </c>
      <c r="M104" s="13">
        <v>3</v>
      </c>
      <c r="N104" s="13">
        <v>1</v>
      </c>
      <c r="O104" s="13">
        <v>1</v>
      </c>
      <c r="P104" s="13">
        <v>3</v>
      </c>
      <c r="Q104" s="13">
        <v>0</v>
      </c>
      <c r="R104" s="13">
        <v>2</v>
      </c>
      <c r="S104" s="13">
        <v>0</v>
      </c>
      <c r="T104" s="13">
        <v>1</v>
      </c>
      <c r="U104" s="13">
        <v>2</v>
      </c>
      <c r="V104" s="13">
        <v>0</v>
      </c>
      <c r="W104" s="13">
        <v>1</v>
      </c>
      <c r="X104" s="13">
        <v>3</v>
      </c>
      <c r="Y104" s="13">
        <v>2</v>
      </c>
      <c r="Z104" s="13">
        <v>2</v>
      </c>
      <c r="AA104" s="13">
        <v>0</v>
      </c>
      <c r="AB104" s="21">
        <v>2</v>
      </c>
      <c r="AC104" s="13">
        <v>2</v>
      </c>
      <c r="AD104" s="13">
        <v>1</v>
      </c>
      <c r="AE104" s="13">
        <v>0</v>
      </c>
      <c r="AF104" s="13">
        <v>0</v>
      </c>
      <c r="AG104" s="13"/>
      <c r="AH104" s="13"/>
      <c r="CB104" s="3"/>
      <c r="CU104" s="3"/>
      <c r="CV104" s="3"/>
      <c r="CW104" s="3"/>
      <c r="CX104" s="3"/>
      <c r="CY104" s="3"/>
      <c r="CZ104" s="3"/>
      <c r="DA104" s="3"/>
      <c r="DK104" s="31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HK104" s="3"/>
      <c r="HL104" s="3"/>
      <c r="HM104" s="3"/>
      <c r="HN104" s="3"/>
      <c r="HO104" s="3"/>
      <c r="HP104" s="3"/>
      <c r="HQ104" s="3"/>
      <c r="HR104" s="3"/>
      <c r="HS104" s="3"/>
      <c r="HT104" s="3"/>
      <c r="HU104" s="3"/>
      <c r="HV104" s="3"/>
      <c r="HW104" s="3"/>
      <c r="HX104" s="3"/>
    </row>
    <row r="105" spans="1:232">
      <c r="A105" s="10" t="s">
        <v>216</v>
      </c>
      <c r="B105" s="11">
        <f>AVERAGE(E105:AE105)</f>
        <v>1.2222222222222223</v>
      </c>
      <c r="C105" s="2">
        <f>MIN(E105:AE105)</f>
        <v>0</v>
      </c>
      <c r="D105" s="12">
        <f>MAX(E105:AE105)</f>
        <v>3</v>
      </c>
      <c r="E105" s="13">
        <v>0</v>
      </c>
      <c r="F105" s="13">
        <v>2</v>
      </c>
      <c r="G105" s="13">
        <v>1</v>
      </c>
      <c r="H105" s="13">
        <v>2</v>
      </c>
      <c r="I105" s="13">
        <v>0</v>
      </c>
      <c r="J105" s="13">
        <v>2</v>
      </c>
      <c r="K105" s="13">
        <v>0</v>
      </c>
      <c r="L105" s="13">
        <v>0</v>
      </c>
      <c r="M105" s="13">
        <v>3</v>
      </c>
      <c r="N105" s="13">
        <v>1</v>
      </c>
      <c r="O105" s="13">
        <v>1</v>
      </c>
      <c r="P105" s="13">
        <v>3</v>
      </c>
      <c r="Q105" s="13">
        <v>0</v>
      </c>
      <c r="R105" s="13">
        <v>2</v>
      </c>
      <c r="S105" s="13">
        <v>0</v>
      </c>
      <c r="T105" s="13">
        <v>1</v>
      </c>
      <c r="U105" s="13">
        <v>2</v>
      </c>
      <c r="V105" s="13">
        <v>0</v>
      </c>
      <c r="W105" s="13">
        <v>1</v>
      </c>
      <c r="X105" s="13">
        <v>3</v>
      </c>
      <c r="Y105" s="13">
        <v>2</v>
      </c>
      <c r="Z105" s="13">
        <v>2</v>
      </c>
      <c r="AA105" s="13">
        <v>0</v>
      </c>
      <c r="AB105" s="14">
        <v>2</v>
      </c>
      <c r="AC105" s="13">
        <v>2</v>
      </c>
      <c r="AD105" s="13">
        <v>1</v>
      </c>
      <c r="AE105" s="13">
        <v>0</v>
      </c>
      <c r="AF105" s="13">
        <v>0</v>
      </c>
      <c r="AG105" s="13"/>
      <c r="AH105" s="13"/>
      <c r="CB105" s="3"/>
      <c r="CU105" s="3"/>
      <c r="CV105" s="3"/>
      <c r="CW105" s="3"/>
      <c r="CX105" s="3"/>
      <c r="CY105" s="3"/>
      <c r="CZ105" s="3"/>
      <c r="DA105" s="3"/>
      <c r="DK105" s="31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HK105" s="3"/>
      <c r="HL105" s="3"/>
      <c r="HM105" s="3"/>
      <c r="HN105" s="3"/>
      <c r="HO105" s="3"/>
      <c r="HP105" s="3"/>
      <c r="HQ105" s="3"/>
      <c r="HR105" s="3"/>
      <c r="HS105" s="3"/>
      <c r="HT105" s="3"/>
      <c r="HU105" s="3"/>
      <c r="HV105" s="3"/>
      <c r="HW105" s="3"/>
      <c r="HX105" s="3"/>
    </row>
    <row r="106" spans="1:232">
      <c r="A106" s="10" t="s">
        <v>217</v>
      </c>
      <c r="B106" s="11">
        <f>AVERAGE(E106:AE106)</f>
        <v>1.2592592592592593</v>
      </c>
      <c r="C106" s="2">
        <f>MIN(E106:AE106)</f>
        <v>0</v>
      </c>
      <c r="D106" s="12">
        <f>MAX(E106:AE106)</f>
        <v>3</v>
      </c>
      <c r="E106" s="13">
        <v>0</v>
      </c>
      <c r="F106" s="13">
        <v>2</v>
      </c>
      <c r="G106" s="13">
        <v>1</v>
      </c>
      <c r="H106" s="13">
        <v>2</v>
      </c>
      <c r="I106" s="13">
        <v>0</v>
      </c>
      <c r="J106" s="13">
        <v>2</v>
      </c>
      <c r="K106" s="13">
        <v>0</v>
      </c>
      <c r="L106" s="13">
        <v>0</v>
      </c>
      <c r="M106" s="13">
        <v>3</v>
      </c>
      <c r="N106" s="13">
        <v>2</v>
      </c>
      <c r="O106" s="13">
        <v>1</v>
      </c>
      <c r="P106" s="13">
        <v>3</v>
      </c>
      <c r="Q106" s="13">
        <v>0</v>
      </c>
      <c r="R106" s="13">
        <v>2</v>
      </c>
      <c r="S106" s="13">
        <v>0</v>
      </c>
      <c r="T106" s="13">
        <v>1</v>
      </c>
      <c r="U106" s="13">
        <v>2</v>
      </c>
      <c r="V106" s="13">
        <v>0</v>
      </c>
      <c r="W106" s="13">
        <v>1</v>
      </c>
      <c r="X106" s="13">
        <v>3</v>
      </c>
      <c r="Y106" s="13">
        <v>2</v>
      </c>
      <c r="Z106" s="13">
        <v>2</v>
      </c>
      <c r="AA106" s="13">
        <v>0</v>
      </c>
      <c r="AB106" s="13">
        <v>2</v>
      </c>
      <c r="AC106" s="13">
        <v>2</v>
      </c>
      <c r="AD106" s="13">
        <v>1</v>
      </c>
      <c r="AE106" s="13">
        <v>0</v>
      </c>
      <c r="AF106" s="13">
        <v>0</v>
      </c>
      <c r="AG106" s="13"/>
      <c r="AH106" s="13"/>
      <c r="CB106" s="3"/>
      <c r="CU106" s="3"/>
      <c r="CV106" s="3"/>
      <c r="CW106" s="3"/>
      <c r="CX106" s="3"/>
      <c r="CY106" s="3"/>
      <c r="CZ106" s="3"/>
      <c r="DA106" s="3"/>
      <c r="DK106" s="31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HK106" s="3"/>
      <c r="HL106" s="3"/>
      <c r="HM106" s="3"/>
      <c r="HN106" s="3"/>
      <c r="HO106" s="3"/>
      <c r="HP106" s="3"/>
      <c r="HQ106" s="3"/>
      <c r="HR106" s="3"/>
      <c r="HS106" s="3"/>
      <c r="HT106" s="3"/>
      <c r="HU106" s="3"/>
      <c r="HV106" s="3"/>
      <c r="HW106" s="3"/>
      <c r="HX106" s="3"/>
    </row>
    <row r="107" spans="1:232">
      <c r="A107" s="10" t="s">
        <v>218</v>
      </c>
      <c r="B107" s="11">
        <f>AVERAGE(E107:AE107)</f>
        <v>1.2962962962962963</v>
      </c>
      <c r="C107" s="2">
        <f>MIN(E107:AE107)</f>
        <v>0</v>
      </c>
      <c r="D107" s="12">
        <f>MAX(E107:AE107)</f>
        <v>3</v>
      </c>
      <c r="E107" s="13">
        <v>0</v>
      </c>
      <c r="F107" s="13">
        <v>2</v>
      </c>
      <c r="G107" s="13">
        <v>1</v>
      </c>
      <c r="H107" s="13">
        <v>2</v>
      </c>
      <c r="I107" s="13">
        <v>0</v>
      </c>
      <c r="J107" s="13">
        <v>2</v>
      </c>
      <c r="K107" s="13">
        <v>0</v>
      </c>
      <c r="L107" s="13">
        <v>0</v>
      </c>
      <c r="M107" s="13">
        <v>3</v>
      </c>
      <c r="N107" s="2">
        <v>2</v>
      </c>
      <c r="O107" s="13">
        <v>1</v>
      </c>
      <c r="P107" s="13">
        <v>3</v>
      </c>
      <c r="Q107" s="13">
        <v>0</v>
      </c>
      <c r="R107" s="13">
        <v>2</v>
      </c>
      <c r="S107" s="13">
        <v>0</v>
      </c>
      <c r="T107" s="13">
        <v>1</v>
      </c>
      <c r="U107" s="13">
        <v>2</v>
      </c>
      <c r="V107" s="21">
        <v>1</v>
      </c>
      <c r="W107" s="13">
        <v>1</v>
      </c>
      <c r="X107" s="13">
        <v>3</v>
      </c>
      <c r="Y107" s="13">
        <v>2</v>
      </c>
      <c r="Z107" s="13">
        <v>2</v>
      </c>
      <c r="AA107" s="13">
        <v>0</v>
      </c>
      <c r="AB107" s="13">
        <v>2</v>
      </c>
      <c r="AC107" s="13">
        <v>2</v>
      </c>
      <c r="AD107" s="13">
        <v>1</v>
      </c>
      <c r="AE107" s="13">
        <v>0</v>
      </c>
      <c r="AF107" s="13">
        <v>0</v>
      </c>
      <c r="AG107" s="13"/>
      <c r="AH107" s="13"/>
      <c r="CB107" s="3"/>
      <c r="CU107" s="3"/>
      <c r="CV107" s="3"/>
      <c r="CW107" s="3"/>
      <c r="CX107" s="3"/>
      <c r="CY107" s="3"/>
      <c r="CZ107" s="3"/>
      <c r="DA107" s="3"/>
      <c r="DK107" s="31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HK107" s="3"/>
      <c r="HL107" s="3"/>
      <c r="HM107" s="3"/>
      <c r="HN107" s="3"/>
      <c r="HO107" s="3"/>
      <c r="HP107" s="3"/>
      <c r="HQ107" s="3"/>
      <c r="HR107" s="3"/>
      <c r="HS107" s="3"/>
      <c r="HT107" s="3"/>
      <c r="HU107" s="3"/>
      <c r="HV107" s="3"/>
      <c r="HW107" s="3"/>
      <c r="HX107" s="3"/>
    </row>
    <row r="108" spans="1:232">
      <c r="A108" s="10" t="s">
        <v>219</v>
      </c>
      <c r="B108" s="11">
        <f>AVERAGE(E108:AE108)</f>
        <v>1.2962962962962963</v>
      </c>
      <c r="C108" s="2">
        <f>MIN(E108:AE108)</f>
        <v>0</v>
      </c>
      <c r="D108" s="12">
        <f>MAX(E108:AE108)</f>
        <v>3</v>
      </c>
      <c r="E108" s="13">
        <v>0</v>
      </c>
      <c r="F108" s="13">
        <v>2</v>
      </c>
      <c r="G108" s="13">
        <v>1</v>
      </c>
      <c r="H108" s="13">
        <v>2</v>
      </c>
      <c r="I108" s="13">
        <v>0</v>
      </c>
      <c r="J108" s="13">
        <v>2</v>
      </c>
      <c r="K108" s="13">
        <v>0</v>
      </c>
      <c r="L108" s="13">
        <v>0</v>
      </c>
      <c r="M108" s="13">
        <v>3</v>
      </c>
      <c r="N108" s="13">
        <v>2</v>
      </c>
      <c r="O108" s="13">
        <v>1</v>
      </c>
      <c r="P108" s="13">
        <v>3</v>
      </c>
      <c r="Q108" s="13">
        <v>0</v>
      </c>
      <c r="R108" s="13">
        <v>2</v>
      </c>
      <c r="S108" s="13">
        <v>0</v>
      </c>
      <c r="T108" s="13">
        <v>1</v>
      </c>
      <c r="U108" s="13">
        <v>2</v>
      </c>
      <c r="V108" s="13">
        <v>1</v>
      </c>
      <c r="W108" s="13">
        <v>1</v>
      </c>
      <c r="X108" s="13">
        <v>3</v>
      </c>
      <c r="Y108" s="13">
        <v>2</v>
      </c>
      <c r="Z108" s="13">
        <v>2</v>
      </c>
      <c r="AA108" s="13">
        <v>0</v>
      </c>
      <c r="AB108" s="13">
        <v>2</v>
      </c>
      <c r="AC108" s="13">
        <v>2</v>
      </c>
      <c r="AD108" s="13">
        <v>1</v>
      </c>
      <c r="AE108" s="13">
        <v>0</v>
      </c>
      <c r="AF108" s="13">
        <v>0</v>
      </c>
      <c r="AG108" s="13"/>
      <c r="AH108" s="13"/>
      <c r="CB108" s="3"/>
      <c r="CU108" s="3"/>
      <c r="CV108" s="3"/>
      <c r="CW108" s="3"/>
      <c r="CX108" s="3"/>
      <c r="CY108" s="3"/>
      <c r="CZ108" s="3"/>
      <c r="DA108" s="3"/>
      <c r="DK108" s="31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HK108" s="3"/>
      <c r="HL108" s="3"/>
      <c r="HM108" s="3"/>
      <c r="HN108" s="3"/>
      <c r="HO108" s="3"/>
      <c r="HP108" s="3"/>
      <c r="HQ108" s="3"/>
      <c r="HR108" s="3"/>
      <c r="HS108" s="3"/>
      <c r="HT108" s="3"/>
      <c r="HU108" s="3"/>
      <c r="HV108" s="3"/>
      <c r="HW108" s="3"/>
      <c r="HX108" s="3"/>
    </row>
    <row r="109" spans="1:232">
      <c r="A109" s="10" t="s">
        <v>220</v>
      </c>
      <c r="B109" s="11">
        <f>AVERAGE(E109:AE109)</f>
        <v>1.3703703703703705</v>
      </c>
      <c r="C109" s="2">
        <f>MIN(E109:AE109)</f>
        <v>0</v>
      </c>
      <c r="D109" s="12">
        <f>MAX(E109:AE109)</f>
        <v>3</v>
      </c>
      <c r="E109" s="13">
        <v>0</v>
      </c>
      <c r="F109" s="13">
        <v>2</v>
      </c>
      <c r="G109" s="13">
        <v>1</v>
      </c>
      <c r="H109" s="13">
        <v>2</v>
      </c>
      <c r="I109" s="13">
        <v>0</v>
      </c>
      <c r="J109" s="13">
        <v>2</v>
      </c>
      <c r="K109" s="13">
        <v>0</v>
      </c>
      <c r="L109" s="13">
        <v>0</v>
      </c>
      <c r="M109" s="13">
        <v>3</v>
      </c>
      <c r="N109" s="21">
        <v>3</v>
      </c>
      <c r="O109" s="13">
        <v>1</v>
      </c>
      <c r="P109" s="13">
        <v>3</v>
      </c>
      <c r="Q109" s="13">
        <v>0</v>
      </c>
      <c r="R109" s="13">
        <v>2</v>
      </c>
      <c r="S109" s="13">
        <v>0</v>
      </c>
      <c r="T109" s="13">
        <v>2</v>
      </c>
      <c r="U109" s="13">
        <v>2</v>
      </c>
      <c r="V109" s="13">
        <v>1</v>
      </c>
      <c r="W109" s="13">
        <v>1</v>
      </c>
      <c r="X109" s="13">
        <v>3</v>
      </c>
      <c r="Y109" s="13">
        <v>2</v>
      </c>
      <c r="Z109" s="13">
        <v>2</v>
      </c>
      <c r="AA109" s="13">
        <v>0</v>
      </c>
      <c r="AB109" s="13">
        <v>2</v>
      </c>
      <c r="AC109" s="13">
        <v>2</v>
      </c>
      <c r="AD109" s="13">
        <v>1</v>
      </c>
      <c r="AE109" s="13">
        <v>0</v>
      </c>
      <c r="AF109" s="13">
        <v>0</v>
      </c>
      <c r="AG109" s="13"/>
      <c r="AH109" s="13"/>
      <c r="CB109" s="3"/>
      <c r="CU109" s="3"/>
      <c r="CV109" s="3"/>
      <c r="CW109" s="3"/>
      <c r="CX109" s="3"/>
      <c r="CY109" s="3"/>
      <c r="CZ109" s="3"/>
      <c r="DA109" s="3"/>
      <c r="DK109" s="31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  <c r="EC109" s="3"/>
      <c r="ED109" s="3"/>
      <c r="EE109" s="3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HK109" s="3"/>
      <c r="HL109" s="3"/>
      <c r="HM109" s="3"/>
      <c r="HN109" s="3"/>
      <c r="HO109" s="3"/>
      <c r="HP109" s="3"/>
      <c r="HQ109" s="3"/>
      <c r="HR109" s="3"/>
      <c r="HS109" s="3"/>
      <c r="HT109" s="3"/>
      <c r="HU109" s="3"/>
      <c r="HV109" s="3"/>
      <c r="HW109" s="3"/>
      <c r="HX109" s="3"/>
    </row>
    <row r="110" spans="1:232">
      <c r="A110" s="10" t="s">
        <v>221</v>
      </c>
      <c r="B110" s="11">
        <f>AVERAGE(E110:AE110)</f>
        <v>1.4074074074074074</v>
      </c>
      <c r="C110" s="2">
        <f>MIN(E110:AE110)</f>
        <v>0</v>
      </c>
      <c r="D110" s="12">
        <f>MAX(E110:AE110)</f>
        <v>3</v>
      </c>
      <c r="E110" s="13">
        <v>0</v>
      </c>
      <c r="F110" s="21">
        <v>3</v>
      </c>
      <c r="G110" s="13">
        <v>1</v>
      </c>
      <c r="H110" s="13">
        <v>2</v>
      </c>
      <c r="I110" s="13">
        <v>0</v>
      </c>
      <c r="J110" s="13">
        <v>2</v>
      </c>
      <c r="K110" s="13">
        <v>0</v>
      </c>
      <c r="L110" s="13">
        <v>0</v>
      </c>
      <c r="M110" s="13">
        <v>3</v>
      </c>
      <c r="N110" s="13">
        <v>3</v>
      </c>
      <c r="O110" s="13">
        <v>1</v>
      </c>
      <c r="P110" s="13">
        <v>3</v>
      </c>
      <c r="Q110" s="13">
        <v>0</v>
      </c>
      <c r="R110" s="13">
        <v>2</v>
      </c>
      <c r="S110" s="13">
        <v>0</v>
      </c>
      <c r="T110" s="13">
        <v>2</v>
      </c>
      <c r="U110" s="13">
        <v>2</v>
      </c>
      <c r="V110" s="13">
        <v>1</v>
      </c>
      <c r="W110" s="13">
        <v>1</v>
      </c>
      <c r="X110" s="13">
        <v>3</v>
      </c>
      <c r="Y110" s="13">
        <v>2</v>
      </c>
      <c r="Z110" s="13">
        <v>2</v>
      </c>
      <c r="AA110" s="13">
        <v>0</v>
      </c>
      <c r="AB110" s="13">
        <v>2</v>
      </c>
      <c r="AC110" s="13">
        <v>2</v>
      </c>
      <c r="AD110" s="13">
        <v>1</v>
      </c>
      <c r="AE110" s="13">
        <v>0</v>
      </c>
      <c r="AF110" s="13">
        <v>0</v>
      </c>
      <c r="AG110" s="13"/>
      <c r="AH110" s="13"/>
      <c r="CB110" s="3"/>
      <c r="CU110" s="3"/>
      <c r="CV110" s="3"/>
      <c r="CW110" s="3"/>
      <c r="CX110" s="3"/>
      <c r="CY110" s="3"/>
      <c r="CZ110" s="3"/>
      <c r="DA110" s="3"/>
      <c r="DK110" s="31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HK110" s="3"/>
      <c r="HL110" s="3"/>
      <c r="HM110" s="3"/>
      <c r="HN110" s="3"/>
      <c r="HO110" s="3"/>
      <c r="HP110" s="3"/>
      <c r="HQ110" s="3"/>
      <c r="HR110" s="3"/>
      <c r="HS110" s="3"/>
      <c r="HT110" s="3"/>
      <c r="HU110" s="3"/>
      <c r="HV110" s="3"/>
      <c r="HW110" s="3"/>
      <c r="HX110" s="3"/>
    </row>
    <row r="111" spans="1:232">
      <c r="A111" s="10" t="s">
        <v>222</v>
      </c>
      <c r="B111" s="11">
        <f>AVERAGE(E111:AE111)</f>
        <v>1.4074074074074074</v>
      </c>
      <c r="C111" s="2">
        <f>MIN(E111:AE111)</f>
        <v>0</v>
      </c>
      <c r="D111" s="12">
        <f>MAX(E111:AE111)</f>
        <v>3</v>
      </c>
      <c r="E111" s="13">
        <v>0</v>
      </c>
      <c r="F111" s="13">
        <v>3</v>
      </c>
      <c r="G111" s="13">
        <v>1</v>
      </c>
      <c r="H111" s="13">
        <v>2</v>
      </c>
      <c r="I111" s="13">
        <v>0</v>
      </c>
      <c r="J111" s="13">
        <v>2</v>
      </c>
      <c r="K111" s="13">
        <v>0</v>
      </c>
      <c r="L111" s="13">
        <v>0</v>
      </c>
      <c r="M111" s="13">
        <v>3</v>
      </c>
      <c r="N111" s="13">
        <v>3</v>
      </c>
      <c r="O111" s="13">
        <v>1</v>
      </c>
      <c r="P111" s="13">
        <v>3</v>
      </c>
      <c r="Q111" s="13">
        <v>0</v>
      </c>
      <c r="R111" s="13">
        <v>2</v>
      </c>
      <c r="S111" s="13">
        <v>0</v>
      </c>
      <c r="T111" s="13">
        <v>2</v>
      </c>
      <c r="U111" s="13">
        <v>2</v>
      </c>
      <c r="V111" s="13">
        <v>1</v>
      </c>
      <c r="W111" s="13">
        <v>1</v>
      </c>
      <c r="X111" s="13">
        <v>3</v>
      </c>
      <c r="Y111" s="13">
        <v>2</v>
      </c>
      <c r="Z111" s="13">
        <v>2</v>
      </c>
      <c r="AA111" s="13">
        <v>0</v>
      </c>
      <c r="AB111" s="13">
        <v>2</v>
      </c>
      <c r="AC111" s="13">
        <v>2</v>
      </c>
      <c r="AD111" s="13">
        <v>1</v>
      </c>
      <c r="AE111" s="13">
        <v>0</v>
      </c>
      <c r="AF111" s="13">
        <v>0</v>
      </c>
      <c r="AG111" s="13"/>
      <c r="AH111" s="13"/>
      <c r="CB111" s="3"/>
      <c r="CU111" s="3"/>
      <c r="CV111" s="3"/>
      <c r="CW111" s="3"/>
      <c r="CX111" s="3"/>
      <c r="CY111" s="3"/>
      <c r="CZ111" s="3"/>
      <c r="DA111" s="3"/>
      <c r="DK111" s="31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  <c r="EC111" s="3"/>
      <c r="ED111" s="3"/>
      <c r="EE111" s="3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HK111" s="3"/>
      <c r="HL111" s="3"/>
      <c r="HM111" s="3"/>
      <c r="HN111" s="3"/>
      <c r="HO111" s="3"/>
      <c r="HP111" s="3"/>
      <c r="HQ111" s="3"/>
      <c r="HR111" s="3"/>
      <c r="HS111" s="3"/>
      <c r="HT111" s="3"/>
      <c r="HU111" s="3"/>
      <c r="HV111" s="3"/>
      <c r="HW111" s="3"/>
      <c r="HX111" s="3"/>
    </row>
    <row r="112" spans="1:232">
      <c r="A112" s="10" t="s">
        <v>223</v>
      </c>
      <c r="B112" s="11">
        <f>AVERAGE(E112:AE112)</f>
        <v>1.4444444444444444</v>
      </c>
      <c r="C112" s="2">
        <f>MIN(E112:AE112)</f>
        <v>0</v>
      </c>
      <c r="D112" s="12">
        <f>MAX(E112:AE112)</f>
        <v>3</v>
      </c>
      <c r="E112" s="13">
        <v>0</v>
      </c>
      <c r="F112" s="13">
        <v>3</v>
      </c>
      <c r="G112" s="13">
        <v>1</v>
      </c>
      <c r="H112" s="13">
        <v>2</v>
      </c>
      <c r="I112" s="13">
        <v>0</v>
      </c>
      <c r="J112" s="13">
        <v>2</v>
      </c>
      <c r="K112" s="21">
        <v>1</v>
      </c>
      <c r="L112" s="13">
        <v>0</v>
      </c>
      <c r="M112" s="13">
        <v>3</v>
      </c>
      <c r="N112" s="13">
        <v>3</v>
      </c>
      <c r="O112" s="13">
        <v>1</v>
      </c>
      <c r="P112" s="13">
        <v>3</v>
      </c>
      <c r="Q112" s="13">
        <v>0</v>
      </c>
      <c r="R112" s="13">
        <v>2</v>
      </c>
      <c r="S112" s="13">
        <v>0</v>
      </c>
      <c r="T112" s="13">
        <v>2</v>
      </c>
      <c r="U112" s="13">
        <v>2</v>
      </c>
      <c r="V112" s="13">
        <v>1</v>
      </c>
      <c r="W112" s="13">
        <v>1</v>
      </c>
      <c r="X112" s="13">
        <v>3</v>
      </c>
      <c r="Y112" s="13">
        <v>2</v>
      </c>
      <c r="Z112" s="13">
        <v>2</v>
      </c>
      <c r="AA112" s="13">
        <v>0</v>
      </c>
      <c r="AB112" s="13">
        <v>2</v>
      </c>
      <c r="AC112" s="13">
        <v>2</v>
      </c>
      <c r="AD112" s="13">
        <v>1</v>
      </c>
      <c r="AE112" s="13">
        <v>0</v>
      </c>
      <c r="AF112" s="13">
        <v>0</v>
      </c>
      <c r="AG112" s="13"/>
      <c r="AH112" s="13"/>
      <c r="CB112" s="3"/>
      <c r="CU112" s="3"/>
      <c r="CV112" s="3"/>
      <c r="CW112" s="3"/>
      <c r="CX112" s="3"/>
      <c r="CY112" s="3"/>
      <c r="CZ112" s="3"/>
      <c r="DA112" s="3"/>
      <c r="DK112" s="31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HK112" s="3"/>
      <c r="HL112" s="3"/>
      <c r="HM112" s="3"/>
      <c r="HN112" s="3"/>
      <c r="HO112" s="3"/>
      <c r="HP112" s="3"/>
      <c r="HQ112" s="3"/>
      <c r="HR112" s="3"/>
      <c r="HS112" s="3"/>
      <c r="HT112" s="3"/>
      <c r="HU112" s="3"/>
      <c r="HV112" s="3"/>
      <c r="HW112" s="3"/>
      <c r="HX112" s="3"/>
    </row>
    <row r="113" spans="1:232">
      <c r="A113" s="10" t="s">
        <v>224</v>
      </c>
      <c r="B113" s="11">
        <f>AVERAGE(E113:AE113)</f>
        <v>1.5185185185185186</v>
      </c>
      <c r="C113" s="2">
        <f>MIN(E113:AE113)</f>
        <v>0</v>
      </c>
      <c r="D113" s="12">
        <f>MAX(E113:AE113)</f>
        <v>3</v>
      </c>
      <c r="E113" s="13">
        <v>0</v>
      </c>
      <c r="F113" s="13">
        <v>3</v>
      </c>
      <c r="G113" s="13">
        <v>1</v>
      </c>
      <c r="H113" s="13">
        <v>2</v>
      </c>
      <c r="I113" s="13">
        <v>0</v>
      </c>
      <c r="J113" s="21">
        <v>3</v>
      </c>
      <c r="K113" s="13">
        <v>1</v>
      </c>
      <c r="L113" s="13">
        <v>0</v>
      </c>
      <c r="M113" s="13">
        <v>3</v>
      </c>
      <c r="N113" s="13">
        <v>3</v>
      </c>
      <c r="O113" s="13">
        <v>1</v>
      </c>
      <c r="P113" s="13">
        <v>3</v>
      </c>
      <c r="Q113" s="13">
        <v>0</v>
      </c>
      <c r="R113" s="13">
        <v>2</v>
      </c>
      <c r="S113" s="21">
        <v>1</v>
      </c>
      <c r="T113" s="13">
        <v>2</v>
      </c>
      <c r="U113" s="13">
        <v>2</v>
      </c>
      <c r="V113" s="13">
        <v>1</v>
      </c>
      <c r="W113" s="13">
        <v>1</v>
      </c>
      <c r="X113" s="13">
        <v>3</v>
      </c>
      <c r="Y113" s="13">
        <v>2</v>
      </c>
      <c r="Z113" s="13">
        <v>2</v>
      </c>
      <c r="AA113" s="13">
        <v>0</v>
      </c>
      <c r="AB113" s="13">
        <v>2</v>
      </c>
      <c r="AC113" s="13">
        <v>2</v>
      </c>
      <c r="AD113" s="13">
        <v>1</v>
      </c>
      <c r="AE113" s="13">
        <v>0</v>
      </c>
      <c r="AF113" s="13">
        <v>0</v>
      </c>
      <c r="AG113" s="13"/>
      <c r="AH113" s="13"/>
      <c r="CB113" s="3"/>
      <c r="CU113" s="3"/>
      <c r="CV113" s="3"/>
      <c r="CW113" s="3"/>
      <c r="CX113" s="3"/>
      <c r="CY113" s="3"/>
      <c r="CZ113" s="3"/>
      <c r="DA113" s="3"/>
      <c r="DK113" s="31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  <c r="EA113" s="3"/>
      <c r="EB113" s="3"/>
      <c r="EC113" s="3"/>
      <c r="ED113" s="3"/>
      <c r="EE113" s="3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  <c r="EU113" s="3"/>
      <c r="EV113" s="3"/>
      <c r="EW113" s="3"/>
      <c r="HK113" s="3"/>
      <c r="HL113" s="3"/>
      <c r="HM113" s="3"/>
      <c r="HN113" s="3"/>
      <c r="HO113" s="3"/>
      <c r="HP113" s="3"/>
      <c r="HQ113" s="3"/>
      <c r="HR113" s="3"/>
      <c r="HS113" s="3"/>
      <c r="HT113" s="3"/>
      <c r="HU113" s="3"/>
      <c r="HV113" s="3"/>
      <c r="HW113" s="3"/>
      <c r="HX113" s="3"/>
    </row>
    <row r="114" spans="1:232">
      <c r="A114" s="10" t="s">
        <v>225</v>
      </c>
      <c r="B114" s="11">
        <f>AVERAGE(E114:AE114)</f>
        <v>1.5925925925925926</v>
      </c>
      <c r="C114" s="2">
        <f>MIN(E114:AE114)</f>
        <v>0</v>
      </c>
      <c r="D114" s="12">
        <f>MAX(E114:AE114)</f>
        <v>3</v>
      </c>
      <c r="E114" s="13">
        <v>0</v>
      </c>
      <c r="F114" s="13">
        <v>3</v>
      </c>
      <c r="G114" s="13">
        <v>1</v>
      </c>
      <c r="H114" s="21">
        <v>3</v>
      </c>
      <c r="I114" s="21">
        <v>1</v>
      </c>
      <c r="J114" s="13">
        <v>3</v>
      </c>
      <c r="K114" s="13">
        <v>1</v>
      </c>
      <c r="L114" s="13">
        <v>0</v>
      </c>
      <c r="M114" s="13">
        <v>3</v>
      </c>
      <c r="N114" s="13">
        <v>3</v>
      </c>
      <c r="O114" s="13">
        <v>1</v>
      </c>
      <c r="P114" s="13">
        <v>3</v>
      </c>
      <c r="Q114" s="13">
        <v>0</v>
      </c>
      <c r="R114" s="13">
        <v>2</v>
      </c>
      <c r="S114" s="13">
        <v>1</v>
      </c>
      <c r="T114" s="13">
        <v>2</v>
      </c>
      <c r="U114" s="13">
        <v>2</v>
      </c>
      <c r="V114" s="13">
        <v>1</v>
      </c>
      <c r="W114" s="13">
        <v>1</v>
      </c>
      <c r="X114" s="13">
        <v>3</v>
      </c>
      <c r="Y114" s="13">
        <v>2</v>
      </c>
      <c r="Z114" s="13">
        <v>2</v>
      </c>
      <c r="AA114" s="13">
        <v>0</v>
      </c>
      <c r="AB114" s="13">
        <v>2</v>
      </c>
      <c r="AC114" s="13">
        <v>2</v>
      </c>
      <c r="AD114" s="13">
        <v>1</v>
      </c>
      <c r="AE114" s="13">
        <v>0</v>
      </c>
      <c r="AF114" s="21">
        <v>1</v>
      </c>
      <c r="AG114" s="13"/>
      <c r="AH114" s="13"/>
      <c r="CB114" s="3"/>
      <c r="CU114" s="3"/>
      <c r="CV114" s="3"/>
      <c r="CW114" s="3"/>
      <c r="CX114" s="3"/>
      <c r="CY114" s="3"/>
      <c r="CZ114" s="3"/>
      <c r="DA114" s="3"/>
      <c r="DK114" s="31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  <c r="EA114" s="3"/>
      <c r="EB114" s="3"/>
      <c r="EC114" s="3"/>
      <c r="ED114" s="3"/>
      <c r="EE114" s="3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  <c r="EU114" s="3"/>
      <c r="EV114" s="3"/>
      <c r="EW114" s="3"/>
      <c r="HK114" s="3"/>
      <c r="HL114" s="3"/>
      <c r="HM114" s="3"/>
      <c r="HN114" s="3"/>
      <c r="HO114" s="3"/>
      <c r="HP114" s="3"/>
      <c r="HQ114" s="3"/>
      <c r="HR114" s="3"/>
      <c r="HS114" s="3"/>
      <c r="HT114" s="3"/>
      <c r="HU114" s="3"/>
      <c r="HV114" s="3"/>
      <c r="HW114" s="3"/>
      <c r="HX114" s="3"/>
    </row>
    <row r="115" spans="1:232">
      <c r="A115" s="10" t="s">
        <v>226</v>
      </c>
      <c r="B115" s="11">
        <f>AVERAGE(E115:AE115)</f>
        <v>1.5925925925925926</v>
      </c>
      <c r="C115" s="2">
        <f>MIN(E115:AE115)</f>
        <v>0</v>
      </c>
      <c r="D115" s="12">
        <f>MAX(E115:AE115)</f>
        <v>3</v>
      </c>
      <c r="E115" s="13">
        <v>0</v>
      </c>
      <c r="F115" s="13">
        <v>3</v>
      </c>
      <c r="G115" s="13">
        <v>1</v>
      </c>
      <c r="H115" s="13">
        <v>3</v>
      </c>
      <c r="I115" s="13">
        <v>1</v>
      </c>
      <c r="J115" s="13">
        <v>3</v>
      </c>
      <c r="K115" s="13">
        <v>1</v>
      </c>
      <c r="L115" s="13">
        <v>0</v>
      </c>
      <c r="M115" s="13">
        <v>3</v>
      </c>
      <c r="N115" s="13">
        <v>3</v>
      </c>
      <c r="O115" s="13">
        <v>1</v>
      </c>
      <c r="P115" s="13">
        <v>3</v>
      </c>
      <c r="Q115" s="13">
        <v>0</v>
      </c>
      <c r="R115" s="13">
        <v>2</v>
      </c>
      <c r="S115" s="13">
        <v>1</v>
      </c>
      <c r="T115" s="13">
        <v>2</v>
      </c>
      <c r="U115" s="13">
        <v>2</v>
      </c>
      <c r="V115" s="13">
        <v>1</v>
      </c>
      <c r="W115" s="13">
        <v>1</v>
      </c>
      <c r="X115" s="13">
        <v>3</v>
      </c>
      <c r="Y115" s="13">
        <v>2</v>
      </c>
      <c r="Z115" s="13">
        <v>2</v>
      </c>
      <c r="AA115" s="13">
        <v>0</v>
      </c>
      <c r="AB115" s="13">
        <v>2</v>
      </c>
      <c r="AC115" s="13">
        <v>2</v>
      </c>
      <c r="AD115" s="13">
        <v>1</v>
      </c>
      <c r="AE115" s="13">
        <v>0</v>
      </c>
      <c r="AF115" s="13">
        <v>1</v>
      </c>
      <c r="AG115" s="13"/>
      <c r="AH115" s="13"/>
      <c r="CB115" s="3"/>
      <c r="CU115" s="3"/>
      <c r="CV115" s="3"/>
      <c r="CW115" s="3"/>
      <c r="CX115" s="3"/>
      <c r="CY115" s="3"/>
      <c r="CZ115" s="3"/>
      <c r="DA115" s="3"/>
      <c r="DK115" s="31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  <c r="EA115" s="3"/>
      <c r="EB115" s="3"/>
      <c r="EC115" s="3"/>
      <c r="ED115" s="3"/>
      <c r="EE115" s="3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  <c r="EU115" s="3"/>
      <c r="EV115" s="3"/>
      <c r="EW115" s="3"/>
      <c r="HK115" s="3"/>
      <c r="HL115" s="3"/>
      <c r="HM115" s="3"/>
      <c r="HN115" s="3"/>
      <c r="HO115" s="3"/>
      <c r="HP115" s="3"/>
      <c r="HQ115" s="3"/>
      <c r="HR115" s="3"/>
      <c r="HS115" s="3"/>
      <c r="HT115" s="3"/>
      <c r="HU115" s="3"/>
      <c r="HV115" s="3"/>
      <c r="HW115" s="3"/>
      <c r="HX115" s="3"/>
    </row>
    <row r="116" spans="1:232">
      <c r="A116" s="10" t="s">
        <v>227</v>
      </c>
      <c r="B116" s="11">
        <f>AVERAGE(E116:AE116)</f>
        <v>1.5925925925925926</v>
      </c>
      <c r="C116" s="2">
        <f>MIN(E116:AE116)</f>
        <v>0</v>
      </c>
      <c r="D116" s="12">
        <f>MAX(E116:AE116)</f>
        <v>3</v>
      </c>
      <c r="E116" s="13">
        <v>0</v>
      </c>
      <c r="F116" s="13">
        <v>3</v>
      </c>
      <c r="G116" s="13">
        <v>1</v>
      </c>
      <c r="H116" s="13">
        <v>3</v>
      </c>
      <c r="I116" s="13">
        <v>1</v>
      </c>
      <c r="J116" s="13">
        <v>3</v>
      </c>
      <c r="K116" s="13">
        <v>1</v>
      </c>
      <c r="L116" s="13">
        <v>0</v>
      </c>
      <c r="M116" s="13">
        <v>3</v>
      </c>
      <c r="N116" s="13">
        <v>3</v>
      </c>
      <c r="O116" s="13">
        <v>1</v>
      </c>
      <c r="P116" s="13">
        <v>3</v>
      </c>
      <c r="Q116" s="13">
        <v>0</v>
      </c>
      <c r="R116" s="13">
        <v>2</v>
      </c>
      <c r="S116" s="13">
        <v>1</v>
      </c>
      <c r="T116" s="13">
        <v>2</v>
      </c>
      <c r="U116" s="13">
        <v>2</v>
      </c>
      <c r="V116" s="13">
        <v>1</v>
      </c>
      <c r="W116" s="13">
        <v>1</v>
      </c>
      <c r="X116" s="13">
        <v>3</v>
      </c>
      <c r="Y116" s="13">
        <v>2</v>
      </c>
      <c r="Z116" s="13">
        <v>2</v>
      </c>
      <c r="AA116" s="13">
        <v>0</v>
      </c>
      <c r="AB116" s="13">
        <v>2</v>
      </c>
      <c r="AC116" s="13">
        <v>2</v>
      </c>
      <c r="AD116" s="13">
        <v>1</v>
      </c>
      <c r="AE116" s="13">
        <v>0</v>
      </c>
      <c r="AF116" s="13">
        <v>1</v>
      </c>
      <c r="AG116" s="13"/>
      <c r="AH116" s="13"/>
      <c r="CB116" s="3"/>
      <c r="CU116" s="3"/>
      <c r="CV116" s="3"/>
      <c r="CW116" s="3"/>
      <c r="CX116" s="3"/>
      <c r="CY116" s="3"/>
      <c r="CZ116" s="3"/>
      <c r="DA116" s="3"/>
      <c r="DK116" s="31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  <c r="EA116" s="3"/>
      <c r="EB116" s="3"/>
      <c r="EC116" s="3"/>
      <c r="ED116" s="3"/>
      <c r="EE116" s="3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  <c r="EU116" s="3"/>
      <c r="EV116" s="3"/>
      <c r="EW116" s="3"/>
      <c r="HK116" s="3"/>
      <c r="HL116" s="3"/>
      <c r="HM116" s="3"/>
      <c r="HN116" s="3"/>
      <c r="HO116" s="3"/>
      <c r="HP116" s="3"/>
      <c r="HQ116" s="3"/>
      <c r="HR116" s="3"/>
      <c r="HS116" s="3"/>
      <c r="HT116" s="3"/>
      <c r="HU116" s="3"/>
      <c r="HV116" s="3"/>
      <c r="HW116" s="3"/>
      <c r="HX116" s="3"/>
    </row>
    <row r="117" spans="1:232">
      <c r="A117" s="10" t="s">
        <v>228</v>
      </c>
      <c r="B117" s="11">
        <f>AVERAGE(E117:AE117)</f>
        <v>1.6666666666666667</v>
      </c>
      <c r="C117" s="2">
        <f>MIN(E117:AE117)</f>
        <v>0</v>
      </c>
      <c r="D117" s="12">
        <f>MAX(E117:AE117)</f>
        <v>3</v>
      </c>
      <c r="E117" s="13">
        <v>0</v>
      </c>
      <c r="F117" s="13">
        <v>3</v>
      </c>
      <c r="G117" s="13">
        <v>1</v>
      </c>
      <c r="H117" s="13">
        <v>3</v>
      </c>
      <c r="I117" s="13">
        <v>1</v>
      </c>
      <c r="J117" s="13">
        <v>3</v>
      </c>
      <c r="K117" s="13">
        <v>1</v>
      </c>
      <c r="L117" s="13">
        <v>1</v>
      </c>
      <c r="M117" s="13">
        <v>3</v>
      </c>
      <c r="N117" s="13">
        <v>3</v>
      </c>
      <c r="O117" s="13">
        <v>1</v>
      </c>
      <c r="P117" s="13">
        <v>3</v>
      </c>
      <c r="Q117" s="13">
        <v>0</v>
      </c>
      <c r="R117" s="13">
        <v>2</v>
      </c>
      <c r="S117" s="13">
        <v>1</v>
      </c>
      <c r="T117" s="21">
        <v>3</v>
      </c>
      <c r="U117" s="13">
        <v>2</v>
      </c>
      <c r="V117" s="13">
        <v>1</v>
      </c>
      <c r="W117" s="13">
        <v>1</v>
      </c>
      <c r="X117" s="13">
        <v>3</v>
      </c>
      <c r="Y117" s="13">
        <v>2</v>
      </c>
      <c r="Z117" s="13">
        <v>2</v>
      </c>
      <c r="AA117" s="13">
        <v>0</v>
      </c>
      <c r="AB117" s="13">
        <v>2</v>
      </c>
      <c r="AC117" s="13">
        <v>2</v>
      </c>
      <c r="AD117" s="13">
        <v>1</v>
      </c>
      <c r="AE117" s="13">
        <v>0</v>
      </c>
      <c r="AF117" s="13">
        <v>1</v>
      </c>
      <c r="AG117" s="13"/>
      <c r="AH117" s="13"/>
      <c r="CB117" s="3"/>
      <c r="CU117" s="3"/>
      <c r="CV117" s="3"/>
      <c r="CW117" s="3"/>
      <c r="CX117" s="3"/>
      <c r="CY117" s="3"/>
      <c r="CZ117" s="3"/>
      <c r="DA117" s="3"/>
      <c r="DK117" s="31"/>
      <c r="DL117" s="3"/>
      <c r="DM117" s="3"/>
      <c r="DN117" s="3"/>
      <c r="DO117" s="3"/>
      <c r="DP117" s="3"/>
      <c r="DQ117" s="3"/>
      <c r="DR117" s="3"/>
      <c r="DS117" s="3"/>
      <c r="DT117" s="3"/>
      <c r="DU117" s="3"/>
      <c r="DV117" s="3"/>
      <c r="DW117" s="3"/>
      <c r="DX117" s="3"/>
      <c r="DY117" s="3"/>
      <c r="DZ117" s="3"/>
      <c r="EA117" s="3"/>
      <c r="EB117" s="3"/>
      <c r="EC117" s="3"/>
      <c r="ED117" s="3"/>
      <c r="EE117" s="3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  <c r="EU117" s="3"/>
      <c r="EV117" s="3"/>
      <c r="EW117" s="3"/>
      <c r="HK117" s="3"/>
      <c r="HL117" s="3"/>
      <c r="HM117" s="3"/>
      <c r="HN117" s="3"/>
      <c r="HO117" s="3"/>
      <c r="HP117" s="3"/>
      <c r="HQ117" s="3"/>
      <c r="HR117" s="3"/>
      <c r="HS117" s="3"/>
      <c r="HT117" s="3"/>
      <c r="HU117" s="3"/>
      <c r="HV117" s="3"/>
      <c r="HW117" s="3"/>
      <c r="HX117" s="3"/>
    </row>
    <row r="118" spans="1:232">
      <c r="A118" s="10" t="s">
        <v>229</v>
      </c>
      <c r="B118" s="11">
        <f>AVERAGE(E118:AE118)</f>
        <v>1.7407407407407407</v>
      </c>
      <c r="C118" s="2">
        <f>MIN(E118:AE118)</f>
        <v>0</v>
      </c>
      <c r="D118" s="12">
        <f>MAX(E118:AE118)</f>
        <v>4</v>
      </c>
      <c r="E118" s="13">
        <v>0</v>
      </c>
      <c r="F118" s="13">
        <v>3</v>
      </c>
      <c r="G118" s="13">
        <v>1</v>
      </c>
      <c r="H118" s="13">
        <v>3</v>
      </c>
      <c r="I118" s="13">
        <v>1</v>
      </c>
      <c r="J118" s="13">
        <v>3</v>
      </c>
      <c r="K118" s="13">
        <v>1</v>
      </c>
      <c r="L118" s="13">
        <v>2</v>
      </c>
      <c r="M118" s="13">
        <v>3</v>
      </c>
      <c r="N118" s="13">
        <v>3</v>
      </c>
      <c r="O118" s="13">
        <v>1</v>
      </c>
      <c r="P118" s="13">
        <v>3</v>
      </c>
      <c r="Q118" s="13">
        <v>0</v>
      </c>
      <c r="R118" s="13">
        <v>2</v>
      </c>
      <c r="S118" s="13">
        <v>1</v>
      </c>
      <c r="T118" s="13">
        <v>3</v>
      </c>
      <c r="U118" s="13">
        <v>2</v>
      </c>
      <c r="V118" s="13">
        <v>1</v>
      </c>
      <c r="W118" s="13">
        <v>1</v>
      </c>
      <c r="X118" s="98">
        <v>4</v>
      </c>
      <c r="Y118" s="13">
        <v>2</v>
      </c>
      <c r="Z118" s="13">
        <v>2</v>
      </c>
      <c r="AA118" s="13">
        <v>0</v>
      </c>
      <c r="AB118" s="13">
        <v>2</v>
      </c>
      <c r="AC118" s="13">
        <v>2</v>
      </c>
      <c r="AD118" s="13">
        <v>1</v>
      </c>
      <c r="AE118" s="13">
        <v>0</v>
      </c>
      <c r="AF118" s="13">
        <v>1</v>
      </c>
      <c r="AG118" s="13"/>
      <c r="AH118" s="13"/>
      <c r="CB118" s="3"/>
      <c r="CU118" s="3"/>
      <c r="CV118" s="3"/>
      <c r="CW118" s="3"/>
      <c r="CX118" s="3"/>
      <c r="CY118" s="3"/>
      <c r="CZ118" s="3"/>
      <c r="DA118" s="3"/>
      <c r="DK118" s="31"/>
      <c r="DL118" s="3"/>
      <c r="DM118" s="3"/>
      <c r="DN118" s="3"/>
      <c r="DO118" s="3"/>
      <c r="DP118" s="3"/>
      <c r="DQ118" s="3"/>
      <c r="DR118" s="3"/>
      <c r="DS118" s="3"/>
      <c r="DT118" s="3"/>
      <c r="DU118" s="3"/>
      <c r="DV118" s="3"/>
      <c r="DW118" s="3"/>
      <c r="DX118" s="3"/>
      <c r="DY118" s="3"/>
      <c r="DZ118" s="3"/>
      <c r="EA118" s="3"/>
      <c r="EB118" s="3"/>
      <c r="EC118" s="3"/>
      <c r="ED118" s="3"/>
      <c r="EE118" s="3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  <c r="EU118" s="3"/>
      <c r="EV118" s="3"/>
      <c r="EW118" s="3"/>
      <c r="HK118" s="3"/>
      <c r="HL118" s="3"/>
      <c r="HM118" s="3"/>
      <c r="HN118" s="3"/>
      <c r="HO118" s="3"/>
      <c r="HP118" s="3"/>
      <c r="HQ118" s="3"/>
      <c r="HR118" s="3"/>
      <c r="HS118" s="3"/>
      <c r="HT118" s="3"/>
      <c r="HU118" s="3"/>
      <c r="HV118" s="3"/>
      <c r="HW118" s="3"/>
      <c r="HX118" s="3"/>
    </row>
    <row r="119" spans="1:232">
      <c r="A119" s="10" t="s">
        <v>230</v>
      </c>
      <c r="B119" s="11">
        <f>AVERAGE(E119:AE119)</f>
        <v>1.8148148148148149</v>
      </c>
      <c r="C119" s="2">
        <f>MIN(E119:AE119)</f>
        <v>0</v>
      </c>
      <c r="D119" s="12">
        <f>MAX(E119:AE119)</f>
        <v>4</v>
      </c>
      <c r="E119" s="13">
        <v>0</v>
      </c>
      <c r="F119" s="13">
        <v>3</v>
      </c>
      <c r="G119" s="13">
        <v>1</v>
      </c>
      <c r="H119" s="13">
        <v>3</v>
      </c>
      <c r="I119" s="13">
        <v>1</v>
      </c>
      <c r="J119" s="13">
        <v>3</v>
      </c>
      <c r="K119" s="13">
        <v>1</v>
      </c>
      <c r="L119" s="13">
        <v>2</v>
      </c>
      <c r="M119" s="13">
        <v>3</v>
      </c>
      <c r="N119" s="13">
        <v>3</v>
      </c>
      <c r="O119" s="13">
        <v>1</v>
      </c>
      <c r="P119" s="13">
        <v>3</v>
      </c>
      <c r="Q119" s="13">
        <v>0</v>
      </c>
      <c r="R119" s="21">
        <v>3</v>
      </c>
      <c r="S119" s="13">
        <v>1</v>
      </c>
      <c r="T119" s="21">
        <v>4</v>
      </c>
      <c r="U119" s="13">
        <v>2</v>
      </c>
      <c r="V119" s="13">
        <v>1</v>
      </c>
      <c r="W119" s="13">
        <v>1</v>
      </c>
      <c r="X119" s="13">
        <v>4</v>
      </c>
      <c r="Y119" s="13">
        <v>2</v>
      </c>
      <c r="Z119" s="13">
        <v>2</v>
      </c>
      <c r="AA119" s="13">
        <v>0</v>
      </c>
      <c r="AB119" s="13">
        <v>2</v>
      </c>
      <c r="AC119" s="13">
        <v>2</v>
      </c>
      <c r="AD119" s="13">
        <v>1</v>
      </c>
      <c r="AE119" s="13">
        <v>0</v>
      </c>
      <c r="AF119" s="13">
        <v>1</v>
      </c>
      <c r="AG119" s="13"/>
      <c r="AH119" s="13"/>
      <c r="CB119" s="3"/>
      <c r="CU119" s="3"/>
      <c r="CV119" s="3"/>
      <c r="CW119" s="3"/>
      <c r="CX119" s="3"/>
      <c r="CY119" s="3"/>
      <c r="CZ119" s="3"/>
      <c r="DA119" s="3"/>
      <c r="DK119" s="31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  <c r="EC119" s="3"/>
      <c r="ED119" s="3"/>
      <c r="EE119" s="3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HK119" s="3"/>
      <c r="HL119" s="3"/>
      <c r="HM119" s="3"/>
      <c r="HN119" s="3"/>
      <c r="HO119" s="3"/>
      <c r="HP119" s="3"/>
      <c r="HQ119" s="3"/>
      <c r="HR119" s="3"/>
      <c r="HS119" s="3"/>
      <c r="HT119" s="3"/>
      <c r="HU119" s="3"/>
      <c r="HV119" s="3"/>
      <c r="HW119" s="3"/>
      <c r="HX119" s="3"/>
    </row>
    <row r="120" spans="1:232">
      <c r="A120" s="10" t="s">
        <v>231</v>
      </c>
      <c r="B120" s="11">
        <f>AVERAGE(E120:AE120)</f>
        <v>1.8518518518518519</v>
      </c>
      <c r="C120" s="2">
        <f>MIN(E120:AE120)</f>
        <v>0</v>
      </c>
      <c r="D120" s="12">
        <f>MAX(E120:AE120)</f>
        <v>4</v>
      </c>
      <c r="E120" s="13">
        <v>1</v>
      </c>
      <c r="F120" s="13">
        <v>3</v>
      </c>
      <c r="G120" s="13">
        <v>1</v>
      </c>
      <c r="H120" s="13">
        <v>3</v>
      </c>
      <c r="I120" s="13">
        <v>1</v>
      </c>
      <c r="J120" s="13">
        <v>3</v>
      </c>
      <c r="K120" s="13">
        <v>1</v>
      </c>
      <c r="L120" s="13">
        <v>2</v>
      </c>
      <c r="M120" s="13">
        <v>3</v>
      </c>
      <c r="N120" s="13">
        <v>3</v>
      </c>
      <c r="O120" s="13">
        <v>1</v>
      </c>
      <c r="P120" s="13">
        <v>3</v>
      </c>
      <c r="Q120" s="13">
        <v>0</v>
      </c>
      <c r="R120" s="13">
        <v>3</v>
      </c>
      <c r="S120" s="13">
        <v>1</v>
      </c>
      <c r="T120" s="13">
        <v>4</v>
      </c>
      <c r="U120" s="13">
        <v>2</v>
      </c>
      <c r="V120" s="13">
        <v>1</v>
      </c>
      <c r="W120" s="13">
        <v>1</v>
      </c>
      <c r="X120" s="13">
        <v>4</v>
      </c>
      <c r="Y120" s="13">
        <v>2</v>
      </c>
      <c r="Z120" s="13">
        <v>2</v>
      </c>
      <c r="AA120" s="13">
        <v>0</v>
      </c>
      <c r="AB120" s="13">
        <v>2</v>
      </c>
      <c r="AC120" s="13">
        <v>2</v>
      </c>
      <c r="AD120" s="13">
        <v>1</v>
      </c>
      <c r="AE120" s="13">
        <v>0</v>
      </c>
      <c r="AF120" s="13">
        <v>1</v>
      </c>
      <c r="AG120" s="13"/>
      <c r="AH120" s="13"/>
      <c r="CB120" s="3"/>
      <c r="CU120" s="3"/>
      <c r="CV120" s="3"/>
      <c r="CW120" s="3"/>
      <c r="CX120" s="3"/>
      <c r="CY120" s="3"/>
      <c r="CZ120" s="3"/>
      <c r="DA120" s="3"/>
      <c r="DK120" s="31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  <c r="EC120" s="3"/>
      <c r="ED120" s="3"/>
      <c r="EE120" s="3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HK120" s="3"/>
      <c r="HL120" s="3"/>
      <c r="HM120" s="3"/>
      <c r="HN120" s="3"/>
      <c r="HO120" s="3"/>
      <c r="HP120" s="3"/>
      <c r="HQ120" s="3"/>
      <c r="HR120" s="3"/>
      <c r="HS120" s="3"/>
      <c r="HT120" s="3"/>
      <c r="HU120" s="3"/>
      <c r="HV120" s="3"/>
      <c r="HW120" s="3"/>
      <c r="HX120" s="3"/>
    </row>
    <row r="121" spans="1:232">
      <c r="A121" s="10" t="s">
        <v>232</v>
      </c>
      <c r="B121" s="11">
        <f>AVERAGE(E121:AE121)</f>
        <v>2</v>
      </c>
      <c r="C121" s="2">
        <f>MIN(E121:AE121)</f>
        <v>0</v>
      </c>
      <c r="D121" s="12">
        <f>MAX(E121:AE121)</f>
        <v>5</v>
      </c>
      <c r="E121" s="13">
        <v>1</v>
      </c>
      <c r="F121" s="13">
        <v>3</v>
      </c>
      <c r="G121" s="13">
        <v>1</v>
      </c>
      <c r="H121" s="13">
        <v>3</v>
      </c>
      <c r="I121" s="13">
        <v>1</v>
      </c>
      <c r="J121" s="13">
        <v>3</v>
      </c>
      <c r="K121" s="13">
        <v>1</v>
      </c>
      <c r="L121" s="21">
        <v>3</v>
      </c>
      <c r="M121" s="13">
        <v>3</v>
      </c>
      <c r="N121" s="13">
        <v>3</v>
      </c>
      <c r="O121" s="13">
        <v>1</v>
      </c>
      <c r="P121" s="13">
        <v>3</v>
      </c>
      <c r="Q121" s="13">
        <v>0</v>
      </c>
      <c r="R121" s="13">
        <v>3</v>
      </c>
      <c r="S121" s="13">
        <v>1</v>
      </c>
      <c r="T121" s="13">
        <v>5</v>
      </c>
      <c r="U121" s="13">
        <v>3</v>
      </c>
      <c r="V121" s="13">
        <v>1</v>
      </c>
      <c r="W121" s="13">
        <v>1</v>
      </c>
      <c r="X121" s="13">
        <v>4</v>
      </c>
      <c r="Y121" s="13">
        <v>3</v>
      </c>
      <c r="Z121" s="13">
        <v>2</v>
      </c>
      <c r="AA121" s="13">
        <v>0</v>
      </c>
      <c r="AB121" s="13">
        <v>2</v>
      </c>
      <c r="AC121" s="13">
        <v>2</v>
      </c>
      <c r="AD121" s="13">
        <v>1</v>
      </c>
      <c r="AE121" s="13">
        <v>0</v>
      </c>
      <c r="AF121" s="13">
        <v>1</v>
      </c>
      <c r="AG121" s="13"/>
      <c r="AH121" s="13"/>
      <c r="CB121" s="3"/>
      <c r="CU121" s="3"/>
      <c r="CV121" s="3"/>
      <c r="CW121" s="3"/>
      <c r="CX121" s="3"/>
      <c r="CY121" s="3"/>
      <c r="CZ121" s="3"/>
      <c r="DA121" s="3"/>
      <c r="DK121" s="31"/>
      <c r="DL121" s="3"/>
      <c r="DM121" s="3"/>
      <c r="DN121" s="3"/>
      <c r="DO121" s="3"/>
      <c r="DP121" s="3"/>
      <c r="DQ121" s="3"/>
      <c r="DR121" s="3"/>
      <c r="DS121" s="3"/>
      <c r="DT121" s="3"/>
      <c r="DU121" s="3"/>
      <c r="DV121" s="3"/>
      <c r="DW121" s="3"/>
      <c r="DX121" s="3"/>
      <c r="DY121" s="3"/>
      <c r="DZ121" s="3"/>
      <c r="EA121" s="3"/>
      <c r="EB121" s="3"/>
      <c r="EC121" s="3"/>
      <c r="ED121" s="3"/>
      <c r="EE121" s="3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  <c r="EU121" s="3"/>
      <c r="EV121" s="3"/>
      <c r="EW121" s="3"/>
      <c r="HK121" s="3"/>
      <c r="HL121" s="3"/>
      <c r="HM121" s="3"/>
      <c r="HN121" s="3"/>
      <c r="HO121" s="3"/>
      <c r="HP121" s="3"/>
      <c r="HQ121" s="3"/>
      <c r="HR121" s="3"/>
      <c r="HS121" s="3"/>
      <c r="HT121" s="3"/>
      <c r="HU121" s="3"/>
      <c r="HV121" s="3"/>
      <c r="HW121" s="3"/>
      <c r="HX121" s="3"/>
    </row>
    <row r="122" spans="1:232">
      <c r="A122" s="10" t="s">
        <v>233</v>
      </c>
      <c r="B122" s="11">
        <f>AVERAGE(E122:AE122)</f>
        <v>2.1481481481481484</v>
      </c>
      <c r="C122" s="2">
        <f>MIN(E122:AE122)</f>
        <v>0</v>
      </c>
      <c r="D122" s="12">
        <f>MAX(E122:AE122)</f>
        <v>5</v>
      </c>
      <c r="E122" s="13">
        <v>1</v>
      </c>
      <c r="F122" s="13">
        <v>3</v>
      </c>
      <c r="G122" s="13">
        <v>1</v>
      </c>
      <c r="H122" s="13">
        <v>3</v>
      </c>
      <c r="I122" s="13">
        <v>1</v>
      </c>
      <c r="J122" s="13">
        <v>3</v>
      </c>
      <c r="K122" s="13">
        <v>2</v>
      </c>
      <c r="L122" s="13">
        <v>4</v>
      </c>
      <c r="M122" s="13">
        <v>3</v>
      </c>
      <c r="N122" s="13">
        <v>3</v>
      </c>
      <c r="O122" s="13">
        <v>1</v>
      </c>
      <c r="P122" s="13">
        <v>3</v>
      </c>
      <c r="Q122" s="13">
        <v>0</v>
      </c>
      <c r="R122" s="13">
        <v>3</v>
      </c>
      <c r="S122" s="21">
        <v>2</v>
      </c>
      <c r="T122" s="13">
        <v>5</v>
      </c>
      <c r="U122" s="99">
        <v>4</v>
      </c>
      <c r="V122" s="13">
        <v>1</v>
      </c>
      <c r="W122" s="13">
        <v>1</v>
      </c>
      <c r="X122" s="13">
        <v>4</v>
      </c>
      <c r="Y122" s="13">
        <v>3</v>
      </c>
      <c r="Z122" s="13">
        <v>2</v>
      </c>
      <c r="AA122" s="13">
        <v>0</v>
      </c>
      <c r="AB122" s="13">
        <v>2</v>
      </c>
      <c r="AC122" s="13">
        <v>2</v>
      </c>
      <c r="AD122" s="13">
        <v>1</v>
      </c>
      <c r="AE122" s="13">
        <v>0</v>
      </c>
      <c r="AF122" s="13">
        <v>1</v>
      </c>
      <c r="AG122" s="13"/>
      <c r="AH122" s="13"/>
      <c r="CB122" s="3"/>
      <c r="CU122" s="3"/>
      <c r="CV122" s="3"/>
      <c r="CW122" s="3"/>
      <c r="CX122" s="3"/>
      <c r="CY122" s="3"/>
      <c r="CZ122" s="3"/>
      <c r="DA122" s="3"/>
      <c r="DK122" s="31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HK122" s="3"/>
      <c r="HL122" s="3"/>
      <c r="HM122" s="3"/>
      <c r="HN122" s="3"/>
      <c r="HO122" s="3"/>
      <c r="HP122" s="3"/>
      <c r="HQ122" s="3"/>
      <c r="HR122" s="3"/>
      <c r="HS122" s="3"/>
      <c r="HT122" s="3"/>
      <c r="HU122" s="3"/>
      <c r="HV122" s="3"/>
      <c r="HW122" s="3"/>
      <c r="HX122" s="3"/>
    </row>
    <row r="123" spans="1:232">
      <c r="A123" s="10" t="s">
        <v>234</v>
      </c>
      <c r="B123" s="11">
        <f>AVERAGE(E123:AE123)</f>
        <v>2.2222222222222223</v>
      </c>
      <c r="C123" s="2">
        <f>MIN(E123:AE123)</f>
        <v>0</v>
      </c>
      <c r="D123" s="12">
        <f>MAX(E123:AE123)</f>
        <v>6</v>
      </c>
      <c r="E123" s="13">
        <v>1</v>
      </c>
      <c r="F123" s="13">
        <v>3</v>
      </c>
      <c r="G123" s="13">
        <v>1</v>
      </c>
      <c r="H123" s="13">
        <v>3</v>
      </c>
      <c r="I123" s="13">
        <v>1</v>
      </c>
      <c r="J123" s="13">
        <v>3</v>
      </c>
      <c r="K123" s="13">
        <v>2</v>
      </c>
      <c r="L123" s="13">
        <v>4</v>
      </c>
      <c r="M123" s="13">
        <v>3</v>
      </c>
      <c r="N123" s="13">
        <v>3</v>
      </c>
      <c r="O123" s="13">
        <v>1</v>
      </c>
      <c r="P123" s="13">
        <v>3</v>
      </c>
      <c r="Q123" s="21">
        <v>1</v>
      </c>
      <c r="R123" s="13">
        <v>3</v>
      </c>
      <c r="S123" s="13">
        <v>2</v>
      </c>
      <c r="T123" s="21">
        <v>6</v>
      </c>
      <c r="U123" s="13">
        <v>4</v>
      </c>
      <c r="V123" s="13">
        <v>1</v>
      </c>
      <c r="W123" s="13">
        <v>1</v>
      </c>
      <c r="X123" s="13">
        <v>4</v>
      </c>
      <c r="Y123" s="13">
        <v>3</v>
      </c>
      <c r="Z123" s="13">
        <v>2</v>
      </c>
      <c r="AA123" s="13">
        <v>0</v>
      </c>
      <c r="AB123" s="13">
        <v>2</v>
      </c>
      <c r="AC123" s="13">
        <v>2</v>
      </c>
      <c r="AD123" s="13">
        <v>1</v>
      </c>
      <c r="AE123" s="13">
        <v>0</v>
      </c>
      <c r="AF123" s="13">
        <v>1</v>
      </c>
      <c r="AG123" s="13"/>
      <c r="AH123" s="13"/>
      <c r="CB123" s="3"/>
      <c r="CU123" s="3"/>
      <c r="CV123" s="3"/>
      <c r="CW123" s="3"/>
      <c r="CX123" s="3"/>
      <c r="CY123" s="3"/>
      <c r="CZ123" s="3"/>
      <c r="DA123" s="3"/>
      <c r="DK123" s="31"/>
      <c r="DL123" s="3"/>
      <c r="DM123" s="3"/>
      <c r="DN123" s="3"/>
      <c r="DO123" s="3"/>
      <c r="DP123" s="3"/>
      <c r="DQ123" s="3"/>
      <c r="DR123" s="3"/>
      <c r="DS123" s="3"/>
      <c r="DT123" s="3"/>
      <c r="DU123" s="3"/>
      <c r="DV123" s="3"/>
      <c r="DW123" s="3"/>
      <c r="DX123" s="3"/>
      <c r="DY123" s="3"/>
      <c r="DZ123" s="3"/>
      <c r="EA123" s="3"/>
      <c r="EB123" s="3"/>
      <c r="EC123" s="3"/>
      <c r="ED123" s="3"/>
      <c r="EE123" s="3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  <c r="EU123" s="3"/>
      <c r="EV123" s="3"/>
      <c r="EW123" s="3"/>
      <c r="HK123" s="3"/>
      <c r="HL123" s="3"/>
      <c r="HM123" s="3"/>
      <c r="HN123" s="3"/>
      <c r="HO123" s="3"/>
      <c r="HP123" s="3"/>
      <c r="HQ123" s="3"/>
      <c r="HR123" s="3"/>
      <c r="HS123" s="3"/>
      <c r="HT123" s="3"/>
      <c r="HU123" s="3"/>
      <c r="HV123" s="3"/>
      <c r="HW123" s="3"/>
      <c r="HX123" s="3"/>
    </row>
    <row r="124" spans="1:232">
      <c r="A124" s="10" t="s">
        <v>235</v>
      </c>
      <c r="B124" s="11">
        <f>AVERAGE(E124:AE124)</f>
        <v>2.2592592592592591</v>
      </c>
      <c r="C124" s="2">
        <f>MIN(E124:AE124)</f>
        <v>0</v>
      </c>
      <c r="D124" s="12">
        <f>MAX(E124:AE124)</f>
        <v>6</v>
      </c>
      <c r="E124" s="13">
        <v>1</v>
      </c>
      <c r="F124" s="13">
        <v>3</v>
      </c>
      <c r="G124" s="13">
        <v>1</v>
      </c>
      <c r="H124" s="13">
        <v>3</v>
      </c>
      <c r="I124" s="13">
        <v>1</v>
      </c>
      <c r="J124" s="13">
        <v>3</v>
      </c>
      <c r="K124" s="13">
        <v>2</v>
      </c>
      <c r="L124" s="13">
        <v>4</v>
      </c>
      <c r="M124" s="13">
        <v>3</v>
      </c>
      <c r="N124" s="13">
        <v>3</v>
      </c>
      <c r="O124" s="13">
        <v>1</v>
      </c>
      <c r="P124" s="13">
        <v>3</v>
      </c>
      <c r="Q124" s="13">
        <v>1</v>
      </c>
      <c r="R124" s="13">
        <v>3</v>
      </c>
      <c r="S124" s="13">
        <v>2</v>
      </c>
      <c r="T124" s="13">
        <v>6</v>
      </c>
      <c r="U124" s="13">
        <v>4</v>
      </c>
      <c r="V124" s="13">
        <v>1</v>
      </c>
      <c r="W124" s="13">
        <v>1</v>
      </c>
      <c r="X124" s="13">
        <v>4</v>
      </c>
      <c r="Y124" s="13">
        <v>3</v>
      </c>
      <c r="Z124" s="13">
        <v>2</v>
      </c>
      <c r="AA124" s="13">
        <v>0</v>
      </c>
      <c r="AB124" s="13">
        <v>2</v>
      </c>
      <c r="AC124" s="21">
        <v>3</v>
      </c>
      <c r="AD124" s="13">
        <v>1</v>
      </c>
      <c r="AE124" s="13">
        <v>0</v>
      </c>
      <c r="AF124" s="13">
        <v>1</v>
      </c>
      <c r="AG124" s="13"/>
      <c r="AH124" s="13"/>
      <c r="CB124" s="3"/>
      <c r="CU124" s="3"/>
      <c r="CV124" s="3"/>
      <c r="CW124" s="3"/>
      <c r="CX124" s="3"/>
      <c r="CY124" s="3"/>
      <c r="CZ124" s="3"/>
      <c r="DA124" s="3"/>
      <c r="DK124" s="31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  <c r="EC124" s="3"/>
      <c r="ED124" s="3"/>
      <c r="EE124" s="3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  <c r="EU124" s="3"/>
      <c r="EV124" s="3"/>
      <c r="EW124" s="3"/>
      <c r="HK124" s="3"/>
      <c r="HL124" s="3"/>
      <c r="HM124" s="3"/>
      <c r="HN124" s="3"/>
      <c r="HO124" s="3"/>
      <c r="HP124" s="3"/>
      <c r="HQ124" s="3"/>
      <c r="HR124" s="3"/>
      <c r="HS124" s="3"/>
      <c r="HT124" s="3"/>
      <c r="HU124" s="3"/>
      <c r="HV124" s="3"/>
      <c r="HW124" s="3"/>
      <c r="HX124" s="3"/>
    </row>
    <row r="125" spans="1:232">
      <c r="A125" s="10" t="s">
        <v>236</v>
      </c>
      <c r="B125" s="11">
        <f>AVERAGE(E125:AE125)</f>
        <v>2.3703703703703702</v>
      </c>
      <c r="C125" s="2">
        <f>MIN(E125:AE125)</f>
        <v>0</v>
      </c>
      <c r="D125" s="12">
        <f>MAX(E125:AE125)</f>
        <v>6</v>
      </c>
      <c r="E125" s="13">
        <v>1</v>
      </c>
      <c r="F125" s="21">
        <v>4</v>
      </c>
      <c r="G125" s="13">
        <v>1</v>
      </c>
      <c r="H125" s="13">
        <v>3</v>
      </c>
      <c r="I125" s="13">
        <v>1</v>
      </c>
      <c r="J125" s="13">
        <v>3</v>
      </c>
      <c r="K125" s="13">
        <v>2</v>
      </c>
      <c r="L125" s="13">
        <v>4</v>
      </c>
      <c r="M125" s="13">
        <v>3</v>
      </c>
      <c r="N125" s="13">
        <v>3</v>
      </c>
      <c r="O125" s="21">
        <v>2</v>
      </c>
      <c r="P125" s="13">
        <v>3</v>
      </c>
      <c r="Q125" s="13">
        <v>2</v>
      </c>
      <c r="R125" s="13">
        <v>3</v>
      </c>
      <c r="S125" s="13">
        <v>2</v>
      </c>
      <c r="T125" s="13">
        <v>6</v>
      </c>
      <c r="U125" s="13">
        <v>4</v>
      </c>
      <c r="V125" s="13">
        <v>1</v>
      </c>
      <c r="W125" s="13">
        <v>1</v>
      </c>
      <c r="X125" s="13">
        <v>4</v>
      </c>
      <c r="Y125" s="13">
        <v>3</v>
      </c>
      <c r="Z125" s="13">
        <v>2</v>
      </c>
      <c r="AA125" s="13">
        <v>0</v>
      </c>
      <c r="AB125" s="13">
        <v>2</v>
      </c>
      <c r="AC125" s="13">
        <v>3</v>
      </c>
      <c r="AD125" s="13">
        <v>1</v>
      </c>
      <c r="AE125" s="13">
        <v>0</v>
      </c>
      <c r="AF125" s="13">
        <v>1</v>
      </c>
      <c r="AG125" s="13"/>
      <c r="AH125" s="13"/>
      <c r="CB125" s="3"/>
      <c r="CU125" s="3"/>
      <c r="CV125" s="3"/>
      <c r="CW125" s="3"/>
      <c r="CX125" s="3"/>
      <c r="CY125" s="3"/>
      <c r="CZ125" s="3"/>
      <c r="DA125" s="3"/>
      <c r="DK125" s="31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  <c r="EC125" s="3"/>
      <c r="ED125" s="3"/>
      <c r="EE125" s="3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  <c r="EU125" s="3"/>
      <c r="EV125" s="3"/>
      <c r="EW125" s="3"/>
      <c r="HK125" s="3"/>
      <c r="HL125" s="3"/>
      <c r="HM125" s="3"/>
      <c r="HN125" s="3"/>
      <c r="HO125" s="3"/>
      <c r="HP125" s="3"/>
      <c r="HQ125" s="3"/>
      <c r="HR125" s="3"/>
      <c r="HS125" s="3"/>
      <c r="HT125" s="3"/>
      <c r="HU125" s="3"/>
      <c r="HV125" s="3"/>
      <c r="HW125" s="3"/>
      <c r="HX125" s="3"/>
    </row>
    <row r="126" spans="1:232">
      <c r="A126" s="10" t="s">
        <v>237</v>
      </c>
      <c r="B126" s="11">
        <f>AVERAGE(E126:AE126)</f>
        <v>2.4814814814814814</v>
      </c>
      <c r="C126" s="2">
        <f>MIN(E126:AE126)</f>
        <v>0</v>
      </c>
      <c r="D126" s="12">
        <f>MAX(E126:AE126)</f>
        <v>7</v>
      </c>
      <c r="E126" s="13">
        <v>1</v>
      </c>
      <c r="F126" s="13">
        <v>5</v>
      </c>
      <c r="G126" s="13">
        <v>1</v>
      </c>
      <c r="H126" s="13">
        <v>3</v>
      </c>
      <c r="I126" s="13">
        <v>1</v>
      </c>
      <c r="J126" s="21">
        <v>4</v>
      </c>
      <c r="K126" s="13">
        <v>2</v>
      </c>
      <c r="L126" s="13">
        <v>4</v>
      </c>
      <c r="M126" s="13">
        <v>3</v>
      </c>
      <c r="N126" s="13">
        <v>3</v>
      </c>
      <c r="O126" s="13">
        <v>2</v>
      </c>
      <c r="P126" s="13">
        <v>3</v>
      </c>
      <c r="Q126" s="13">
        <v>2</v>
      </c>
      <c r="R126" s="13">
        <v>3</v>
      </c>
      <c r="S126" s="13">
        <v>2</v>
      </c>
      <c r="T126" s="13">
        <v>7</v>
      </c>
      <c r="U126" s="13">
        <v>4</v>
      </c>
      <c r="V126" s="13">
        <v>1</v>
      </c>
      <c r="W126" s="13">
        <v>1</v>
      </c>
      <c r="X126" s="13">
        <v>4</v>
      </c>
      <c r="Y126" s="13">
        <v>3</v>
      </c>
      <c r="Z126" s="13">
        <v>2</v>
      </c>
      <c r="AA126" s="13">
        <v>0</v>
      </c>
      <c r="AB126" s="13">
        <v>2</v>
      </c>
      <c r="AC126" s="13">
        <v>3</v>
      </c>
      <c r="AD126" s="13">
        <v>1</v>
      </c>
      <c r="AE126" s="13">
        <v>0</v>
      </c>
      <c r="AF126" s="13">
        <v>1</v>
      </c>
      <c r="AG126" s="13"/>
      <c r="AH126" s="13"/>
      <c r="CB126" s="3"/>
      <c r="CU126" s="3"/>
      <c r="CV126" s="3"/>
      <c r="CW126" s="3"/>
      <c r="CX126" s="3"/>
      <c r="CY126" s="3"/>
      <c r="CZ126" s="3"/>
      <c r="DA126" s="3"/>
      <c r="DK126" s="31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  <c r="EC126" s="3"/>
      <c r="ED126" s="3"/>
      <c r="EE126" s="3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  <c r="EU126" s="3"/>
      <c r="EV126" s="3"/>
      <c r="EW126" s="3"/>
      <c r="HK126" s="3"/>
      <c r="HL126" s="3"/>
      <c r="HM126" s="3"/>
      <c r="HN126" s="3"/>
      <c r="HO126" s="3"/>
      <c r="HP126" s="3"/>
      <c r="HQ126" s="3"/>
      <c r="HR126" s="3"/>
      <c r="HS126" s="3"/>
      <c r="HT126" s="3"/>
      <c r="HU126" s="3"/>
      <c r="HV126" s="3"/>
      <c r="HW126" s="3"/>
      <c r="HX126" s="3"/>
    </row>
    <row r="127" spans="1:232">
      <c r="A127" s="10" t="s">
        <v>238</v>
      </c>
      <c r="B127" s="11">
        <f>AVERAGE(E127:AE127)</f>
        <v>2.7037037037037037</v>
      </c>
      <c r="C127" s="2">
        <f>MIN(E127:AE127)</f>
        <v>0</v>
      </c>
      <c r="D127" s="12">
        <f>MAX(E127:AE127)</f>
        <v>8</v>
      </c>
      <c r="E127" s="13">
        <v>1</v>
      </c>
      <c r="F127" s="13">
        <v>5</v>
      </c>
      <c r="G127" s="13">
        <v>1</v>
      </c>
      <c r="H127" s="99">
        <v>4</v>
      </c>
      <c r="I127" s="13">
        <v>1</v>
      </c>
      <c r="J127" s="13">
        <v>4</v>
      </c>
      <c r="K127" s="13">
        <v>2</v>
      </c>
      <c r="L127" s="13">
        <v>4</v>
      </c>
      <c r="M127" s="13">
        <v>3</v>
      </c>
      <c r="N127" s="21">
        <v>4</v>
      </c>
      <c r="O127" s="13">
        <v>2</v>
      </c>
      <c r="P127" s="13">
        <v>3</v>
      </c>
      <c r="Q127" s="13">
        <v>3</v>
      </c>
      <c r="R127" s="13">
        <v>4</v>
      </c>
      <c r="S127" s="13">
        <v>2</v>
      </c>
      <c r="T127" s="13">
        <v>8</v>
      </c>
      <c r="U127" s="13">
        <v>4</v>
      </c>
      <c r="V127" s="13">
        <v>1</v>
      </c>
      <c r="W127" s="13">
        <v>1</v>
      </c>
      <c r="X127" s="13">
        <v>5</v>
      </c>
      <c r="Y127" s="13">
        <v>3</v>
      </c>
      <c r="Z127" s="13">
        <v>2</v>
      </c>
      <c r="AA127" s="13">
        <v>0</v>
      </c>
      <c r="AB127" s="13">
        <v>2</v>
      </c>
      <c r="AC127" s="13">
        <v>3</v>
      </c>
      <c r="AD127" s="13">
        <v>1</v>
      </c>
      <c r="AE127" s="13">
        <v>0</v>
      </c>
      <c r="AF127" s="13">
        <v>1</v>
      </c>
      <c r="AG127" s="13"/>
      <c r="AH127" s="13"/>
      <c r="CB127" s="3"/>
      <c r="CU127" s="3"/>
      <c r="CV127" s="3"/>
      <c r="CW127" s="3"/>
      <c r="CX127" s="3"/>
      <c r="CY127" s="3"/>
      <c r="CZ127" s="3"/>
      <c r="DA127" s="3"/>
      <c r="DK127" s="31"/>
      <c r="DL127" s="3"/>
      <c r="DM127" s="3"/>
      <c r="DN127" s="3"/>
      <c r="DO127" s="3"/>
      <c r="DP127" s="3"/>
      <c r="DQ127" s="3"/>
      <c r="DR127" s="3"/>
      <c r="DS127" s="3"/>
      <c r="DT127" s="3"/>
      <c r="DU127" s="3"/>
      <c r="DV127" s="3"/>
      <c r="DW127" s="3"/>
      <c r="DX127" s="3"/>
      <c r="DY127" s="3"/>
      <c r="DZ127" s="3"/>
      <c r="EA127" s="3"/>
      <c r="EB127" s="3"/>
      <c r="EC127" s="3"/>
      <c r="ED127" s="3"/>
      <c r="EE127" s="3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  <c r="EU127" s="3"/>
      <c r="EV127" s="3"/>
      <c r="EW127" s="3"/>
      <c r="HK127" s="3"/>
      <c r="HL127" s="3"/>
      <c r="HM127" s="3"/>
      <c r="HN127" s="3"/>
      <c r="HO127" s="3"/>
      <c r="HP127" s="3"/>
      <c r="HQ127" s="3"/>
      <c r="HR127" s="3"/>
      <c r="HS127" s="3"/>
      <c r="HT127" s="3"/>
      <c r="HU127" s="3"/>
      <c r="HV127" s="3"/>
      <c r="HW127" s="3"/>
      <c r="HX127" s="3"/>
    </row>
    <row r="128" spans="1:232">
      <c r="A128" s="10" t="s">
        <v>239</v>
      </c>
      <c r="B128" s="11">
        <f>AVERAGE(E128:AE128)</f>
        <v>2.8148148148148149</v>
      </c>
      <c r="C128" s="2">
        <f>MIN(E128:AE128)</f>
        <v>0</v>
      </c>
      <c r="D128" s="12">
        <f>MAX(E128:AE128)</f>
        <v>8</v>
      </c>
      <c r="E128" s="13">
        <v>1</v>
      </c>
      <c r="F128" s="13">
        <v>5</v>
      </c>
      <c r="G128" s="13">
        <v>2</v>
      </c>
      <c r="H128" s="13">
        <v>4</v>
      </c>
      <c r="I128" s="13">
        <v>1</v>
      </c>
      <c r="J128" s="13">
        <v>5</v>
      </c>
      <c r="K128" s="13">
        <v>2</v>
      </c>
      <c r="L128" s="13">
        <v>4</v>
      </c>
      <c r="M128" s="13">
        <v>3</v>
      </c>
      <c r="N128" s="13">
        <v>4</v>
      </c>
      <c r="O128" s="13">
        <v>2</v>
      </c>
      <c r="P128" s="13">
        <v>3</v>
      </c>
      <c r="Q128" s="13">
        <v>3</v>
      </c>
      <c r="R128" s="13">
        <v>4</v>
      </c>
      <c r="S128" s="13">
        <v>2</v>
      </c>
      <c r="T128" s="13">
        <v>8</v>
      </c>
      <c r="U128" s="13">
        <v>4</v>
      </c>
      <c r="V128" s="13">
        <v>1</v>
      </c>
      <c r="W128" s="13">
        <v>1</v>
      </c>
      <c r="X128" s="13">
        <v>5</v>
      </c>
      <c r="Y128" s="13">
        <v>3</v>
      </c>
      <c r="Z128" s="13">
        <v>2</v>
      </c>
      <c r="AA128" s="13">
        <v>0</v>
      </c>
      <c r="AB128" s="13">
        <v>2</v>
      </c>
      <c r="AC128" s="13">
        <v>3</v>
      </c>
      <c r="AD128" s="13">
        <v>1</v>
      </c>
      <c r="AE128" s="13">
        <v>1</v>
      </c>
      <c r="AF128" s="13">
        <v>1</v>
      </c>
      <c r="AG128" s="13"/>
      <c r="AH128" s="13"/>
      <c r="CB128" s="3"/>
      <c r="CU128" s="3"/>
      <c r="CV128" s="3"/>
      <c r="CW128" s="3"/>
      <c r="CX128" s="3"/>
      <c r="CY128" s="3"/>
      <c r="CZ128" s="3"/>
      <c r="DA128" s="3"/>
      <c r="DK128" s="31"/>
      <c r="DL128" s="3"/>
      <c r="DM128" s="3"/>
      <c r="DN128" s="3"/>
      <c r="DO128" s="3"/>
      <c r="DP128" s="3"/>
      <c r="DQ128" s="3"/>
      <c r="DR128" s="3"/>
      <c r="DS128" s="3"/>
      <c r="DT128" s="3"/>
      <c r="DU128" s="3"/>
      <c r="DV128" s="3"/>
      <c r="DW128" s="3"/>
      <c r="DX128" s="3"/>
      <c r="DY128" s="3"/>
      <c r="DZ128" s="3"/>
      <c r="EA128" s="3"/>
      <c r="EB128" s="3"/>
      <c r="EC128" s="3"/>
      <c r="ED128" s="3"/>
      <c r="EE128" s="3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  <c r="EU128" s="3"/>
      <c r="EV128" s="3"/>
      <c r="EW128" s="3"/>
      <c r="HK128" s="3"/>
      <c r="HL128" s="3"/>
      <c r="HM128" s="3"/>
      <c r="HN128" s="3"/>
      <c r="HO128" s="3"/>
      <c r="HP128" s="3"/>
      <c r="HQ128" s="3"/>
      <c r="HR128" s="3"/>
      <c r="HS128" s="3"/>
      <c r="HT128" s="3"/>
      <c r="HU128" s="3"/>
      <c r="HV128" s="3"/>
      <c r="HW128" s="3"/>
      <c r="HX128" s="3"/>
    </row>
    <row r="129" spans="1:232">
      <c r="A129" s="10" t="s">
        <v>240</v>
      </c>
      <c r="B129" s="11">
        <f>AVERAGE(E129:AE129)</f>
        <v>2.8518518518518516</v>
      </c>
      <c r="C129" s="2">
        <f>MIN(E129:AE129)</f>
        <v>0</v>
      </c>
      <c r="D129" s="12">
        <f>MAX(E129:AE129)</f>
        <v>8</v>
      </c>
      <c r="E129" s="13">
        <v>1</v>
      </c>
      <c r="F129" s="13">
        <v>5</v>
      </c>
      <c r="G129" s="13">
        <v>3</v>
      </c>
      <c r="H129" s="13">
        <v>4</v>
      </c>
      <c r="I129" s="13">
        <v>1</v>
      </c>
      <c r="J129" s="13">
        <v>5</v>
      </c>
      <c r="K129" s="13">
        <v>2</v>
      </c>
      <c r="L129" s="13">
        <v>4</v>
      </c>
      <c r="M129" s="13">
        <v>3</v>
      </c>
      <c r="N129" s="13">
        <v>4</v>
      </c>
      <c r="O129" s="13">
        <v>2</v>
      </c>
      <c r="P129" s="13">
        <v>3</v>
      </c>
      <c r="Q129" s="13">
        <v>3</v>
      </c>
      <c r="R129" s="13">
        <v>4</v>
      </c>
      <c r="S129" s="13">
        <v>2</v>
      </c>
      <c r="T129" s="13">
        <v>8</v>
      </c>
      <c r="U129" s="13">
        <v>4</v>
      </c>
      <c r="V129" s="13">
        <v>1</v>
      </c>
      <c r="W129" s="13">
        <v>1</v>
      </c>
      <c r="X129" s="13">
        <v>5</v>
      </c>
      <c r="Y129" s="13">
        <v>3</v>
      </c>
      <c r="Z129" s="13">
        <v>2</v>
      </c>
      <c r="AA129" s="13">
        <v>0</v>
      </c>
      <c r="AB129" s="13">
        <v>2</v>
      </c>
      <c r="AC129" s="13">
        <v>3</v>
      </c>
      <c r="AD129" s="13">
        <v>1</v>
      </c>
      <c r="AE129" s="13">
        <v>1</v>
      </c>
      <c r="AF129" s="13">
        <v>1</v>
      </c>
      <c r="AG129" s="13"/>
      <c r="AH129" s="13"/>
      <c r="CB129" s="3"/>
      <c r="CU129" s="3"/>
      <c r="CV129" s="3"/>
      <c r="CW129" s="3"/>
      <c r="CX129" s="3"/>
      <c r="CY129" s="3"/>
      <c r="CZ129" s="3"/>
      <c r="DA129" s="3"/>
      <c r="DK129" s="31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  <c r="EC129" s="3"/>
      <c r="ED129" s="3"/>
      <c r="EE129" s="3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HK129" s="3"/>
      <c r="HL129" s="3"/>
      <c r="HM129" s="3"/>
      <c r="HN129" s="3"/>
      <c r="HO129" s="3"/>
      <c r="HP129" s="3"/>
      <c r="HQ129" s="3"/>
      <c r="HR129" s="3"/>
      <c r="HS129" s="3"/>
      <c r="HT129" s="3"/>
      <c r="HU129" s="3"/>
      <c r="HV129" s="3"/>
      <c r="HW129" s="3"/>
      <c r="HX129" s="3"/>
    </row>
    <row r="130" spans="1:232">
      <c r="A130" s="10" t="s">
        <v>241</v>
      </c>
      <c r="B130" s="11">
        <f>AVERAGE(E130:AE130)</f>
        <v>3</v>
      </c>
      <c r="C130" s="2">
        <f>MIN(E130:AE130)</f>
        <v>0</v>
      </c>
      <c r="D130" s="12">
        <f>MAX(E130:AE130)</f>
        <v>8</v>
      </c>
      <c r="E130" s="13">
        <v>1</v>
      </c>
      <c r="F130" s="13">
        <v>5</v>
      </c>
      <c r="G130" s="13">
        <v>3</v>
      </c>
      <c r="H130" s="13">
        <v>4</v>
      </c>
      <c r="I130" s="13">
        <v>1</v>
      </c>
      <c r="J130" s="13">
        <v>6</v>
      </c>
      <c r="K130" s="13">
        <v>2</v>
      </c>
      <c r="L130" s="13">
        <v>4</v>
      </c>
      <c r="M130" s="13">
        <v>3</v>
      </c>
      <c r="N130" s="13">
        <v>4</v>
      </c>
      <c r="O130" s="13">
        <v>2</v>
      </c>
      <c r="P130" s="13">
        <v>3</v>
      </c>
      <c r="Q130" s="13">
        <v>3</v>
      </c>
      <c r="R130" s="13">
        <v>5</v>
      </c>
      <c r="S130" s="21">
        <v>3</v>
      </c>
      <c r="T130" s="13">
        <v>8</v>
      </c>
      <c r="U130" s="13">
        <v>4</v>
      </c>
      <c r="V130" s="13">
        <v>1</v>
      </c>
      <c r="W130" s="13">
        <v>1</v>
      </c>
      <c r="X130" s="13">
        <v>5</v>
      </c>
      <c r="Y130" s="13">
        <v>3</v>
      </c>
      <c r="Z130" s="13">
        <v>2</v>
      </c>
      <c r="AA130" s="13">
        <v>0</v>
      </c>
      <c r="AB130" s="13">
        <v>3</v>
      </c>
      <c r="AC130" s="13">
        <v>3</v>
      </c>
      <c r="AD130" s="13">
        <v>1</v>
      </c>
      <c r="AE130" s="13">
        <v>1</v>
      </c>
      <c r="AF130" s="13">
        <v>2</v>
      </c>
      <c r="AG130" s="13"/>
      <c r="AH130" s="13"/>
      <c r="CB130" s="3"/>
      <c r="CU130" s="3"/>
      <c r="CV130" s="3"/>
      <c r="CW130" s="3"/>
      <c r="CX130" s="3"/>
      <c r="CY130" s="3"/>
      <c r="CZ130" s="3"/>
      <c r="DA130" s="3"/>
      <c r="DK130" s="31"/>
      <c r="DL130" s="3"/>
      <c r="DM130" s="3"/>
      <c r="DN130" s="3"/>
      <c r="DO130" s="3"/>
      <c r="DP130" s="3"/>
      <c r="DQ130" s="3"/>
      <c r="DR130" s="3"/>
      <c r="DS130" s="3"/>
      <c r="DT130" s="3"/>
      <c r="DU130" s="3"/>
      <c r="DV130" s="3"/>
      <c r="DW130" s="3"/>
      <c r="DX130" s="3"/>
      <c r="DY130" s="3"/>
      <c r="DZ130" s="3"/>
      <c r="EA130" s="3"/>
      <c r="EB130" s="3"/>
      <c r="EC130" s="3"/>
      <c r="ED130" s="3"/>
      <c r="EE130" s="3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  <c r="EU130" s="3"/>
      <c r="EV130" s="3"/>
      <c r="EW130" s="3"/>
      <c r="HK130" s="3"/>
      <c r="HL130" s="3"/>
      <c r="HM130" s="3"/>
      <c r="HN130" s="3"/>
      <c r="HO130" s="3"/>
      <c r="HP130" s="3"/>
      <c r="HQ130" s="3"/>
      <c r="HR130" s="3"/>
      <c r="HS130" s="3"/>
      <c r="HT130" s="3"/>
      <c r="HU130" s="3"/>
      <c r="HV130" s="3"/>
      <c r="HW130" s="3"/>
      <c r="HX130" s="3"/>
    </row>
    <row r="131" spans="1:232">
      <c r="A131" s="10" t="s">
        <v>242</v>
      </c>
      <c r="B131" s="11">
        <f>AVERAGE(E131:AE131)</f>
        <v>3.1481481481481484</v>
      </c>
      <c r="C131" s="2">
        <f>MIN(E131:AE131)</f>
        <v>0</v>
      </c>
      <c r="D131" s="12">
        <f>MAX(E131:AE131)</f>
        <v>9</v>
      </c>
      <c r="E131" s="13">
        <v>1</v>
      </c>
      <c r="F131" s="13">
        <v>5</v>
      </c>
      <c r="G131" s="13">
        <v>3</v>
      </c>
      <c r="H131" s="13">
        <v>4</v>
      </c>
      <c r="I131" s="13">
        <v>1</v>
      </c>
      <c r="J131" s="21">
        <v>7</v>
      </c>
      <c r="K131" s="21">
        <v>3</v>
      </c>
      <c r="L131" s="13">
        <v>4</v>
      </c>
      <c r="M131" s="13">
        <v>3</v>
      </c>
      <c r="N131" s="21">
        <v>5</v>
      </c>
      <c r="O131" s="13">
        <v>2</v>
      </c>
      <c r="P131" s="13">
        <v>3</v>
      </c>
      <c r="Q131" s="13">
        <v>3</v>
      </c>
      <c r="R131" s="13">
        <v>5</v>
      </c>
      <c r="S131" s="13">
        <v>3</v>
      </c>
      <c r="T131" s="21">
        <v>9</v>
      </c>
      <c r="U131" s="13">
        <v>4</v>
      </c>
      <c r="V131" s="13">
        <v>1</v>
      </c>
      <c r="W131" s="13">
        <v>1</v>
      </c>
      <c r="X131" s="13">
        <v>5</v>
      </c>
      <c r="Y131" s="13">
        <v>3</v>
      </c>
      <c r="Z131" s="13">
        <v>2</v>
      </c>
      <c r="AA131" s="13">
        <v>0</v>
      </c>
      <c r="AB131" s="13">
        <v>3</v>
      </c>
      <c r="AC131" s="13">
        <v>3</v>
      </c>
      <c r="AD131" s="13">
        <v>1</v>
      </c>
      <c r="AE131" s="13">
        <v>1</v>
      </c>
      <c r="AF131" s="21">
        <v>3</v>
      </c>
      <c r="AG131" s="13"/>
      <c r="AH131" s="13"/>
      <c r="CB131" s="3"/>
      <c r="CU131" s="3"/>
      <c r="CV131" s="3"/>
      <c r="CW131" s="3"/>
      <c r="CX131" s="3"/>
      <c r="CY131" s="3"/>
      <c r="CZ131" s="3"/>
      <c r="DA131" s="3"/>
      <c r="DK131" s="31"/>
      <c r="DL131" s="3"/>
      <c r="DM131" s="3"/>
      <c r="DN131" s="3"/>
      <c r="DO131" s="3"/>
      <c r="DP131" s="3"/>
      <c r="DQ131" s="3"/>
      <c r="DR131" s="3"/>
      <c r="DS131" s="3"/>
      <c r="DT131" s="3"/>
      <c r="DU131" s="3"/>
      <c r="DV131" s="3"/>
      <c r="DW131" s="3"/>
      <c r="DX131" s="3"/>
      <c r="DY131" s="3"/>
      <c r="DZ131" s="3"/>
      <c r="EA131" s="3"/>
      <c r="EB131" s="3"/>
      <c r="EC131" s="3"/>
      <c r="ED131" s="3"/>
      <c r="EE131" s="3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  <c r="EU131" s="3"/>
      <c r="EV131" s="3"/>
      <c r="EW131" s="3"/>
      <c r="HK131" s="3"/>
      <c r="HL131" s="3"/>
      <c r="HM131" s="3"/>
      <c r="HN131" s="3"/>
      <c r="HO131" s="3"/>
      <c r="HP131" s="3"/>
      <c r="HQ131" s="3"/>
      <c r="HR131" s="3"/>
      <c r="HS131" s="3"/>
      <c r="HT131" s="3"/>
      <c r="HU131" s="3"/>
      <c r="HV131" s="3"/>
      <c r="HW131" s="3"/>
      <c r="HX131" s="3"/>
    </row>
    <row r="132" spans="1:232">
      <c r="A132" s="10" t="s">
        <v>243</v>
      </c>
      <c r="B132" s="11">
        <f>AVERAGE(E132:AE132)</f>
        <v>3.1851851851851851</v>
      </c>
      <c r="C132" s="2">
        <f>MIN(E132:AE132)</f>
        <v>0</v>
      </c>
      <c r="D132" s="12">
        <f>MAX(E132:AE132)</f>
        <v>9</v>
      </c>
      <c r="E132" s="13">
        <v>1</v>
      </c>
      <c r="F132" s="13">
        <v>5</v>
      </c>
      <c r="G132" s="13">
        <v>3</v>
      </c>
      <c r="H132" s="13">
        <v>4</v>
      </c>
      <c r="I132" s="13">
        <v>1</v>
      </c>
      <c r="J132" s="13">
        <v>7</v>
      </c>
      <c r="K132" s="13">
        <v>3</v>
      </c>
      <c r="L132" s="13">
        <v>4</v>
      </c>
      <c r="M132" s="13">
        <v>3</v>
      </c>
      <c r="N132" s="13">
        <v>5</v>
      </c>
      <c r="O132" s="13">
        <v>2</v>
      </c>
      <c r="P132" s="13">
        <v>3</v>
      </c>
      <c r="Q132" s="13">
        <v>3</v>
      </c>
      <c r="R132" s="13">
        <v>5</v>
      </c>
      <c r="S132" s="13">
        <v>4</v>
      </c>
      <c r="T132" s="13">
        <v>9</v>
      </c>
      <c r="U132" s="13">
        <v>4</v>
      </c>
      <c r="V132" s="13">
        <v>1</v>
      </c>
      <c r="W132" s="13">
        <v>1</v>
      </c>
      <c r="X132" s="13">
        <v>5</v>
      </c>
      <c r="Y132" s="13">
        <v>3</v>
      </c>
      <c r="Z132" s="13">
        <v>2</v>
      </c>
      <c r="AA132" s="13">
        <v>0</v>
      </c>
      <c r="AB132" s="13">
        <v>3</v>
      </c>
      <c r="AC132" s="13">
        <v>3</v>
      </c>
      <c r="AD132" s="13">
        <v>1</v>
      </c>
      <c r="AE132" s="13">
        <v>1</v>
      </c>
      <c r="AF132" s="13">
        <v>3</v>
      </c>
      <c r="AG132" s="13"/>
      <c r="AH132" s="13"/>
      <c r="CB132" s="3"/>
      <c r="CU132" s="3"/>
      <c r="CV132" s="3"/>
      <c r="CW132" s="3"/>
      <c r="CX132" s="3"/>
      <c r="CY132" s="3"/>
      <c r="CZ132" s="3"/>
      <c r="DA132" s="3"/>
      <c r="DK132" s="31"/>
      <c r="DL132" s="3"/>
      <c r="DM132" s="3"/>
      <c r="DN132" s="3"/>
      <c r="DO132" s="3"/>
      <c r="DP132" s="3"/>
      <c r="DQ132" s="3"/>
      <c r="DR132" s="3"/>
      <c r="DS132" s="3"/>
      <c r="DT132" s="3"/>
      <c r="DU132" s="3"/>
      <c r="DV132" s="3"/>
      <c r="DW132" s="3"/>
      <c r="DX132" s="3"/>
      <c r="DY132" s="3"/>
      <c r="DZ132" s="3"/>
      <c r="EA132" s="3"/>
      <c r="EB132" s="3"/>
      <c r="EC132" s="3"/>
      <c r="ED132" s="3"/>
      <c r="EE132" s="3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  <c r="EU132" s="3"/>
      <c r="EV132" s="3"/>
      <c r="EW132" s="3"/>
      <c r="HK132" s="3"/>
      <c r="HL132" s="3"/>
      <c r="HM132" s="3"/>
      <c r="HN132" s="3"/>
      <c r="HO132" s="3"/>
      <c r="HP132" s="3"/>
      <c r="HQ132" s="3"/>
      <c r="HR132" s="3"/>
      <c r="HS132" s="3"/>
      <c r="HT132" s="3"/>
      <c r="HU132" s="3"/>
      <c r="HV132" s="3"/>
      <c r="HW132" s="3"/>
      <c r="HX132" s="3"/>
    </row>
    <row r="133" spans="1:232">
      <c r="A133" s="10" t="s">
        <v>244</v>
      </c>
      <c r="B133" s="11">
        <f>AVERAGE(E133:AE133)</f>
        <v>3.3333333333333335</v>
      </c>
      <c r="C133" s="2">
        <f>MIN(E133:AE133)</f>
        <v>0</v>
      </c>
      <c r="D133" s="12">
        <f>MAX(E133:AE133)</f>
        <v>9</v>
      </c>
      <c r="E133" s="13">
        <v>1</v>
      </c>
      <c r="F133" s="13">
        <v>6</v>
      </c>
      <c r="G133" s="13">
        <v>3</v>
      </c>
      <c r="H133" s="13">
        <v>4</v>
      </c>
      <c r="I133" s="98">
        <v>2</v>
      </c>
      <c r="J133" s="13">
        <v>7</v>
      </c>
      <c r="K133" s="13">
        <v>3</v>
      </c>
      <c r="L133" s="13">
        <v>4</v>
      </c>
      <c r="M133" s="13">
        <v>3</v>
      </c>
      <c r="N133" s="13">
        <v>5</v>
      </c>
      <c r="O133" s="13">
        <v>3</v>
      </c>
      <c r="P133" s="13">
        <v>3</v>
      </c>
      <c r="Q133" s="13">
        <v>3</v>
      </c>
      <c r="R133" s="13">
        <v>5</v>
      </c>
      <c r="S133" s="21">
        <v>5</v>
      </c>
      <c r="T133" s="13">
        <v>9</v>
      </c>
      <c r="U133" s="13">
        <v>4</v>
      </c>
      <c r="V133" s="13">
        <v>1</v>
      </c>
      <c r="W133" s="13">
        <v>1</v>
      </c>
      <c r="X133" s="13">
        <v>5</v>
      </c>
      <c r="Y133" s="13">
        <v>3</v>
      </c>
      <c r="Z133" s="13">
        <v>2</v>
      </c>
      <c r="AA133" s="13">
        <v>0</v>
      </c>
      <c r="AB133" s="13">
        <v>3</v>
      </c>
      <c r="AC133" s="13">
        <v>3</v>
      </c>
      <c r="AD133" s="13">
        <v>1</v>
      </c>
      <c r="AE133" s="13">
        <v>1</v>
      </c>
      <c r="AF133" s="13">
        <v>3</v>
      </c>
      <c r="AG133" s="13"/>
      <c r="AH133" s="13"/>
      <c r="CB133" s="3"/>
      <c r="CU133" s="3"/>
      <c r="CV133" s="3"/>
      <c r="CW133" s="3"/>
      <c r="CX133" s="3"/>
      <c r="CY133" s="3"/>
      <c r="CZ133" s="3"/>
      <c r="DA133" s="3"/>
      <c r="DK133" s="31"/>
      <c r="DL133" s="3"/>
      <c r="DM133" s="3"/>
      <c r="DN133" s="3"/>
      <c r="DO133" s="3"/>
      <c r="DP133" s="3"/>
      <c r="DQ133" s="3"/>
      <c r="DR133" s="3"/>
      <c r="DS133" s="3"/>
      <c r="DT133" s="3"/>
      <c r="DU133" s="3"/>
      <c r="DV133" s="3"/>
      <c r="DW133" s="3"/>
      <c r="DX133" s="3"/>
      <c r="DY133" s="3"/>
      <c r="DZ133" s="3"/>
      <c r="EA133" s="3"/>
      <c r="EB133" s="3"/>
      <c r="EC133" s="3"/>
      <c r="ED133" s="3"/>
      <c r="EE133" s="3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  <c r="EU133" s="3"/>
      <c r="EV133" s="3"/>
      <c r="EW133" s="3"/>
      <c r="HK133" s="3"/>
      <c r="HL133" s="3"/>
      <c r="HM133" s="3"/>
      <c r="HN133" s="3"/>
      <c r="HO133" s="3"/>
      <c r="HP133" s="3"/>
      <c r="HQ133" s="3"/>
      <c r="HR133" s="3"/>
      <c r="HS133" s="3"/>
      <c r="HT133" s="3"/>
      <c r="HU133" s="3"/>
      <c r="HV133" s="3"/>
      <c r="HW133" s="3"/>
      <c r="HX133" s="3"/>
    </row>
    <row r="134" spans="1:232">
      <c r="A134" s="10" t="s">
        <v>245</v>
      </c>
      <c r="B134" s="11">
        <f>AVERAGE(E134:AE134)</f>
        <v>3.5925925925925926</v>
      </c>
      <c r="C134" s="2">
        <f>MIN(E134:AE134)</f>
        <v>0</v>
      </c>
      <c r="D134" s="12">
        <f>MAX(E134:AE134)</f>
        <v>9</v>
      </c>
      <c r="E134" s="13">
        <v>1</v>
      </c>
      <c r="F134" s="21">
        <v>7</v>
      </c>
      <c r="G134" s="13">
        <v>3</v>
      </c>
      <c r="H134" s="13">
        <v>4</v>
      </c>
      <c r="I134" s="13">
        <v>3</v>
      </c>
      <c r="J134" s="13">
        <v>7</v>
      </c>
      <c r="K134" s="13">
        <v>4</v>
      </c>
      <c r="L134" s="13">
        <v>5</v>
      </c>
      <c r="M134" s="13">
        <v>3</v>
      </c>
      <c r="N134" s="13">
        <v>5</v>
      </c>
      <c r="O134" s="13">
        <v>3</v>
      </c>
      <c r="P134" s="21">
        <v>4</v>
      </c>
      <c r="Q134" s="13">
        <v>3</v>
      </c>
      <c r="R134" s="13">
        <v>5</v>
      </c>
      <c r="S134" s="21">
        <v>6</v>
      </c>
      <c r="T134" s="13">
        <v>9</v>
      </c>
      <c r="U134" s="13">
        <v>5</v>
      </c>
      <c r="V134" s="13">
        <v>1</v>
      </c>
      <c r="W134" s="13">
        <v>1</v>
      </c>
      <c r="X134" s="13">
        <v>5</v>
      </c>
      <c r="Y134" s="13">
        <v>3</v>
      </c>
      <c r="Z134" s="13">
        <v>2</v>
      </c>
      <c r="AA134" s="13">
        <v>0</v>
      </c>
      <c r="AB134" s="13">
        <v>3</v>
      </c>
      <c r="AC134" s="13">
        <v>3</v>
      </c>
      <c r="AD134" s="13">
        <v>1</v>
      </c>
      <c r="AE134" s="13">
        <v>1</v>
      </c>
      <c r="AF134" s="13">
        <v>3</v>
      </c>
      <c r="AG134" s="13"/>
      <c r="AH134" s="13"/>
      <c r="CB134" s="3"/>
      <c r="CU134" s="3"/>
      <c r="CV134" s="3"/>
      <c r="CW134" s="3"/>
      <c r="CX134" s="3"/>
      <c r="CY134" s="3"/>
      <c r="CZ134" s="3"/>
      <c r="DA134" s="3"/>
      <c r="DK134" s="31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  <c r="EC134" s="3"/>
      <c r="ED134" s="3"/>
      <c r="EE134" s="3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  <c r="EU134" s="3"/>
      <c r="EV134" s="3"/>
      <c r="EW134" s="3"/>
      <c r="HK134" s="3"/>
      <c r="HL134" s="3"/>
      <c r="HM134" s="3"/>
      <c r="HN134" s="3"/>
      <c r="HO134" s="3"/>
      <c r="HP134" s="3"/>
      <c r="HQ134" s="3"/>
      <c r="HR134" s="3"/>
      <c r="HS134" s="3"/>
      <c r="HT134" s="3"/>
      <c r="HU134" s="3"/>
      <c r="HV134" s="3"/>
      <c r="HW134" s="3"/>
      <c r="HX134" s="3"/>
    </row>
    <row r="135" spans="1:232">
      <c r="A135" s="10" t="s">
        <v>246</v>
      </c>
      <c r="B135" s="11">
        <f>AVERAGE(E135:AE135)</f>
        <v>3.7037037037037037</v>
      </c>
      <c r="C135" s="2">
        <f>MIN(E135:AE135)</f>
        <v>0</v>
      </c>
      <c r="D135" s="12">
        <f>MAX(E135:AE135)</f>
        <v>9</v>
      </c>
      <c r="E135" s="21">
        <v>2</v>
      </c>
      <c r="F135" s="13">
        <v>7</v>
      </c>
      <c r="G135" s="13">
        <v>3</v>
      </c>
      <c r="H135" s="13">
        <v>4</v>
      </c>
      <c r="I135" s="13">
        <v>3</v>
      </c>
      <c r="J135" s="13">
        <v>8</v>
      </c>
      <c r="K135" s="13">
        <v>4</v>
      </c>
      <c r="L135" s="13">
        <v>5</v>
      </c>
      <c r="M135" s="13">
        <v>3</v>
      </c>
      <c r="N135" s="13">
        <v>5</v>
      </c>
      <c r="O135" s="13">
        <v>3</v>
      </c>
      <c r="P135" s="13">
        <v>4</v>
      </c>
      <c r="Q135" s="13">
        <v>3</v>
      </c>
      <c r="R135" s="13">
        <v>5</v>
      </c>
      <c r="S135" s="13">
        <v>6</v>
      </c>
      <c r="T135" s="13">
        <v>9</v>
      </c>
      <c r="U135" s="13">
        <v>5</v>
      </c>
      <c r="V135" s="13">
        <v>1</v>
      </c>
      <c r="W135" s="13">
        <v>1</v>
      </c>
      <c r="X135" s="21">
        <v>6</v>
      </c>
      <c r="Y135" s="13">
        <v>3</v>
      </c>
      <c r="Z135" s="13">
        <v>2</v>
      </c>
      <c r="AA135" s="13">
        <v>0</v>
      </c>
      <c r="AB135" s="13">
        <v>3</v>
      </c>
      <c r="AC135" s="13">
        <v>3</v>
      </c>
      <c r="AD135" s="13">
        <v>1</v>
      </c>
      <c r="AE135" s="13">
        <v>1</v>
      </c>
      <c r="AF135" s="13">
        <v>3</v>
      </c>
      <c r="AG135" s="13"/>
      <c r="AH135" s="13"/>
      <c r="CB135" s="3"/>
      <c r="CU135" s="3"/>
      <c r="CV135" s="3"/>
      <c r="CW135" s="3"/>
      <c r="CX135" s="3"/>
      <c r="CY135" s="3"/>
      <c r="CZ135" s="3"/>
      <c r="DA135" s="3"/>
      <c r="DK135" s="31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  <c r="EU135" s="3"/>
      <c r="EV135" s="3"/>
      <c r="EW135" s="3"/>
      <c r="HK135" s="3"/>
      <c r="HL135" s="3"/>
      <c r="HM135" s="3"/>
      <c r="HN135" s="3"/>
      <c r="HO135" s="3"/>
      <c r="HP135" s="3"/>
      <c r="HQ135" s="3"/>
      <c r="HR135" s="3"/>
      <c r="HS135" s="3"/>
      <c r="HT135" s="3"/>
      <c r="HU135" s="3"/>
      <c r="HV135" s="3"/>
      <c r="HW135" s="3"/>
      <c r="HX135" s="3"/>
    </row>
    <row r="136" spans="1:232">
      <c r="A136" s="10" t="s">
        <v>247</v>
      </c>
      <c r="B136" s="11">
        <f>AVERAGE(E136:AE136)</f>
        <v>3.8888888888888888</v>
      </c>
      <c r="C136" s="2">
        <f>MIN(E136:AE136)</f>
        <v>1</v>
      </c>
      <c r="D136" s="12">
        <f>MAX(E136:AE136)</f>
        <v>9</v>
      </c>
      <c r="E136" s="13">
        <v>2</v>
      </c>
      <c r="F136" s="13">
        <v>7</v>
      </c>
      <c r="G136" s="13">
        <v>3</v>
      </c>
      <c r="H136" s="13">
        <v>5</v>
      </c>
      <c r="I136" s="21">
        <v>4</v>
      </c>
      <c r="J136" s="13">
        <v>9</v>
      </c>
      <c r="K136" s="13">
        <v>4</v>
      </c>
      <c r="L136" s="13">
        <v>5</v>
      </c>
      <c r="M136" s="13">
        <v>3</v>
      </c>
      <c r="N136" s="13">
        <v>5</v>
      </c>
      <c r="O136" s="13">
        <v>3</v>
      </c>
      <c r="P136" s="13">
        <v>4</v>
      </c>
      <c r="Q136" s="13">
        <v>3</v>
      </c>
      <c r="R136" s="13">
        <v>6</v>
      </c>
      <c r="S136" s="13">
        <v>6</v>
      </c>
      <c r="T136" s="13">
        <v>9</v>
      </c>
      <c r="U136" s="13">
        <v>5</v>
      </c>
      <c r="V136" s="13">
        <v>1</v>
      </c>
      <c r="W136" s="13">
        <v>1</v>
      </c>
      <c r="X136" s="13">
        <v>6</v>
      </c>
      <c r="Y136" s="13">
        <v>3</v>
      </c>
      <c r="Z136" s="13">
        <v>2</v>
      </c>
      <c r="AA136" s="13">
        <v>1</v>
      </c>
      <c r="AB136" s="13">
        <v>3</v>
      </c>
      <c r="AC136" s="13">
        <v>3</v>
      </c>
      <c r="AD136" s="13">
        <v>1</v>
      </c>
      <c r="AE136" s="13">
        <v>1</v>
      </c>
      <c r="AF136" s="21">
        <v>4</v>
      </c>
      <c r="AG136" s="13"/>
      <c r="AH136" s="13"/>
      <c r="CB136" s="3"/>
      <c r="CU136" s="3"/>
      <c r="CV136" s="3"/>
      <c r="CW136" s="3"/>
      <c r="CX136" s="3"/>
      <c r="CY136" s="3"/>
      <c r="CZ136" s="3"/>
      <c r="DA136" s="3"/>
      <c r="DK136" s="31"/>
      <c r="DL136" s="3"/>
      <c r="DM136" s="3"/>
      <c r="DN136" s="3"/>
      <c r="DO136" s="3"/>
      <c r="DP136" s="3"/>
      <c r="DQ136" s="3"/>
      <c r="DR136" s="3"/>
      <c r="DS136" s="3"/>
      <c r="DT136" s="3"/>
      <c r="DU136" s="3"/>
      <c r="DV136" s="3"/>
      <c r="DW136" s="3"/>
      <c r="DX136" s="3"/>
      <c r="DY136" s="3"/>
      <c r="DZ136" s="3"/>
      <c r="EA136" s="3"/>
      <c r="EB136" s="3"/>
      <c r="EC136" s="3"/>
      <c r="ED136" s="3"/>
      <c r="EE136" s="3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  <c r="EU136" s="3"/>
      <c r="EV136" s="3"/>
      <c r="EW136" s="3"/>
      <c r="HK136" s="3"/>
      <c r="HL136" s="3"/>
      <c r="HM136" s="3"/>
      <c r="HN136" s="3"/>
      <c r="HO136" s="3"/>
      <c r="HP136" s="3"/>
      <c r="HQ136" s="3"/>
      <c r="HR136" s="3"/>
      <c r="HS136" s="3"/>
      <c r="HT136" s="3"/>
      <c r="HU136" s="3"/>
      <c r="HV136" s="3"/>
      <c r="HW136" s="3"/>
      <c r="HX136" s="3"/>
    </row>
    <row r="137" spans="1:232">
      <c r="A137" s="10" t="s">
        <v>248</v>
      </c>
      <c r="B137" s="11">
        <f>AVERAGE(E137:AE137)</f>
        <v>4.0740740740740744</v>
      </c>
      <c r="C137" s="2">
        <f>MIN(E137:AE137)</f>
        <v>1</v>
      </c>
      <c r="D137" s="12">
        <f>MAX(E137:AE137)</f>
        <v>9</v>
      </c>
      <c r="E137" s="13">
        <v>2</v>
      </c>
      <c r="F137" s="13">
        <v>7</v>
      </c>
      <c r="G137" s="13">
        <v>3</v>
      </c>
      <c r="H137" s="13">
        <v>6</v>
      </c>
      <c r="I137" s="13">
        <v>4</v>
      </c>
      <c r="J137" s="13">
        <v>9</v>
      </c>
      <c r="K137" s="13">
        <v>4</v>
      </c>
      <c r="L137" s="13">
        <v>5</v>
      </c>
      <c r="M137" s="13">
        <v>3</v>
      </c>
      <c r="N137" s="13">
        <v>5</v>
      </c>
      <c r="O137" s="13">
        <v>3</v>
      </c>
      <c r="P137" s="13">
        <v>4</v>
      </c>
      <c r="Q137" s="13">
        <v>4</v>
      </c>
      <c r="R137" s="13">
        <v>7</v>
      </c>
      <c r="S137" s="13">
        <v>6</v>
      </c>
      <c r="T137" s="13">
        <v>9</v>
      </c>
      <c r="U137" s="13">
        <v>6</v>
      </c>
      <c r="V137" s="13">
        <v>1</v>
      </c>
      <c r="W137" s="21">
        <v>2</v>
      </c>
      <c r="X137" s="13">
        <v>6</v>
      </c>
      <c r="Y137" s="13">
        <v>3</v>
      </c>
      <c r="Z137" s="13">
        <v>2</v>
      </c>
      <c r="AA137" s="13">
        <v>1</v>
      </c>
      <c r="AB137" s="13">
        <v>3</v>
      </c>
      <c r="AC137" s="13">
        <v>3</v>
      </c>
      <c r="AD137" s="13">
        <v>1</v>
      </c>
      <c r="AE137" s="13">
        <v>1</v>
      </c>
      <c r="AF137" s="13">
        <v>4</v>
      </c>
      <c r="AG137" s="13"/>
      <c r="AH137" s="13"/>
      <c r="CB137" s="3"/>
      <c r="CU137" s="3"/>
      <c r="CV137" s="3"/>
      <c r="CW137" s="3"/>
      <c r="CX137" s="3"/>
      <c r="CY137" s="3"/>
      <c r="CZ137" s="3"/>
      <c r="DA137" s="3"/>
      <c r="DK137" s="31"/>
      <c r="DL137" s="3"/>
      <c r="DM137" s="3"/>
      <c r="DN137" s="3"/>
      <c r="DO137" s="3"/>
      <c r="DP137" s="3"/>
      <c r="DQ137" s="3"/>
      <c r="DR137" s="3"/>
      <c r="DS137" s="3"/>
      <c r="DT137" s="3"/>
      <c r="DU137" s="3"/>
      <c r="DV137" s="3"/>
      <c r="DW137" s="3"/>
      <c r="DX137" s="3"/>
      <c r="DY137" s="3"/>
      <c r="DZ137" s="3"/>
      <c r="EA137" s="3"/>
      <c r="EB137" s="3"/>
      <c r="EC137" s="3"/>
      <c r="ED137" s="3"/>
      <c r="EE137" s="3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  <c r="EU137" s="3"/>
      <c r="EV137" s="3"/>
      <c r="EW137" s="3"/>
      <c r="HK137" s="3"/>
      <c r="HL137" s="3"/>
      <c r="HM137" s="3"/>
      <c r="HN137" s="3"/>
      <c r="HO137" s="3"/>
      <c r="HP137" s="3"/>
      <c r="HQ137" s="3"/>
      <c r="HR137" s="3"/>
      <c r="HS137" s="3"/>
      <c r="HT137" s="3"/>
      <c r="HU137" s="3"/>
      <c r="HV137" s="3"/>
      <c r="HW137" s="3"/>
      <c r="HX137" s="3"/>
    </row>
    <row r="138" spans="1:232">
      <c r="A138" s="10" t="s">
        <v>249</v>
      </c>
      <c r="B138" s="11">
        <f>AVERAGE(E138:AE138)</f>
        <v>4.1851851851851851</v>
      </c>
      <c r="C138" s="2">
        <f>MIN(E138:AE138)</f>
        <v>1</v>
      </c>
      <c r="D138" s="12">
        <f>MAX(E138:AE138)</f>
        <v>9</v>
      </c>
      <c r="E138" s="13">
        <v>2</v>
      </c>
      <c r="F138" s="13">
        <v>7</v>
      </c>
      <c r="G138" s="13">
        <v>3</v>
      </c>
      <c r="H138" s="13">
        <v>6</v>
      </c>
      <c r="I138" s="13">
        <v>4</v>
      </c>
      <c r="J138" s="13">
        <v>9</v>
      </c>
      <c r="K138" s="13">
        <v>4</v>
      </c>
      <c r="L138" s="13">
        <v>5</v>
      </c>
      <c r="M138" s="13">
        <v>3</v>
      </c>
      <c r="N138" s="13">
        <v>6</v>
      </c>
      <c r="O138" s="13">
        <v>3</v>
      </c>
      <c r="P138" s="13">
        <v>4</v>
      </c>
      <c r="Q138" s="13">
        <v>4</v>
      </c>
      <c r="R138" s="13">
        <v>7</v>
      </c>
      <c r="S138" s="13">
        <v>6</v>
      </c>
      <c r="T138" s="13">
        <v>9</v>
      </c>
      <c r="U138" s="13">
        <v>6</v>
      </c>
      <c r="V138" s="13">
        <v>2</v>
      </c>
      <c r="W138" s="13">
        <v>3</v>
      </c>
      <c r="X138" s="13">
        <v>6</v>
      </c>
      <c r="Y138" s="13">
        <v>3</v>
      </c>
      <c r="Z138" s="13">
        <v>2</v>
      </c>
      <c r="AA138" s="13">
        <v>1</v>
      </c>
      <c r="AB138" s="13">
        <v>3</v>
      </c>
      <c r="AC138" s="13">
        <v>3</v>
      </c>
      <c r="AD138" s="13">
        <v>1</v>
      </c>
      <c r="AE138" s="13">
        <v>1</v>
      </c>
      <c r="AF138" s="13">
        <v>4</v>
      </c>
      <c r="AG138" s="13"/>
      <c r="AH138" s="13"/>
      <c r="CB138" s="3"/>
      <c r="CU138" s="3"/>
      <c r="CV138" s="3"/>
      <c r="CW138" s="3"/>
      <c r="CX138" s="3"/>
      <c r="CY138" s="3"/>
      <c r="CZ138" s="3"/>
      <c r="DA138" s="3"/>
      <c r="DK138" s="31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  <c r="EC138" s="3"/>
      <c r="ED138" s="3"/>
      <c r="EE138" s="3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HK138" s="3"/>
      <c r="HL138" s="3"/>
      <c r="HM138" s="3"/>
      <c r="HN138" s="3"/>
      <c r="HO138" s="3"/>
      <c r="HP138" s="3"/>
      <c r="HQ138" s="3"/>
      <c r="HR138" s="3"/>
      <c r="HS138" s="3"/>
      <c r="HT138" s="3"/>
      <c r="HU138" s="3"/>
      <c r="HV138" s="3"/>
      <c r="HW138" s="3"/>
      <c r="HX138" s="3"/>
    </row>
    <row r="139" spans="1:232">
      <c r="A139" s="10" t="s">
        <v>250</v>
      </c>
      <c r="B139" s="11">
        <f>AVERAGE(E139:AE139)</f>
        <v>4.333333333333333</v>
      </c>
      <c r="C139" s="2">
        <f>MIN(E139:AE139)</f>
        <v>1</v>
      </c>
      <c r="D139" s="12">
        <f>MAX(E139:AE139)</f>
        <v>9</v>
      </c>
      <c r="E139" s="13">
        <v>2</v>
      </c>
      <c r="F139" s="13">
        <v>7</v>
      </c>
      <c r="G139" s="13">
        <v>3</v>
      </c>
      <c r="H139" s="21">
        <v>7</v>
      </c>
      <c r="I139" s="13">
        <v>4</v>
      </c>
      <c r="J139" s="13">
        <v>9</v>
      </c>
      <c r="K139" s="13">
        <v>4</v>
      </c>
      <c r="L139" s="13">
        <v>5</v>
      </c>
      <c r="M139" s="47">
        <v>4</v>
      </c>
      <c r="N139" s="21">
        <v>7</v>
      </c>
      <c r="O139" s="13">
        <v>3</v>
      </c>
      <c r="P139" s="13">
        <v>4</v>
      </c>
      <c r="Q139" s="13">
        <v>4</v>
      </c>
      <c r="R139" s="13">
        <v>7</v>
      </c>
      <c r="S139" s="13">
        <v>6</v>
      </c>
      <c r="T139" s="13">
        <v>9</v>
      </c>
      <c r="U139" s="13">
        <v>6</v>
      </c>
      <c r="V139" s="13">
        <v>2</v>
      </c>
      <c r="W139" s="13">
        <v>4</v>
      </c>
      <c r="X139" s="13">
        <v>6</v>
      </c>
      <c r="Y139" s="13">
        <v>3</v>
      </c>
      <c r="Z139" s="13">
        <v>2</v>
      </c>
      <c r="AA139" s="13">
        <v>1</v>
      </c>
      <c r="AB139" s="13">
        <v>3</v>
      </c>
      <c r="AC139" s="13">
        <v>3</v>
      </c>
      <c r="AD139" s="13">
        <v>1</v>
      </c>
      <c r="AE139" s="13">
        <v>1</v>
      </c>
      <c r="AF139" s="13">
        <v>4</v>
      </c>
      <c r="AG139" s="13"/>
      <c r="AH139" s="13"/>
      <c r="CB139" s="3"/>
      <c r="CU139" s="3"/>
      <c r="CV139" s="3"/>
      <c r="CW139" s="3"/>
      <c r="CX139" s="3"/>
      <c r="CY139" s="3"/>
      <c r="CZ139" s="3"/>
      <c r="DA139" s="3"/>
      <c r="DK139" s="31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HK139" s="3"/>
      <c r="HL139" s="3"/>
      <c r="HM139" s="3"/>
      <c r="HN139" s="3"/>
      <c r="HO139" s="3"/>
      <c r="HP139" s="3"/>
      <c r="HQ139" s="3"/>
      <c r="HR139" s="3"/>
      <c r="HS139" s="3"/>
      <c r="HT139" s="3"/>
      <c r="HU139" s="3"/>
      <c r="HV139" s="3"/>
      <c r="HW139" s="3"/>
      <c r="HX139" s="3"/>
    </row>
    <row r="140" spans="1:232">
      <c r="A140" s="10" t="s">
        <v>251</v>
      </c>
      <c r="B140" s="11">
        <f>AVERAGE(E140:AE140)</f>
        <v>4.4814814814814818</v>
      </c>
      <c r="C140" s="2">
        <f>MIN(E140:AE140)</f>
        <v>1</v>
      </c>
      <c r="D140" s="12">
        <f>MAX(E140:AE140)</f>
        <v>9</v>
      </c>
      <c r="E140" s="13">
        <v>2</v>
      </c>
      <c r="F140" s="13">
        <v>7</v>
      </c>
      <c r="G140" s="21">
        <v>4</v>
      </c>
      <c r="H140" s="13">
        <v>7</v>
      </c>
      <c r="I140" s="21">
        <v>5</v>
      </c>
      <c r="J140" s="13">
        <v>9</v>
      </c>
      <c r="K140" s="13">
        <v>4</v>
      </c>
      <c r="L140" s="13">
        <v>5</v>
      </c>
      <c r="M140" s="13">
        <v>4</v>
      </c>
      <c r="N140" s="13">
        <v>8</v>
      </c>
      <c r="O140" s="13">
        <v>3</v>
      </c>
      <c r="P140" s="13">
        <v>4</v>
      </c>
      <c r="Q140" s="13">
        <v>4</v>
      </c>
      <c r="R140" s="13">
        <v>7</v>
      </c>
      <c r="S140" s="13">
        <v>6</v>
      </c>
      <c r="T140" s="13">
        <v>9</v>
      </c>
      <c r="U140" s="13">
        <v>6</v>
      </c>
      <c r="V140" s="14">
        <v>2</v>
      </c>
      <c r="W140" s="13">
        <v>4</v>
      </c>
      <c r="X140" s="13">
        <v>6</v>
      </c>
      <c r="Y140" s="13">
        <v>3</v>
      </c>
      <c r="Z140" s="13">
        <v>2</v>
      </c>
      <c r="AA140" s="13">
        <v>2</v>
      </c>
      <c r="AB140" s="13">
        <v>3</v>
      </c>
      <c r="AC140" s="13">
        <v>3</v>
      </c>
      <c r="AD140" s="13">
        <v>1</v>
      </c>
      <c r="AE140" s="13">
        <v>1</v>
      </c>
      <c r="AF140" s="13">
        <v>4</v>
      </c>
      <c r="AG140" s="13"/>
      <c r="AH140" s="13"/>
      <c r="CB140" s="3"/>
      <c r="CU140" s="3"/>
      <c r="CV140" s="3"/>
      <c r="CW140" s="3"/>
      <c r="CX140" s="3"/>
      <c r="CY140" s="3"/>
      <c r="CZ140" s="3"/>
      <c r="DA140" s="3"/>
      <c r="DK140" s="31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HK140" s="3"/>
      <c r="HL140" s="3"/>
      <c r="HM140" s="3"/>
      <c r="HN140" s="3"/>
      <c r="HO140" s="3"/>
      <c r="HP140" s="3"/>
      <c r="HQ140" s="3"/>
      <c r="HR140" s="3"/>
      <c r="HS140" s="3"/>
      <c r="HT140" s="3"/>
      <c r="HU140" s="3"/>
      <c r="HV140" s="3"/>
      <c r="HW140" s="3"/>
      <c r="HX140" s="3"/>
    </row>
    <row r="141" spans="1:232">
      <c r="A141" s="10" t="s">
        <v>252</v>
      </c>
      <c r="B141" s="11">
        <f>AVERAGE(E141:AE141)</f>
        <v>4.666666666666667</v>
      </c>
      <c r="C141" s="2">
        <f>MIN(E141:AE141)</f>
        <v>1</v>
      </c>
      <c r="D141" s="12">
        <f>MAX(E141:AE141)</f>
        <v>9</v>
      </c>
      <c r="E141" s="13">
        <v>2</v>
      </c>
      <c r="F141" s="13">
        <v>7</v>
      </c>
      <c r="G141" s="13">
        <v>4</v>
      </c>
      <c r="H141" s="13">
        <v>7</v>
      </c>
      <c r="I141" s="13">
        <v>5</v>
      </c>
      <c r="J141" s="13">
        <v>9</v>
      </c>
      <c r="K141" s="13">
        <v>4</v>
      </c>
      <c r="L141" s="13">
        <v>6</v>
      </c>
      <c r="M141" s="13">
        <v>4</v>
      </c>
      <c r="N141" s="13">
        <v>9</v>
      </c>
      <c r="O141" s="13">
        <v>4</v>
      </c>
      <c r="P141" s="13">
        <v>4</v>
      </c>
      <c r="Q141" s="13">
        <v>4</v>
      </c>
      <c r="R141" s="13">
        <v>7</v>
      </c>
      <c r="S141" s="13">
        <v>6</v>
      </c>
      <c r="T141" s="13">
        <v>9</v>
      </c>
      <c r="U141" s="13">
        <v>6</v>
      </c>
      <c r="V141" s="13">
        <v>2</v>
      </c>
      <c r="W141" s="13">
        <v>4</v>
      </c>
      <c r="X141" s="13">
        <v>7</v>
      </c>
      <c r="Y141" s="13">
        <v>3</v>
      </c>
      <c r="Z141" s="13">
        <v>2</v>
      </c>
      <c r="AA141" s="13">
        <v>2</v>
      </c>
      <c r="AB141" s="13">
        <v>4</v>
      </c>
      <c r="AC141" s="13">
        <v>3</v>
      </c>
      <c r="AD141" s="13">
        <v>1</v>
      </c>
      <c r="AE141" s="13">
        <v>1</v>
      </c>
      <c r="AF141" s="13">
        <v>4</v>
      </c>
      <c r="AG141" s="13"/>
      <c r="AH141" s="13"/>
      <c r="CB141" s="3"/>
      <c r="CU141" s="3"/>
      <c r="CV141" s="3"/>
      <c r="CW141" s="3"/>
      <c r="CX141" s="3"/>
      <c r="CY141" s="3"/>
      <c r="CZ141" s="3"/>
      <c r="DA141" s="3"/>
      <c r="DK141" s="31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  <c r="EC141" s="3"/>
      <c r="ED141" s="3"/>
      <c r="EE141" s="3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  <c r="EU141" s="3"/>
      <c r="EV141" s="3"/>
      <c r="EW141" s="3"/>
      <c r="HK141" s="3"/>
      <c r="HL141" s="3"/>
      <c r="HM141" s="3"/>
      <c r="HN141" s="3"/>
      <c r="HO141" s="3"/>
      <c r="HP141" s="3"/>
      <c r="HQ141" s="3"/>
      <c r="HR141" s="3"/>
      <c r="HS141" s="3"/>
      <c r="HT141" s="3"/>
      <c r="HU141" s="3"/>
      <c r="HV141" s="3"/>
      <c r="HW141" s="3"/>
      <c r="HX141" s="3"/>
    </row>
    <row r="142" spans="1:232">
      <c r="A142" s="10" t="s">
        <v>253</v>
      </c>
      <c r="B142" s="11">
        <f>AVERAGE(E142:AE142)</f>
        <v>4.8148148148148149</v>
      </c>
      <c r="C142" s="2">
        <f>MIN(E142:AE142)</f>
        <v>1</v>
      </c>
      <c r="D142" s="12">
        <f>MAX(E142:AE142)</f>
        <v>10</v>
      </c>
      <c r="E142" s="13">
        <v>2</v>
      </c>
      <c r="F142" s="13">
        <v>8</v>
      </c>
      <c r="G142" s="13">
        <v>4</v>
      </c>
      <c r="H142" s="13">
        <v>7</v>
      </c>
      <c r="I142" s="13">
        <v>5</v>
      </c>
      <c r="J142" s="13">
        <v>9</v>
      </c>
      <c r="K142" s="13">
        <v>4</v>
      </c>
      <c r="L142" s="21">
        <v>7</v>
      </c>
      <c r="M142" s="13">
        <v>4</v>
      </c>
      <c r="N142" s="21">
        <v>10</v>
      </c>
      <c r="O142" s="13">
        <v>4</v>
      </c>
      <c r="P142" s="13">
        <v>4</v>
      </c>
      <c r="Q142" s="13">
        <v>4</v>
      </c>
      <c r="R142" s="13">
        <v>7</v>
      </c>
      <c r="S142" s="13">
        <v>6</v>
      </c>
      <c r="T142" s="13">
        <v>9</v>
      </c>
      <c r="U142" s="13">
        <v>6</v>
      </c>
      <c r="V142" s="13">
        <v>2</v>
      </c>
      <c r="W142" s="13">
        <v>4</v>
      </c>
      <c r="X142" s="13">
        <v>7</v>
      </c>
      <c r="Y142" s="13">
        <v>3</v>
      </c>
      <c r="Z142" s="13">
        <v>2</v>
      </c>
      <c r="AA142" s="13">
        <v>3</v>
      </c>
      <c r="AB142" s="13">
        <v>4</v>
      </c>
      <c r="AC142" s="13">
        <v>3</v>
      </c>
      <c r="AD142" s="13">
        <v>1</v>
      </c>
      <c r="AE142" s="13">
        <v>1</v>
      </c>
      <c r="AF142" s="13">
        <v>4</v>
      </c>
      <c r="AG142" s="13"/>
      <c r="AH142" s="13"/>
      <c r="CB142" s="3"/>
      <c r="CU142" s="3"/>
      <c r="CV142" s="3"/>
      <c r="CW142" s="3"/>
      <c r="CX142" s="3"/>
      <c r="CY142" s="3"/>
      <c r="CZ142" s="3"/>
      <c r="DA142" s="3"/>
      <c r="DK142" s="31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  <c r="EC142" s="3"/>
      <c r="ED142" s="3"/>
      <c r="EE142" s="3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  <c r="EU142" s="3"/>
      <c r="EV142" s="3"/>
      <c r="EW142" s="3"/>
      <c r="HK142" s="3"/>
      <c r="HL142" s="3"/>
      <c r="HM142" s="3"/>
      <c r="HN142" s="3"/>
      <c r="HO142" s="3"/>
      <c r="HP142" s="3"/>
      <c r="HQ142" s="3"/>
      <c r="HR142" s="3"/>
      <c r="HS142" s="3"/>
      <c r="HT142" s="3"/>
      <c r="HU142" s="3"/>
      <c r="HV142" s="3"/>
      <c r="HW142" s="3"/>
      <c r="HX142" s="3"/>
    </row>
    <row r="143" spans="1:232">
      <c r="A143" s="10" t="s">
        <v>254</v>
      </c>
      <c r="B143" s="11">
        <f>AVERAGE(E143:AE143)</f>
        <v>4.9259259259259256</v>
      </c>
      <c r="C143" s="2">
        <f>MIN(E143:AE143)</f>
        <v>1</v>
      </c>
      <c r="D143" s="12">
        <f>MAX(E143:AE143)</f>
        <v>10</v>
      </c>
      <c r="E143" s="13">
        <v>2</v>
      </c>
      <c r="F143" s="13">
        <v>8</v>
      </c>
      <c r="G143" s="13">
        <v>4</v>
      </c>
      <c r="H143" s="13">
        <v>7</v>
      </c>
      <c r="I143" s="13">
        <v>5</v>
      </c>
      <c r="J143" s="13">
        <v>9</v>
      </c>
      <c r="K143" s="13">
        <v>4</v>
      </c>
      <c r="L143" s="13">
        <v>7</v>
      </c>
      <c r="M143" s="13">
        <v>4</v>
      </c>
      <c r="N143" s="13">
        <v>10</v>
      </c>
      <c r="O143" s="21">
        <v>5</v>
      </c>
      <c r="P143" s="13">
        <v>4</v>
      </c>
      <c r="Q143" s="13">
        <v>4</v>
      </c>
      <c r="R143" s="13">
        <v>7</v>
      </c>
      <c r="S143" s="13">
        <v>6</v>
      </c>
      <c r="T143" s="13">
        <v>9</v>
      </c>
      <c r="U143" s="13">
        <v>6</v>
      </c>
      <c r="V143" s="13">
        <v>2</v>
      </c>
      <c r="W143" s="13">
        <v>4</v>
      </c>
      <c r="X143" s="13">
        <v>7</v>
      </c>
      <c r="Y143" s="13">
        <v>3</v>
      </c>
      <c r="Z143" s="13">
        <v>2</v>
      </c>
      <c r="AA143" s="21">
        <v>4</v>
      </c>
      <c r="AB143" s="13">
        <v>4</v>
      </c>
      <c r="AC143" s="13">
        <v>3</v>
      </c>
      <c r="AD143" s="21">
        <v>2</v>
      </c>
      <c r="AE143" s="13">
        <v>1</v>
      </c>
      <c r="AF143" s="13">
        <v>4</v>
      </c>
      <c r="AG143" s="13"/>
      <c r="AH143" s="13"/>
      <c r="CB143" s="3"/>
      <c r="CU143" s="3"/>
      <c r="CV143" s="3"/>
      <c r="CW143" s="3"/>
      <c r="CX143" s="3"/>
      <c r="CY143" s="3"/>
      <c r="CZ143" s="3"/>
      <c r="DA143" s="3"/>
      <c r="DK143" s="31"/>
      <c r="DL143" s="3"/>
      <c r="DM143" s="3"/>
      <c r="DN143" s="3"/>
      <c r="DO143" s="3"/>
      <c r="DP143" s="3"/>
      <c r="DQ143" s="3"/>
      <c r="DR143" s="3"/>
      <c r="DS143" s="3"/>
      <c r="DT143" s="3"/>
      <c r="DU143" s="3"/>
      <c r="DV143" s="3"/>
      <c r="DW143" s="3"/>
      <c r="DX143" s="3"/>
      <c r="DY143" s="3"/>
      <c r="DZ143" s="3"/>
      <c r="EA143" s="3"/>
      <c r="EB143" s="3"/>
      <c r="EC143" s="3"/>
      <c r="ED143" s="3"/>
      <c r="EE143" s="3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  <c r="EU143" s="3"/>
      <c r="EV143" s="3"/>
      <c r="EW143" s="3"/>
      <c r="HK143" s="3"/>
      <c r="HL143" s="3"/>
      <c r="HM143" s="3"/>
      <c r="HN143" s="3"/>
      <c r="HO143" s="3"/>
      <c r="HP143" s="3"/>
      <c r="HQ143" s="3"/>
      <c r="HR143" s="3"/>
      <c r="HS143" s="3"/>
      <c r="HT143" s="3"/>
      <c r="HU143" s="3"/>
      <c r="HV143" s="3"/>
      <c r="HW143" s="3"/>
      <c r="HX143" s="3"/>
    </row>
    <row r="144" spans="1:232">
      <c r="A144" s="10" t="s">
        <v>255</v>
      </c>
      <c r="B144" s="11">
        <f>AVERAGE(E144:AE144)</f>
        <v>5.1111111111111107</v>
      </c>
      <c r="C144" s="2">
        <f>MIN(E144:AE144)</f>
        <v>1</v>
      </c>
      <c r="D144" s="12">
        <f>MAX(E144:AE144)</f>
        <v>10</v>
      </c>
      <c r="E144" s="13">
        <v>2</v>
      </c>
      <c r="F144" s="13">
        <v>8</v>
      </c>
      <c r="G144" s="13">
        <v>4</v>
      </c>
      <c r="H144" s="13">
        <v>7</v>
      </c>
      <c r="I144" s="21">
        <v>6</v>
      </c>
      <c r="J144" s="13">
        <v>9</v>
      </c>
      <c r="K144" s="13">
        <v>4</v>
      </c>
      <c r="L144" s="13">
        <v>7</v>
      </c>
      <c r="M144" s="13">
        <v>4</v>
      </c>
      <c r="N144" s="13">
        <v>10</v>
      </c>
      <c r="O144" s="13">
        <v>5</v>
      </c>
      <c r="P144" s="13">
        <v>4</v>
      </c>
      <c r="Q144" s="13">
        <v>5</v>
      </c>
      <c r="R144" s="13">
        <v>7</v>
      </c>
      <c r="S144" s="13">
        <v>7</v>
      </c>
      <c r="T144" s="99">
        <v>10</v>
      </c>
      <c r="U144" s="13">
        <v>6</v>
      </c>
      <c r="V144" s="13">
        <v>2</v>
      </c>
      <c r="W144" s="13">
        <v>4</v>
      </c>
      <c r="X144" s="13">
        <v>7</v>
      </c>
      <c r="Y144" s="13">
        <v>3</v>
      </c>
      <c r="Z144" s="13">
        <v>2</v>
      </c>
      <c r="AA144" s="13">
        <v>4</v>
      </c>
      <c r="AB144" s="13">
        <v>4</v>
      </c>
      <c r="AC144" s="13">
        <v>3</v>
      </c>
      <c r="AD144" s="21">
        <v>3</v>
      </c>
      <c r="AE144" s="13">
        <v>1</v>
      </c>
      <c r="AF144" s="13">
        <v>4</v>
      </c>
      <c r="AG144" s="13"/>
      <c r="AH144" s="13"/>
      <c r="CB144" s="3"/>
      <c r="CU144" s="3"/>
      <c r="CV144" s="3"/>
      <c r="CW144" s="3"/>
      <c r="CX144" s="3"/>
      <c r="CY144" s="3"/>
      <c r="CZ144" s="3"/>
      <c r="DA144" s="3"/>
      <c r="DK144" s="31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  <c r="EC144" s="3"/>
      <c r="ED144" s="3"/>
      <c r="EE144" s="3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  <c r="EU144" s="3"/>
      <c r="EV144" s="3"/>
      <c r="EW144" s="3"/>
      <c r="HK144" s="3"/>
      <c r="HL144" s="3"/>
      <c r="HM144" s="3"/>
      <c r="HN144" s="3"/>
      <c r="HO144" s="3"/>
      <c r="HP144" s="3"/>
      <c r="HQ144" s="3"/>
      <c r="HR144" s="3"/>
      <c r="HS144" s="3"/>
      <c r="HT144" s="3"/>
      <c r="HU144" s="3"/>
      <c r="HV144" s="3"/>
      <c r="HW144" s="3"/>
      <c r="HX144" s="3"/>
    </row>
    <row r="145" spans="1:232">
      <c r="A145" s="10" t="s">
        <v>256</v>
      </c>
      <c r="B145" s="11">
        <f>AVERAGE(E145:AE145)</f>
        <v>5.333333333333333</v>
      </c>
      <c r="C145" s="2">
        <f>MIN(E145:AE145)</f>
        <v>1</v>
      </c>
      <c r="D145" s="12">
        <f>MAX(E145:AE145)</f>
        <v>10</v>
      </c>
      <c r="E145" s="21">
        <v>3</v>
      </c>
      <c r="F145" s="13">
        <v>9</v>
      </c>
      <c r="G145" s="13">
        <v>4</v>
      </c>
      <c r="H145" s="13">
        <v>7</v>
      </c>
      <c r="I145" s="13">
        <v>6</v>
      </c>
      <c r="J145" s="13">
        <v>9</v>
      </c>
      <c r="K145" s="13">
        <v>4</v>
      </c>
      <c r="L145" s="47">
        <v>8</v>
      </c>
      <c r="M145" s="13">
        <v>4</v>
      </c>
      <c r="N145" s="13">
        <v>10</v>
      </c>
      <c r="O145" s="21">
        <v>6</v>
      </c>
      <c r="P145" s="13">
        <v>4</v>
      </c>
      <c r="Q145" s="21">
        <v>6</v>
      </c>
      <c r="R145" s="13">
        <v>7</v>
      </c>
      <c r="S145" s="13">
        <v>7</v>
      </c>
      <c r="T145" s="13">
        <v>10</v>
      </c>
      <c r="U145" s="13">
        <v>6</v>
      </c>
      <c r="V145" s="13">
        <v>2</v>
      </c>
      <c r="W145" s="13">
        <v>4</v>
      </c>
      <c r="X145" s="13">
        <v>7</v>
      </c>
      <c r="Y145" s="13">
        <v>3</v>
      </c>
      <c r="Z145" s="13">
        <v>2</v>
      </c>
      <c r="AA145" s="13">
        <v>4</v>
      </c>
      <c r="AB145" s="47">
        <v>5</v>
      </c>
      <c r="AC145" s="13">
        <v>3</v>
      </c>
      <c r="AD145" s="13">
        <v>3</v>
      </c>
      <c r="AE145" s="13">
        <v>1</v>
      </c>
      <c r="AF145" s="13">
        <v>4</v>
      </c>
      <c r="AG145" s="13"/>
      <c r="AH145" s="13"/>
      <c r="CB145" s="3"/>
      <c r="CU145" s="3"/>
      <c r="CV145" s="3"/>
      <c r="CW145" s="3"/>
      <c r="CX145" s="3"/>
      <c r="CY145" s="3"/>
      <c r="CZ145" s="3"/>
      <c r="DA145" s="3"/>
      <c r="DK145" s="31"/>
      <c r="DL145" s="3"/>
      <c r="DM145" s="3"/>
      <c r="DN145" s="3"/>
      <c r="DO145" s="3"/>
      <c r="DP145" s="3"/>
      <c r="DQ145" s="3"/>
      <c r="DR145" s="3"/>
      <c r="DS145" s="3"/>
      <c r="DT145" s="3"/>
      <c r="DU145" s="3"/>
      <c r="DV145" s="3"/>
      <c r="DW145" s="3"/>
      <c r="DX145" s="3"/>
      <c r="DY145" s="3"/>
      <c r="DZ145" s="3"/>
      <c r="EA145" s="3"/>
      <c r="EB145" s="3"/>
      <c r="EC145" s="3"/>
      <c r="ED145" s="3"/>
      <c r="EE145" s="3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  <c r="EU145" s="3"/>
      <c r="EV145" s="3"/>
      <c r="EW145" s="3"/>
      <c r="HK145" s="3"/>
      <c r="HL145" s="3"/>
      <c r="HM145" s="3"/>
      <c r="HN145" s="3"/>
      <c r="HO145" s="3"/>
      <c r="HP145" s="3"/>
      <c r="HQ145" s="3"/>
      <c r="HR145" s="3"/>
      <c r="HS145" s="3"/>
      <c r="HT145" s="3"/>
      <c r="HU145" s="3"/>
      <c r="HV145" s="3"/>
      <c r="HW145" s="3"/>
      <c r="HX145" s="3"/>
    </row>
    <row r="146" spans="1:232">
      <c r="A146" s="10" t="s">
        <v>257</v>
      </c>
      <c r="B146" s="11">
        <f>AVERAGE(E146:AE146)</f>
        <v>5.5185185185185182</v>
      </c>
      <c r="C146" s="2">
        <f>MIN(E146:AE146)</f>
        <v>2</v>
      </c>
      <c r="D146" s="12">
        <f>MAX(E146:AE146)</f>
        <v>10</v>
      </c>
      <c r="E146" s="13">
        <v>3</v>
      </c>
      <c r="F146" s="13">
        <v>9</v>
      </c>
      <c r="G146" s="13">
        <v>4</v>
      </c>
      <c r="H146" s="13">
        <v>7</v>
      </c>
      <c r="I146" s="13">
        <v>6</v>
      </c>
      <c r="J146" s="13">
        <v>10</v>
      </c>
      <c r="K146" s="13">
        <v>5</v>
      </c>
      <c r="L146" s="13">
        <v>8</v>
      </c>
      <c r="M146" s="13">
        <v>4</v>
      </c>
      <c r="N146" s="13">
        <v>10</v>
      </c>
      <c r="O146" s="13">
        <v>7</v>
      </c>
      <c r="P146" s="13">
        <v>4</v>
      </c>
      <c r="Q146" s="21">
        <v>7</v>
      </c>
      <c r="R146" s="13">
        <v>7</v>
      </c>
      <c r="S146" s="13">
        <v>7</v>
      </c>
      <c r="T146" s="13">
        <v>10</v>
      </c>
      <c r="U146" s="13">
        <v>6</v>
      </c>
      <c r="V146" s="13">
        <v>2</v>
      </c>
      <c r="W146" s="13">
        <v>4</v>
      </c>
      <c r="X146" s="13">
        <v>7</v>
      </c>
      <c r="Y146" s="13">
        <v>3</v>
      </c>
      <c r="Z146" s="13">
        <v>2</v>
      </c>
      <c r="AA146" s="13">
        <v>4</v>
      </c>
      <c r="AB146" s="13">
        <v>5</v>
      </c>
      <c r="AC146" s="13">
        <v>3</v>
      </c>
      <c r="AD146" s="13">
        <v>3</v>
      </c>
      <c r="AE146" s="21">
        <v>2</v>
      </c>
      <c r="AF146" s="13">
        <v>4</v>
      </c>
      <c r="AG146" s="13"/>
      <c r="AH146" s="13"/>
      <c r="CB146" s="3"/>
      <c r="CU146" s="3"/>
      <c r="CV146" s="3"/>
      <c r="CW146" s="3"/>
      <c r="CX146" s="3"/>
      <c r="CY146" s="3"/>
      <c r="CZ146" s="3"/>
      <c r="DA146" s="3"/>
      <c r="DK146" s="31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  <c r="EC146" s="3"/>
      <c r="ED146" s="3"/>
      <c r="EE146" s="3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  <c r="EU146" s="3"/>
      <c r="EV146" s="3"/>
      <c r="EW146" s="3"/>
      <c r="HK146" s="3"/>
      <c r="HL146" s="3"/>
      <c r="HM146" s="3"/>
      <c r="HN146" s="3"/>
      <c r="HO146" s="3"/>
      <c r="HP146" s="3"/>
      <c r="HQ146" s="3"/>
      <c r="HR146" s="3"/>
      <c r="HS146" s="3"/>
      <c r="HT146" s="3"/>
      <c r="HU146" s="3"/>
      <c r="HV146" s="3"/>
      <c r="HW146" s="3"/>
      <c r="HX146" s="3"/>
    </row>
    <row r="147" spans="1:232">
      <c r="A147" s="10" t="s">
        <v>258</v>
      </c>
      <c r="B147" s="11">
        <f>AVERAGE(E147:AE147)</f>
        <v>5.6296296296296298</v>
      </c>
      <c r="C147" s="2">
        <f>MIN(E147:AE147)</f>
        <v>2</v>
      </c>
      <c r="D147" s="12">
        <f>MAX(E147:AE147)</f>
        <v>10</v>
      </c>
      <c r="E147" s="13">
        <v>3</v>
      </c>
      <c r="F147" s="13">
        <v>9</v>
      </c>
      <c r="G147" s="13">
        <v>4</v>
      </c>
      <c r="H147" s="13">
        <v>7</v>
      </c>
      <c r="I147" s="13">
        <v>6</v>
      </c>
      <c r="J147" s="13">
        <v>10</v>
      </c>
      <c r="K147" s="13">
        <v>5</v>
      </c>
      <c r="L147" s="13">
        <v>8</v>
      </c>
      <c r="M147" s="13">
        <v>5</v>
      </c>
      <c r="N147" s="13">
        <v>10</v>
      </c>
      <c r="O147" s="13">
        <v>8</v>
      </c>
      <c r="P147" s="13">
        <v>4</v>
      </c>
      <c r="Q147" s="13">
        <v>7</v>
      </c>
      <c r="R147" s="13">
        <v>8</v>
      </c>
      <c r="S147" s="13">
        <v>7</v>
      </c>
      <c r="T147" s="13">
        <v>10</v>
      </c>
      <c r="U147" s="13">
        <v>6</v>
      </c>
      <c r="V147" s="13">
        <v>2</v>
      </c>
      <c r="W147" s="13">
        <v>4</v>
      </c>
      <c r="X147" s="13">
        <v>7</v>
      </c>
      <c r="Y147" s="13">
        <v>3</v>
      </c>
      <c r="Z147" s="13">
        <v>2</v>
      </c>
      <c r="AA147" s="13">
        <v>4</v>
      </c>
      <c r="AB147" s="13">
        <v>5</v>
      </c>
      <c r="AC147" s="13">
        <v>3</v>
      </c>
      <c r="AD147" s="13">
        <v>3</v>
      </c>
      <c r="AE147" s="13">
        <v>2</v>
      </c>
      <c r="AF147" s="13">
        <v>4</v>
      </c>
      <c r="AG147" s="13"/>
      <c r="AH147" s="13"/>
      <c r="CB147" s="3"/>
      <c r="CU147" s="3"/>
      <c r="CV147" s="3"/>
      <c r="CW147" s="3"/>
      <c r="CX147" s="3"/>
      <c r="CY147" s="3"/>
      <c r="CZ147" s="3"/>
      <c r="DA147" s="3"/>
      <c r="DK147" s="31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HK147" s="3"/>
      <c r="HL147" s="3"/>
      <c r="HM147" s="3"/>
      <c r="HN147" s="3"/>
      <c r="HO147" s="3"/>
      <c r="HP147" s="3"/>
      <c r="HQ147" s="3"/>
      <c r="HR147" s="3"/>
      <c r="HS147" s="3"/>
      <c r="HT147" s="3"/>
      <c r="HU147" s="3"/>
      <c r="HV147" s="3"/>
      <c r="HW147" s="3"/>
      <c r="HX147" s="3"/>
    </row>
    <row r="148" spans="1:232">
      <c r="A148" s="10" t="s">
        <v>259</v>
      </c>
      <c r="B148" s="11">
        <f>AVERAGE(E148:AE148)</f>
        <v>5.9259259259259256</v>
      </c>
      <c r="C148" s="2">
        <f>MIN(E148:AE148)</f>
        <v>2</v>
      </c>
      <c r="D148" s="12">
        <f>MAX(E148:AE148)</f>
        <v>11</v>
      </c>
      <c r="E148" s="13">
        <v>3</v>
      </c>
      <c r="F148" s="13">
        <v>9</v>
      </c>
      <c r="G148" s="13">
        <v>4</v>
      </c>
      <c r="H148" s="13">
        <v>8</v>
      </c>
      <c r="I148" s="13">
        <v>6</v>
      </c>
      <c r="J148" s="21">
        <v>11</v>
      </c>
      <c r="K148" s="13">
        <v>6</v>
      </c>
      <c r="L148" s="13">
        <v>8</v>
      </c>
      <c r="M148" s="13">
        <v>5</v>
      </c>
      <c r="N148" s="13">
        <v>10</v>
      </c>
      <c r="O148" s="13">
        <v>8</v>
      </c>
      <c r="P148" s="13">
        <v>4</v>
      </c>
      <c r="Q148" s="13">
        <v>7</v>
      </c>
      <c r="R148" s="13">
        <v>8</v>
      </c>
      <c r="S148" s="13">
        <v>7</v>
      </c>
      <c r="T148" s="13">
        <v>11</v>
      </c>
      <c r="U148" s="13">
        <v>6</v>
      </c>
      <c r="V148" s="13">
        <v>3</v>
      </c>
      <c r="W148" s="13">
        <v>5</v>
      </c>
      <c r="X148" s="13">
        <v>8</v>
      </c>
      <c r="Y148" s="13">
        <v>3</v>
      </c>
      <c r="Z148" s="13">
        <v>2</v>
      </c>
      <c r="AA148" s="13">
        <v>4</v>
      </c>
      <c r="AB148" s="13">
        <v>5</v>
      </c>
      <c r="AC148" s="13">
        <v>4</v>
      </c>
      <c r="AD148" s="13">
        <v>3</v>
      </c>
      <c r="AE148" s="13">
        <v>2</v>
      </c>
      <c r="AF148" s="13">
        <v>4</v>
      </c>
      <c r="AG148" s="13"/>
      <c r="AH148" s="13"/>
      <c r="CB148" s="3"/>
      <c r="CU148" s="3"/>
      <c r="CV148" s="3"/>
      <c r="CW148" s="3"/>
      <c r="CX148" s="3"/>
      <c r="CY148" s="3"/>
      <c r="CZ148" s="3"/>
      <c r="DA148" s="3"/>
      <c r="DK148" s="31"/>
      <c r="DL148" s="3"/>
      <c r="DM148" s="3"/>
      <c r="DN148" s="3"/>
      <c r="DO148" s="3"/>
      <c r="DP148" s="3"/>
      <c r="DQ148" s="3"/>
      <c r="DR148" s="3"/>
      <c r="DS148" s="3"/>
      <c r="DT148" s="3"/>
      <c r="DU148" s="3"/>
      <c r="DV148" s="3"/>
      <c r="DW148" s="3"/>
      <c r="DX148" s="3"/>
      <c r="DY148" s="3"/>
      <c r="DZ148" s="3"/>
      <c r="EA148" s="3"/>
      <c r="EB148" s="3"/>
      <c r="EC148" s="3"/>
      <c r="ED148" s="3"/>
      <c r="EE148" s="3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  <c r="EU148" s="3"/>
      <c r="EV148" s="3"/>
      <c r="EW148" s="3"/>
      <c r="HK148" s="3"/>
      <c r="HL148" s="3"/>
      <c r="HM148" s="3"/>
      <c r="HN148" s="3"/>
      <c r="HO148" s="3"/>
      <c r="HP148" s="3"/>
      <c r="HQ148" s="3"/>
      <c r="HR148" s="3"/>
      <c r="HS148" s="3"/>
      <c r="HT148" s="3"/>
      <c r="HU148" s="3"/>
      <c r="HV148" s="3"/>
      <c r="HW148" s="3"/>
      <c r="HX148" s="3"/>
    </row>
    <row r="149" spans="1:232">
      <c r="A149" s="10" t="s">
        <v>260</v>
      </c>
      <c r="B149" s="11">
        <f>AVERAGE(E149:AE149)</f>
        <v>6.0740740740740744</v>
      </c>
      <c r="C149" s="2">
        <f>MIN(E149:AE149)</f>
        <v>2</v>
      </c>
      <c r="D149" s="12">
        <f>MAX(E149:AE149)</f>
        <v>12</v>
      </c>
      <c r="E149" s="13">
        <v>3</v>
      </c>
      <c r="F149" s="13">
        <v>9</v>
      </c>
      <c r="G149" s="13">
        <v>4</v>
      </c>
      <c r="H149" s="13">
        <v>8</v>
      </c>
      <c r="I149" s="13">
        <v>6</v>
      </c>
      <c r="J149" s="13">
        <v>11</v>
      </c>
      <c r="K149" s="13">
        <v>6</v>
      </c>
      <c r="L149" s="13">
        <v>8</v>
      </c>
      <c r="M149" s="13">
        <v>5</v>
      </c>
      <c r="N149" s="13">
        <v>10</v>
      </c>
      <c r="O149" s="13">
        <v>8</v>
      </c>
      <c r="P149" s="13">
        <v>5</v>
      </c>
      <c r="Q149" s="13">
        <v>7</v>
      </c>
      <c r="R149" s="13">
        <v>8</v>
      </c>
      <c r="S149" s="13">
        <v>7</v>
      </c>
      <c r="T149" s="13">
        <v>12</v>
      </c>
      <c r="U149" s="13">
        <v>6</v>
      </c>
      <c r="V149" s="13">
        <v>3</v>
      </c>
      <c r="W149" s="13">
        <v>5</v>
      </c>
      <c r="X149" s="13">
        <v>9</v>
      </c>
      <c r="Y149" s="13">
        <v>3</v>
      </c>
      <c r="Z149" s="13">
        <v>2</v>
      </c>
      <c r="AA149" s="13">
        <v>4</v>
      </c>
      <c r="AB149" s="21">
        <v>6</v>
      </c>
      <c r="AC149" s="13">
        <v>4</v>
      </c>
      <c r="AD149" s="13">
        <v>3</v>
      </c>
      <c r="AE149" s="13">
        <v>2</v>
      </c>
      <c r="AF149" s="13">
        <v>4</v>
      </c>
      <c r="AG149" s="13"/>
      <c r="AH149" s="13"/>
      <c r="CB149" s="3"/>
      <c r="CU149" s="3"/>
      <c r="CV149" s="3"/>
      <c r="CW149" s="3"/>
      <c r="CX149" s="3"/>
      <c r="CY149" s="3"/>
      <c r="CZ149" s="3"/>
      <c r="DA149" s="3"/>
      <c r="DK149" s="31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  <c r="EC149" s="3"/>
      <c r="ED149" s="3"/>
      <c r="EE149" s="3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  <c r="EU149" s="3"/>
      <c r="EV149" s="3"/>
      <c r="EW149" s="3"/>
      <c r="HK149" s="3"/>
      <c r="HL149" s="3"/>
      <c r="HM149" s="3"/>
      <c r="HN149" s="3"/>
      <c r="HO149" s="3"/>
      <c r="HP149" s="3"/>
      <c r="HQ149" s="3"/>
      <c r="HR149" s="3"/>
      <c r="HS149" s="3"/>
      <c r="HT149" s="3"/>
      <c r="HU149" s="3"/>
      <c r="HV149" s="3"/>
      <c r="HW149" s="3"/>
      <c r="HX149" s="3"/>
    </row>
    <row r="150" spans="1:232">
      <c r="A150" s="10" t="s">
        <v>261</v>
      </c>
      <c r="B150" s="11">
        <f>AVERAGE(E150:AE150)</f>
        <v>6.2962962962962967</v>
      </c>
      <c r="C150" s="2">
        <f>MIN(E150:AE150)</f>
        <v>2</v>
      </c>
      <c r="D150" s="12">
        <f>MAX(E150:AE150)</f>
        <v>12</v>
      </c>
      <c r="E150" s="21">
        <v>4</v>
      </c>
      <c r="F150" s="21">
        <v>10</v>
      </c>
      <c r="G150" s="13">
        <v>4</v>
      </c>
      <c r="H150" s="13">
        <v>8</v>
      </c>
      <c r="I150" s="13">
        <v>6</v>
      </c>
      <c r="J150" s="13">
        <v>11</v>
      </c>
      <c r="K150" s="13">
        <v>6</v>
      </c>
      <c r="L150" s="13">
        <v>8</v>
      </c>
      <c r="M150" s="98">
        <v>6</v>
      </c>
      <c r="N150" s="13">
        <v>10</v>
      </c>
      <c r="O150" s="13">
        <v>8</v>
      </c>
      <c r="P150" s="13">
        <v>5</v>
      </c>
      <c r="Q150" s="13">
        <v>7</v>
      </c>
      <c r="R150" s="13">
        <v>8</v>
      </c>
      <c r="S150" s="13">
        <v>7</v>
      </c>
      <c r="T150" s="13">
        <v>12</v>
      </c>
      <c r="U150" s="13">
        <v>6</v>
      </c>
      <c r="V150" s="13">
        <v>3</v>
      </c>
      <c r="W150" s="13">
        <v>5</v>
      </c>
      <c r="X150" s="13">
        <v>9</v>
      </c>
      <c r="Y150" s="13">
        <v>4</v>
      </c>
      <c r="Z150" s="13">
        <v>2</v>
      </c>
      <c r="AA150" s="21">
        <v>5</v>
      </c>
      <c r="AB150" s="13">
        <v>6</v>
      </c>
      <c r="AC150" s="13">
        <v>4</v>
      </c>
      <c r="AD150" s="21">
        <v>4</v>
      </c>
      <c r="AE150" s="13">
        <v>2</v>
      </c>
      <c r="AF150" s="13">
        <v>4</v>
      </c>
      <c r="AG150" s="13"/>
      <c r="AH150" s="13"/>
      <c r="CB150" s="3"/>
      <c r="CU150" s="3"/>
      <c r="CV150" s="3"/>
      <c r="CW150" s="3"/>
      <c r="CX150" s="3"/>
      <c r="CY150" s="3"/>
      <c r="CZ150" s="3"/>
      <c r="DA150" s="3"/>
      <c r="DK150" s="31"/>
      <c r="DL150" s="3"/>
      <c r="DM150" s="3"/>
      <c r="DN150" s="3"/>
      <c r="DO150" s="3"/>
      <c r="DP150" s="3"/>
      <c r="DQ150" s="3"/>
      <c r="DR150" s="3"/>
      <c r="DS150" s="3"/>
      <c r="DT150" s="3"/>
      <c r="DU150" s="3"/>
      <c r="DV150" s="3"/>
      <c r="DW150" s="3"/>
      <c r="DX150" s="3"/>
      <c r="DY150" s="3"/>
      <c r="DZ150" s="3"/>
      <c r="EA150" s="3"/>
      <c r="EB150" s="3"/>
      <c r="EC150" s="3"/>
      <c r="ED150" s="3"/>
      <c r="EE150" s="3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  <c r="EU150" s="3"/>
      <c r="EV150" s="3"/>
      <c r="EW150" s="3"/>
      <c r="HK150" s="3"/>
      <c r="HL150" s="3"/>
      <c r="HM150" s="3"/>
      <c r="HN150" s="3"/>
      <c r="HO150" s="3"/>
      <c r="HP150" s="3"/>
      <c r="HQ150" s="3"/>
      <c r="HR150" s="3"/>
      <c r="HS150" s="3"/>
      <c r="HT150" s="3"/>
      <c r="HU150" s="3"/>
      <c r="HV150" s="3"/>
      <c r="HW150" s="3"/>
      <c r="HX150" s="3"/>
    </row>
    <row r="151" spans="1:232">
      <c r="A151" s="10" t="s">
        <v>262</v>
      </c>
      <c r="B151" s="11">
        <f>AVERAGE(E151:AE151)</f>
        <v>6.4814814814814818</v>
      </c>
      <c r="C151" s="2">
        <f>MIN(E151:AE151)</f>
        <v>2</v>
      </c>
      <c r="D151" s="12">
        <f>MAX(E151:AE151)</f>
        <v>12</v>
      </c>
      <c r="E151" s="13">
        <v>4</v>
      </c>
      <c r="F151" s="13">
        <v>10</v>
      </c>
      <c r="G151" s="13">
        <v>4</v>
      </c>
      <c r="H151" s="13">
        <v>8</v>
      </c>
      <c r="I151" s="21">
        <v>7</v>
      </c>
      <c r="J151" s="13">
        <v>11</v>
      </c>
      <c r="K151" s="13">
        <v>6</v>
      </c>
      <c r="L151" s="13">
        <v>8</v>
      </c>
      <c r="M151" s="13">
        <v>7</v>
      </c>
      <c r="N151" s="13">
        <v>10</v>
      </c>
      <c r="O151" s="98">
        <v>9</v>
      </c>
      <c r="P151" s="13">
        <v>5</v>
      </c>
      <c r="Q151" s="13">
        <v>8</v>
      </c>
      <c r="R151" s="13">
        <v>8</v>
      </c>
      <c r="S151" s="13">
        <v>7</v>
      </c>
      <c r="T151" s="13">
        <v>12</v>
      </c>
      <c r="U151" s="13">
        <v>6</v>
      </c>
      <c r="V151" s="13">
        <v>3</v>
      </c>
      <c r="W151" s="13">
        <v>5</v>
      </c>
      <c r="X151" s="13">
        <v>9</v>
      </c>
      <c r="Y151" s="13">
        <v>4</v>
      </c>
      <c r="Z151" s="13">
        <v>2</v>
      </c>
      <c r="AA151" s="13">
        <v>5</v>
      </c>
      <c r="AB151" s="13">
        <v>6</v>
      </c>
      <c r="AC151" s="13">
        <v>4</v>
      </c>
      <c r="AD151" s="13">
        <v>5</v>
      </c>
      <c r="AE151" s="13">
        <v>2</v>
      </c>
      <c r="AF151" s="13">
        <v>4</v>
      </c>
      <c r="AG151" s="13"/>
      <c r="AH151" s="13"/>
      <c r="CB151" s="3"/>
      <c r="CU151" s="3"/>
      <c r="CV151" s="3"/>
      <c r="CW151" s="3"/>
      <c r="CX151" s="3"/>
      <c r="CY151" s="3"/>
      <c r="CZ151" s="3"/>
      <c r="DA151" s="3"/>
      <c r="DK151" s="31"/>
      <c r="DL151" s="3"/>
      <c r="DM151" s="3"/>
      <c r="DN151" s="3"/>
      <c r="DO151" s="3"/>
      <c r="DP151" s="3"/>
      <c r="DQ151" s="3"/>
      <c r="DR151" s="3"/>
      <c r="DS151" s="3"/>
      <c r="DT151" s="3"/>
      <c r="DU151" s="3"/>
      <c r="DV151" s="3"/>
      <c r="DW151" s="3"/>
      <c r="DX151" s="3"/>
      <c r="DY151" s="3"/>
      <c r="DZ151" s="3"/>
      <c r="EA151" s="3"/>
      <c r="EB151" s="3"/>
      <c r="EC151" s="3"/>
      <c r="ED151" s="3"/>
      <c r="EE151" s="3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  <c r="EU151" s="3"/>
      <c r="EV151" s="3"/>
      <c r="EW151" s="3"/>
      <c r="HK151" s="3"/>
      <c r="HL151" s="3"/>
      <c r="HM151" s="3"/>
      <c r="HN151" s="3"/>
      <c r="HO151" s="3"/>
      <c r="HP151" s="3"/>
      <c r="HQ151" s="3"/>
      <c r="HR151" s="3"/>
      <c r="HS151" s="3"/>
      <c r="HT151" s="3"/>
      <c r="HU151" s="3"/>
      <c r="HV151" s="3"/>
      <c r="HW151" s="3"/>
      <c r="HX151" s="3"/>
    </row>
    <row r="152" spans="1:232">
      <c r="A152" s="10" t="s">
        <v>263</v>
      </c>
      <c r="B152" s="11">
        <f>AVERAGE(E152:AE152)</f>
        <v>6.5925925925925926</v>
      </c>
      <c r="C152" s="2">
        <f>MIN(E152:AE152)</f>
        <v>2</v>
      </c>
      <c r="D152" s="12">
        <f>MAX(E152:AE152)</f>
        <v>13</v>
      </c>
      <c r="E152" s="13">
        <v>4</v>
      </c>
      <c r="F152" s="13">
        <v>10</v>
      </c>
      <c r="G152" s="13">
        <v>4</v>
      </c>
      <c r="H152" s="13">
        <v>8</v>
      </c>
      <c r="I152" s="13">
        <v>7</v>
      </c>
      <c r="J152" s="13">
        <v>11</v>
      </c>
      <c r="K152" s="13">
        <v>6</v>
      </c>
      <c r="L152" s="13">
        <v>8</v>
      </c>
      <c r="M152" s="21">
        <v>8</v>
      </c>
      <c r="N152" s="13">
        <v>10</v>
      </c>
      <c r="O152" s="13">
        <v>9</v>
      </c>
      <c r="P152" s="13">
        <v>5</v>
      </c>
      <c r="Q152" s="13">
        <v>8</v>
      </c>
      <c r="R152" s="13">
        <v>8</v>
      </c>
      <c r="S152" s="13">
        <v>7</v>
      </c>
      <c r="T152" s="13">
        <v>13</v>
      </c>
      <c r="U152" s="13">
        <v>6</v>
      </c>
      <c r="V152" s="13">
        <v>3</v>
      </c>
      <c r="W152" s="13">
        <v>5</v>
      </c>
      <c r="X152" s="13">
        <v>9</v>
      </c>
      <c r="Y152" s="13">
        <v>4</v>
      </c>
      <c r="Z152" s="13">
        <v>2</v>
      </c>
      <c r="AA152" s="13">
        <v>5</v>
      </c>
      <c r="AB152" s="13">
        <v>6</v>
      </c>
      <c r="AC152" s="13">
        <v>4</v>
      </c>
      <c r="AD152" s="21">
        <v>6</v>
      </c>
      <c r="AE152" s="13">
        <v>2</v>
      </c>
      <c r="AF152" s="13">
        <v>4</v>
      </c>
      <c r="AG152" s="13"/>
      <c r="AH152" s="13"/>
      <c r="CB152" s="3"/>
      <c r="CU152" s="3"/>
      <c r="CV152" s="3"/>
      <c r="CW152" s="3"/>
      <c r="CX152" s="3"/>
      <c r="CY152" s="3"/>
      <c r="CZ152" s="3"/>
      <c r="DA152" s="3"/>
      <c r="DK152" s="31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  <c r="EC152" s="3"/>
      <c r="ED152" s="3"/>
      <c r="EE152" s="3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  <c r="EU152" s="3"/>
      <c r="EV152" s="3"/>
      <c r="EW152" s="3"/>
      <c r="HK152" s="3"/>
      <c r="HL152" s="3"/>
      <c r="HM152" s="3"/>
      <c r="HN152" s="3"/>
      <c r="HO152" s="3"/>
      <c r="HP152" s="3"/>
      <c r="HQ152" s="3"/>
      <c r="HR152" s="3"/>
      <c r="HS152" s="3"/>
      <c r="HT152" s="3"/>
      <c r="HU152" s="3"/>
      <c r="HV152" s="3"/>
      <c r="HW152" s="3"/>
      <c r="HX152" s="3"/>
    </row>
    <row r="153" spans="1:232">
      <c r="A153" s="10" t="s">
        <v>264</v>
      </c>
      <c r="B153" s="11">
        <f>AVERAGE(E153:AE153)</f>
        <v>6.7777777777777777</v>
      </c>
      <c r="C153" s="2">
        <f>MIN(E153:AE153)</f>
        <v>2</v>
      </c>
      <c r="D153" s="12">
        <f>MAX(E153:AE153)</f>
        <v>13</v>
      </c>
      <c r="E153" s="13">
        <v>4</v>
      </c>
      <c r="F153" s="13">
        <v>10</v>
      </c>
      <c r="G153" s="13">
        <v>4</v>
      </c>
      <c r="H153" s="13">
        <v>8</v>
      </c>
      <c r="I153" s="13">
        <v>7</v>
      </c>
      <c r="J153" s="13">
        <v>11</v>
      </c>
      <c r="K153" s="13">
        <v>6</v>
      </c>
      <c r="L153" s="13">
        <v>8</v>
      </c>
      <c r="M153" s="13">
        <v>9</v>
      </c>
      <c r="N153" s="13">
        <v>10</v>
      </c>
      <c r="O153" s="13">
        <v>9</v>
      </c>
      <c r="P153" s="21">
        <v>6</v>
      </c>
      <c r="Q153" s="13">
        <v>8</v>
      </c>
      <c r="R153" s="13">
        <v>8</v>
      </c>
      <c r="S153" s="13">
        <v>7</v>
      </c>
      <c r="T153" s="13">
        <v>13</v>
      </c>
      <c r="U153" s="13">
        <v>6</v>
      </c>
      <c r="V153" s="21">
        <v>4</v>
      </c>
      <c r="W153" s="13">
        <v>5</v>
      </c>
      <c r="X153" s="13">
        <v>9</v>
      </c>
      <c r="Y153" s="13">
        <v>4</v>
      </c>
      <c r="Z153" s="13">
        <v>2</v>
      </c>
      <c r="AA153" s="13">
        <v>5</v>
      </c>
      <c r="AB153" s="13">
        <v>6</v>
      </c>
      <c r="AC153" s="13">
        <v>4</v>
      </c>
      <c r="AD153" s="21">
        <v>7</v>
      </c>
      <c r="AE153" s="13">
        <v>3</v>
      </c>
      <c r="AF153" s="13">
        <v>4</v>
      </c>
      <c r="AG153" s="13"/>
      <c r="AH153" s="13"/>
      <c r="CB153" s="3"/>
      <c r="CU153" s="3"/>
      <c r="CV153" s="3"/>
      <c r="CW153" s="3"/>
      <c r="CX153" s="3"/>
      <c r="CY153" s="3"/>
      <c r="CZ153" s="3"/>
      <c r="DA153" s="3"/>
      <c r="DK153" s="31"/>
      <c r="DL153" s="3"/>
      <c r="DM153" s="3"/>
      <c r="DN153" s="3"/>
      <c r="DO153" s="3"/>
      <c r="DP153" s="3"/>
      <c r="DQ153" s="3"/>
      <c r="DR153" s="3"/>
      <c r="DS153" s="3"/>
      <c r="DT153" s="3"/>
      <c r="DU153" s="3"/>
      <c r="DV153" s="3"/>
      <c r="DW153" s="3"/>
      <c r="DX153" s="3"/>
      <c r="DY153" s="3"/>
      <c r="DZ153" s="3"/>
      <c r="EA153" s="3"/>
      <c r="EB153" s="3"/>
      <c r="EC153" s="3"/>
      <c r="ED153" s="3"/>
      <c r="EE153" s="3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  <c r="EU153" s="3"/>
      <c r="EV153" s="3"/>
      <c r="EW153" s="3"/>
      <c r="HK153" s="3"/>
      <c r="HL153" s="3"/>
      <c r="HM153" s="3"/>
      <c r="HN153" s="3"/>
      <c r="HO153" s="3"/>
      <c r="HP153" s="3"/>
      <c r="HQ153" s="3"/>
      <c r="HR153" s="3"/>
      <c r="HS153" s="3"/>
      <c r="HT153" s="3"/>
      <c r="HU153" s="3"/>
      <c r="HV153" s="3"/>
      <c r="HW153" s="3"/>
      <c r="HX153" s="3"/>
    </row>
    <row r="154" spans="1:232">
      <c r="A154" s="10" t="s">
        <v>265</v>
      </c>
      <c r="B154" s="11">
        <f>AVERAGE(E154:AE154)</f>
        <v>6.9259259259259256</v>
      </c>
      <c r="C154" s="2">
        <f>MIN(E154:AE154)</f>
        <v>2</v>
      </c>
      <c r="D154" s="12">
        <f>MAX(E154:AE154)</f>
        <v>13</v>
      </c>
      <c r="E154" s="21">
        <v>5</v>
      </c>
      <c r="F154" s="13">
        <v>10</v>
      </c>
      <c r="G154" s="13">
        <v>4</v>
      </c>
      <c r="H154" s="13">
        <v>8</v>
      </c>
      <c r="I154" s="13">
        <v>7</v>
      </c>
      <c r="J154" s="13">
        <v>11</v>
      </c>
      <c r="K154" s="21">
        <v>7</v>
      </c>
      <c r="L154" s="13">
        <v>8</v>
      </c>
      <c r="M154" s="13">
        <v>9</v>
      </c>
      <c r="N154" s="13">
        <v>10</v>
      </c>
      <c r="O154" s="13">
        <v>9</v>
      </c>
      <c r="P154" s="13">
        <v>6</v>
      </c>
      <c r="Q154" s="13">
        <v>8</v>
      </c>
      <c r="R154" s="13">
        <v>8</v>
      </c>
      <c r="S154" s="13">
        <v>8</v>
      </c>
      <c r="T154" s="13">
        <v>13</v>
      </c>
      <c r="U154" s="13">
        <v>6</v>
      </c>
      <c r="V154" s="13">
        <v>4</v>
      </c>
      <c r="W154" s="13">
        <v>5</v>
      </c>
      <c r="X154" s="13">
        <v>10</v>
      </c>
      <c r="Y154" s="13">
        <v>4</v>
      </c>
      <c r="Z154" s="13">
        <v>2</v>
      </c>
      <c r="AA154" s="13">
        <v>5</v>
      </c>
      <c r="AB154" s="13">
        <v>6</v>
      </c>
      <c r="AC154" s="13">
        <v>4</v>
      </c>
      <c r="AD154" s="13">
        <v>7</v>
      </c>
      <c r="AE154" s="13">
        <v>3</v>
      </c>
      <c r="AF154" s="13">
        <v>4</v>
      </c>
      <c r="AG154" s="13"/>
      <c r="AH154" s="13"/>
      <c r="CB154" s="3"/>
      <c r="CU154" s="3"/>
      <c r="CV154" s="3"/>
      <c r="CW154" s="3"/>
      <c r="CX154" s="3"/>
      <c r="CY154" s="3"/>
      <c r="CZ154" s="3"/>
      <c r="DA154" s="3"/>
      <c r="DK154" s="31"/>
      <c r="DL154" s="3"/>
      <c r="DM154" s="3"/>
      <c r="DN154" s="3"/>
      <c r="DO154" s="3"/>
      <c r="DP154" s="3"/>
      <c r="DQ154" s="3"/>
      <c r="DR154" s="3"/>
      <c r="DS154" s="3"/>
      <c r="DT154" s="3"/>
      <c r="DU154" s="3"/>
      <c r="DV154" s="3"/>
      <c r="DW154" s="3"/>
      <c r="DX154" s="3"/>
      <c r="DY154" s="3"/>
      <c r="DZ154" s="3"/>
      <c r="EA154" s="3"/>
      <c r="EB154" s="3"/>
      <c r="EC154" s="3"/>
      <c r="ED154" s="3"/>
      <c r="EE154" s="3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  <c r="EU154" s="3"/>
      <c r="EV154" s="3"/>
      <c r="EW154" s="3"/>
      <c r="HK154" s="3"/>
      <c r="HL154" s="3"/>
      <c r="HM154" s="3"/>
      <c r="HN154" s="3"/>
      <c r="HO154" s="3"/>
      <c r="HP154" s="3"/>
      <c r="HQ154" s="3"/>
      <c r="HR154" s="3"/>
      <c r="HS154" s="3"/>
      <c r="HT154" s="3"/>
      <c r="HU154" s="3"/>
      <c r="HV154" s="3"/>
      <c r="HW154" s="3"/>
      <c r="HX154" s="3"/>
    </row>
    <row r="155" spans="1:232">
      <c r="A155" s="10" t="s">
        <v>266</v>
      </c>
      <c r="B155" s="11">
        <f>AVERAGE(E155:AE155)</f>
        <v>7.1111111111111107</v>
      </c>
      <c r="C155" s="2">
        <f>MIN(E155:AE155)</f>
        <v>2</v>
      </c>
      <c r="D155" s="12">
        <f>MAX(E155:AE155)</f>
        <v>13</v>
      </c>
      <c r="E155" s="13">
        <v>6</v>
      </c>
      <c r="F155" s="13">
        <v>10</v>
      </c>
      <c r="G155" s="13">
        <v>4</v>
      </c>
      <c r="H155" s="13">
        <v>8</v>
      </c>
      <c r="I155" s="13">
        <v>7</v>
      </c>
      <c r="J155" s="13">
        <v>11</v>
      </c>
      <c r="K155" s="13">
        <v>8</v>
      </c>
      <c r="L155" s="13">
        <v>8</v>
      </c>
      <c r="M155" s="13">
        <v>9</v>
      </c>
      <c r="N155" s="13">
        <v>10</v>
      </c>
      <c r="O155" s="13">
        <v>9</v>
      </c>
      <c r="P155" s="13">
        <v>6</v>
      </c>
      <c r="Q155" s="13">
        <v>8</v>
      </c>
      <c r="R155" s="13">
        <v>8</v>
      </c>
      <c r="S155" s="13">
        <v>8</v>
      </c>
      <c r="T155" s="13">
        <v>13</v>
      </c>
      <c r="U155" s="13">
        <v>6</v>
      </c>
      <c r="V155" s="13">
        <v>5</v>
      </c>
      <c r="W155" s="13">
        <v>6</v>
      </c>
      <c r="X155" s="13">
        <v>10</v>
      </c>
      <c r="Y155" s="13">
        <v>4</v>
      </c>
      <c r="Z155" s="13">
        <v>2</v>
      </c>
      <c r="AA155" s="13">
        <v>5</v>
      </c>
      <c r="AB155" s="13">
        <v>6</v>
      </c>
      <c r="AC155" s="13">
        <v>4</v>
      </c>
      <c r="AD155" s="13">
        <v>8</v>
      </c>
      <c r="AE155" s="13">
        <v>3</v>
      </c>
      <c r="AF155" s="13">
        <v>4</v>
      </c>
      <c r="AG155" s="13"/>
      <c r="AH155" s="13"/>
      <c r="CB155" s="3"/>
      <c r="CU155" s="3"/>
      <c r="CV155" s="3"/>
      <c r="CW155" s="3"/>
      <c r="CX155" s="3"/>
      <c r="CY155" s="3"/>
      <c r="CZ155" s="3"/>
      <c r="DA155" s="3"/>
      <c r="DK155" s="31"/>
      <c r="DL155" s="3"/>
      <c r="DM155" s="3"/>
      <c r="DN155" s="3"/>
      <c r="DO155" s="3"/>
      <c r="DP155" s="3"/>
      <c r="DQ155" s="3"/>
      <c r="DR155" s="3"/>
      <c r="DS155" s="3"/>
      <c r="DT155" s="3"/>
      <c r="DU155" s="3"/>
      <c r="DV155" s="3"/>
      <c r="DW155" s="3"/>
      <c r="DX155" s="3"/>
      <c r="DY155" s="3"/>
      <c r="DZ155" s="3"/>
      <c r="EA155" s="3"/>
      <c r="EB155" s="3"/>
      <c r="EC155" s="3"/>
      <c r="ED155" s="3"/>
      <c r="EE155" s="3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  <c r="EU155" s="3"/>
      <c r="EV155" s="3"/>
      <c r="EW155" s="3"/>
      <c r="HK155" s="3"/>
      <c r="HL155" s="3"/>
      <c r="HM155" s="3"/>
      <c r="HN155" s="3"/>
      <c r="HO155" s="3"/>
      <c r="HP155" s="3"/>
      <c r="HQ155" s="3"/>
      <c r="HR155" s="3"/>
      <c r="HS155" s="3"/>
      <c r="HT155" s="3"/>
      <c r="HU155" s="3"/>
      <c r="HV155" s="3"/>
      <c r="HW155" s="3"/>
      <c r="HX155" s="3"/>
    </row>
    <row r="156" spans="1:232">
      <c r="A156" s="10" t="s">
        <v>267</v>
      </c>
      <c r="B156" s="11">
        <f>AVERAGE(E156:AE156)</f>
        <v>7.3703703703703702</v>
      </c>
      <c r="C156" s="2">
        <f>MIN(E156:AE156)</f>
        <v>2</v>
      </c>
      <c r="D156" s="12">
        <f>MAX(E156:AE156)</f>
        <v>13</v>
      </c>
      <c r="E156" s="21">
        <v>7</v>
      </c>
      <c r="F156" s="13">
        <v>10</v>
      </c>
      <c r="G156" s="13">
        <v>5</v>
      </c>
      <c r="H156" s="13">
        <v>8</v>
      </c>
      <c r="I156" s="21">
        <v>8</v>
      </c>
      <c r="J156" s="13">
        <v>11</v>
      </c>
      <c r="K156" s="13">
        <v>8</v>
      </c>
      <c r="L156" s="13">
        <v>8</v>
      </c>
      <c r="M156" s="13">
        <v>9</v>
      </c>
      <c r="N156" s="13">
        <v>10</v>
      </c>
      <c r="O156" s="13">
        <v>9</v>
      </c>
      <c r="P156" s="13">
        <v>6</v>
      </c>
      <c r="Q156" s="13">
        <v>9</v>
      </c>
      <c r="R156" s="13">
        <v>9</v>
      </c>
      <c r="S156" s="13">
        <v>8</v>
      </c>
      <c r="T156" s="13">
        <v>13</v>
      </c>
      <c r="U156" s="13">
        <v>6</v>
      </c>
      <c r="V156" s="13">
        <v>6</v>
      </c>
      <c r="W156" s="13">
        <v>6</v>
      </c>
      <c r="X156" s="13">
        <v>10</v>
      </c>
      <c r="Y156" s="13">
        <v>4</v>
      </c>
      <c r="Z156" s="13">
        <v>2</v>
      </c>
      <c r="AA156" s="13">
        <v>5</v>
      </c>
      <c r="AB156" s="13">
        <v>6</v>
      </c>
      <c r="AC156" s="13">
        <v>4</v>
      </c>
      <c r="AD156" s="13">
        <v>8</v>
      </c>
      <c r="AE156" s="13">
        <v>4</v>
      </c>
      <c r="AF156" s="13">
        <v>5</v>
      </c>
      <c r="AG156" s="13"/>
      <c r="AH156" s="1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CB156" s="3"/>
      <c r="CU156" s="3"/>
      <c r="CV156" s="3"/>
      <c r="CW156" s="3"/>
      <c r="CX156" s="3"/>
      <c r="CY156" s="3"/>
      <c r="CZ156" s="3"/>
      <c r="DA156" s="3"/>
      <c r="DK156" s="31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  <c r="EC156" s="3"/>
      <c r="ED156" s="3"/>
      <c r="EE156" s="3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  <c r="EU156" s="3"/>
      <c r="EV156" s="3"/>
      <c r="EW156" s="3"/>
      <c r="HK156" s="3"/>
      <c r="HL156" s="3"/>
      <c r="HM156" s="3"/>
      <c r="HN156" s="3"/>
      <c r="HO156" s="3"/>
      <c r="HP156" s="3"/>
      <c r="HQ156" s="3"/>
      <c r="HR156" s="3"/>
      <c r="HS156" s="3"/>
      <c r="HT156" s="3"/>
      <c r="HU156" s="3"/>
      <c r="HV156" s="3"/>
      <c r="HW156" s="3"/>
      <c r="HX156" s="3"/>
    </row>
    <row r="157" spans="1:232">
      <c r="A157" s="10" t="s">
        <v>268</v>
      </c>
      <c r="B157" s="11">
        <f>AVERAGE(E157:AE157)</f>
        <v>7.6296296296296298</v>
      </c>
      <c r="C157" s="2">
        <f>MIN(E157:AE157)</f>
        <v>2</v>
      </c>
      <c r="D157" s="12">
        <f>MAX(E157:AE157)</f>
        <v>13</v>
      </c>
      <c r="E157" s="13">
        <v>7</v>
      </c>
      <c r="F157" s="13">
        <v>10</v>
      </c>
      <c r="G157" s="13">
        <v>5</v>
      </c>
      <c r="H157" s="13">
        <v>8</v>
      </c>
      <c r="I157" s="13">
        <v>8</v>
      </c>
      <c r="J157" s="13">
        <v>11</v>
      </c>
      <c r="K157" s="13">
        <v>8</v>
      </c>
      <c r="L157" s="13">
        <v>8</v>
      </c>
      <c r="M157" s="13">
        <v>9</v>
      </c>
      <c r="N157" s="21">
        <v>11</v>
      </c>
      <c r="O157" s="13">
        <v>9</v>
      </c>
      <c r="P157" s="13">
        <v>6</v>
      </c>
      <c r="Q157" s="13">
        <v>10</v>
      </c>
      <c r="R157" s="13">
        <v>9</v>
      </c>
      <c r="S157" s="13">
        <v>8</v>
      </c>
      <c r="T157" s="13">
        <v>13</v>
      </c>
      <c r="U157" s="21">
        <v>7</v>
      </c>
      <c r="V157" s="13">
        <v>7</v>
      </c>
      <c r="W157" s="13">
        <v>6</v>
      </c>
      <c r="X157" s="13">
        <v>11</v>
      </c>
      <c r="Y157" s="13">
        <v>4</v>
      </c>
      <c r="Z157" s="13">
        <v>2</v>
      </c>
      <c r="AA157" s="13">
        <v>5</v>
      </c>
      <c r="AB157" s="13">
        <v>6</v>
      </c>
      <c r="AC157" s="13">
        <v>4</v>
      </c>
      <c r="AD157" s="98">
        <v>9</v>
      </c>
      <c r="AE157" s="21">
        <v>5</v>
      </c>
      <c r="AF157" s="13">
        <v>5</v>
      </c>
      <c r="AG157" s="13"/>
      <c r="AH157" s="1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CB157" s="3"/>
      <c r="CU157" s="3"/>
      <c r="CV157" s="3"/>
      <c r="CW157" s="3"/>
      <c r="CX157" s="3"/>
      <c r="CY157" s="3"/>
      <c r="CZ157" s="3"/>
      <c r="DA157" s="3"/>
      <c r="DK157" s="31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  <c r="EC157" s="3"/>
      <c r="ED157" s="3"/>
      <c r="EE157" s="3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HK157" s="3"/>
      <c r="HL157" s="3"/>
      <c r="HM157" s="3"/>
      <c r="HN157" s="3"/>
      <c r="HO157" s="3"/>
      <c r="HP157" s="3"/>
      <c r="HQ157" s="3"/>
      <c r="HR157" s="3"/>
      <c r="HS157" s="3"/>
      <c r="HT157" s="3"/>
      <c r="HU157" s="3"/>
      <c r="HV157" s="3"/>
      <c r="HW157" s="3"/>
      <c r="HX157" s="3"/>
    </row>
    <row r="158" spans="1:232">
      <c r="A158" s="10" t="s">
        <v>269</v>
      </c>
      <c r="B158" s="11">
        <f>AVERAGE(E158:AE158)</f>
        <v>7.7407407407407405</v>
      </c>
      <c r="C158" s="2">
        <f>MIN(E158:AE158)</f>
        <v>3</v>
      </c>
      <c r="D158" s="12">
        <f>MAX(E158:AE158)</f>
        <v>13</v>
      </c>
      <c r="E158" s="47">
        <v>8</v>
      </c>
      <c r="F158" s="13">
        <v>10</v>
      </c>
      <c r="G158" s="13">
        <v>5</v>
      </c>
      <c r="H158" s="13">
        <v>8</v>
      </c>
      <c r="I158" s="13">
        <v>8</v>
      </c>
      <c r="J158" s="13">
        <v>11</v>
      </c>
      <c r="K158" s="13">
        <v>8</v>
      </c>
      <c r="L158" s="13">
        <v>8</v>
      </c>
      <c r="M158" s="13">
        <v>9</v>
      </c>
      <c r="N158" s="13">
        <v>11</v>
      </c>
      <c r="O158" s="13">
        <v>9</v>
      </c>
      <c r="P158" s="13">
        <v>6</v>
      </c>
      <c r="Q158" s="13">
        <v>10</v>
      </c>
      <c r="R158" s="13">
        <v>9</v>
      </c>
      <c r="S158" s="13">
        <v>8</v>
      </c>
      <c r="T158" s="13">
        <v>13</v>
      </c>
      <c r="U158" s="13">
        <v>7</v>
      </c>
      <c r="V158" s="13">
        <v>8</v>
      </c>
      <c r="W158" s="13">
        <v>6</v>
      </c>
      <c r="X158" s="13">
        <v>11</v>
      </c>
      <c r="Y158" s="13">
        <v>4</v>
      </c>
      <c r="Z158" s="13">
        <v>3</v>
      </c>
      <c r="AA158" s="13">
        <v>5</v>
      </c>
      <c r="AB158" s="13">
        <v>6</v>
      </c>
      <c r="AC158" s="13">
        <v>4</v>
      </c>
      <c r="AD158" s="13">
        <v>9</v>
      </c>
      <c r="AE158" s="13">
        <v>5</v>
      </c>
      <c r="AF158" s="13">
        <v>5</v>
      </c>
      <c r="AG158" s="13"/>
      <c r="AH158" s="1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CB158" s="3"/>
      <c r="CU158" s="3"/>
      <c r="CV158" s="3"/>
      <c r="CW158" s="3"/>
      <c r="CX158" s="3"/>
      <c r="CY158" s="3"/>
      <c r="CZ158" s="3"/>
      <c r="DA158" s="3"/>
      <c r="DK158" s="31"/>
      <c r="DL158" s="3"/>
      <c r="DM158" s="3"/>
      <c r="DN158" s="3"/>
      <c r="DO158" s="3"/>
      <c r="DP158" s="3"/>
      <c r="DQ158" s="3"/>
      <c r="DR158" s="3"/>
      <c r="DS158" s="3"/>
      <c r="DT158" s="3"/>
      <c r="DU158" s="3"/>
      <c r="DV158" s="3"/>
      <c r="DW158" s="3"/>
      <c r="DX158" s="3"/>
      <c r="DY158" s="3"/>
      <c r="DZ158" s="3"/>
      <c r="EA158" s="3"/>
      <c r="EB158" s="3"/>
      <c r="EC158" s="3"/>
      <c r="ED158" s="3"/>
      <c r="EE158" s="3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  <c r="EU158" s="3"/>
      <c r="EV158" s="3"/>
      <c r="EW158" s="3"/>
      <c r="HK158" s="3"/>
      <c r="HL158" s="3"/>
      <c r="HM158" s="3"/>
      <c r="HN158" s="3"/>
      <c r="HO158" s="3"/>
      <c r="HP158" s="3"/>
      <c r="HQ158" s="3"/>
      <c r="HR158" s="3"/>
      <c r="HS158" s="3"/>
      <c r="HT158" s="3"/>
      <c r="HU158" s="3"/>
      <c r="HV158" s="3"/>
      <c r="HW158" s="3"/>
      <c r="HX158" s="3"/>
    </row>
    <row r="159" spans="1:232">
      <c r="A159" s="10" t="s">
        <v>270</v>
      </c>
      <c r="B159" s="11">
        <f>AVERAGE(E159:AE159)</f>
        <v>7.8148148148148149</v>
      </c>
      <c r="C159" s="2">
        <f>MIN(E159:AE159)</f>
        <v>4</v>
      </c>
      <c r="D159" s="12">
        <f>MAX(E159:AE159)</f>
        <v>13</v>
      </c>
      <c r="E159" s="13">
        <v>8</v>
      </c>
      <c r="F159" s="13">
        <v>10</v>
      </c>
      <c r="G159" s="13">
        <v>5</v>
      </c>
      <c r="H159" s="13">
        <v>8</v>
      </c>
      <c r="I159" s="13">
        <v>8</v>
      </c>
      <c r="J159" s="13">
        <v>11</v>
      </c>
      <c r="K159" s="13">
        <v>8</v>
      </c>
      <c r="L159" s="13">
        <v>8</v>
      </c>
      <c r="M159" s="13">
        <v>9</v>
      </c>
      <c r="N159" s="13">
        <v>11</v>
      </c>
      <c r="O159" s="13">
        <v>9</v>
      </c>
      <c r="P159" s="13">
        <v>6</v>
      </c>
      <c r="Q159" s="13">
        <v>10</v>
      </c>
      <c r="R159" s="13">
        <v>9</v>
      </c>
      <c r="S159" s="13">
        <v>8</v>
      </c>
      <c r="T159" s="13">
        <v>13</v>
      </c>
      <c r="U159" s="13">
        <v>7</v>
      </c>
      <c r="V159" s="13">
        <v>8</v>
      </c>
      <c r="W159" s="21">
        <v>7</v>
      </c>
      <c r="X159" s="13">
        <v>11</v>
      </c>
      <c r="Y159" s="13">
        <v>4</v>
      </c>
      <c r="Z159" s="13">
        <v>4</v>
      </c>
      <c r="AA159" s="13">
        <v>5</v>
      </c>
      <c r="AB159" s="13">
        <v>6</v>
      </c>
      <c r="AC159" s="13">
        <v>4</v>
      </c>
      <c r="AD159" s="13">
        <v>9</v>
      </c>
      <c r="AE159" s="13">
        <v>5</v>
      </c>
      <c r="AF159" s="13">
        <v>5</v>
      </c>
      <c r="AG159" s="13"/>
      <c r="AH159" s="1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CB159" s="3"/>
      <c r="CU159" s="3"/>
      <c r="CV159" s="3"/>
      <c r="CW159" s="3"/>
      <c r="CX159" s="3"/>
      <c r="CY159" s="3"/>
      <c r="CZ159" s="3"/>
      <c r="DA159" s="3"/>
      <c r="DK159" s="31"/>
      <c r="DL159" s="3"/>
      <c r="DM159" s="3"/>
      <c r="DN159" s="3"/>
      <c r="DO159" s="3"/>
      <c r="DP159" s="3"/>
      <c r="DQ159" s="3"/>
      <c r="DR159" s="3"/>
      <c r="DS159" s="3"/>
      <c r="DT159" s="3"/>
      <c r="DU159" s="3"/>
      <c r="DV159" s="3"/>
      <c r="DW159" s="3"/>
      <c r="DX159" s="3"/>
      <c r="DY159" s="3"/>
      <c r="DZ159" s="3"/>
      <c r="EA159" s="3"/>
      <c r="EB159" s="3"/>
      <c r="EC159" s="3"/>
      <c r="ED159" s="3"/>
      <c r="EE159" s="3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  <c r="EU159" s="3"/>
      <c r="EV159" s="3"/>
      <c r="EW159" s="3"/>
      <c r="HK159" s="3"/>
      <c r="HL159" s="3"/>
      <c r="HM159" s="3"/>
      <c r="HN159" s="3"/>
      <c r="HO159" s="3"/>
      <c r="HP159" s="3"/>
      <c r="HQ159" s="3"/>
      <c r="HR159" s="3"/>
      <c r="HS159" s="3"/>
      <c r="HT159" s="3"/>
      <c r="HU159" s="3"/>
      <c r="HV159" s="3"/>
      <c r="HW159" s="3"/>
      <c r="HX159" s="3"/>
    </row>
    <row r="160" spans="1:232">
      <c r="A160" s="10" t="s">
        <v>271</v>
      </c>
      <c r="B160" s="11">
        <f>AVERAGE(E160:AE160)</f>
        <v>7.9629629629629628</v>
      </c>
      <c r="C160" s="2">
        <f>MIN(E160:AE160)</f>
        <v>4</v>
      </c>
      <c r="D160" s="12">
        <f>MAX(E160:AE160)</f>
        <v>13</v>
      </c>
      <c r="E160" s="13">
        <v>8</v>
      </c>
      <c r="F160" s="13">
        <v>11</v>
      </c>
      <c r="G160" s="13">
        <v>5</v>
      </c>
      <c r="H160" s="13">
        <v>8</v>
      </c>
      <c r="I160" s="13">
        <v>8</v>
      </c>
      <c r="J160" s="13">
        <v>11</v>
      </c>
      <c r="K160" s="21">
        <v>9</v>
      </c>
      <c r="L160" s="13">
        <v>8</v>
      </c>
      <c r="M160" s="13">
        <v>9</v>
      </c>
      <c r="N160" s="13">
        <v>12</v>
      </c>
      <c r="O160" s="13">
        <v>9</v>
      </c>
      <c r="P160" s="13">
        <v>6</v>
      </c>
      <c r="Q160" s="13">
        <v>10</v>
      </c>
      <c r="R160" s="13">
        <v>9</v>
      </c>
      <c r="S160" s="13">
        <v>8</v>
      </c>
      <c r="T160" s="13">
        <v>13</v>
      </c>
      <c r="U160" s="13">
        <v>7</v>
      </c>
      <c r="V160" s="13">
        <v>8</v>
      </c>
      <c r="W160" s="13">
        <v>7</v>
      </c>
      <c r="X160" s="13">
        <v>11</v>
      </c>
      <c r="Y160" s="13">
        <v>4</v>
      </c>
      <c r="Z160" s="13">
        <v>5</v>
      </c>
      <c r="AA160" s="13">
        <v>5</v>
      </c>
      <c r="AB160" s="13">
        <v>6</v>
      </c>
      <c r="AC160" s="13">
        <v>4</v>
      </c>
      <c r="AD160" s="13">
        <v>9</v>
      </c>
      <c r="AE160" s="13">
        <v>5</v>
      </c>
      <c r="AF160" s="13">
        <v>6</v>
      </c>
      <c r="AG160" s="13"/>
      <c r="AH160" s="1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CB160" s="3"/>
      <c r="CU160" s="3"/>
      <c r="CV160" s="3"/>
      <c r="CW160" s="3"/>
      <c r="CX160" s="3"/>
      <c r="CY160" s="3"/>
      <c r="CZ160" s="3"/>
      <c r="DA160" s="3"/>
      <c r="DK160" s="31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  <c r="EC160" s="3"/>
      <c r="ED160" s="3"/>
      <c r="EE160" s="3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  <c r="EU160" s="3"/>
      <c r="EV160" s="3"/>
      <c r="EW160" s="3"/>
      <c r="HK160" s="3"/>
      <c r="HL160" s="3"/>
      <c r="HM160" s="3"/>
      <c r="HN160" s="3"/>
      <c r="HO160" s="3"/>
      <c r="HP160" s="3"/>
      <c r="HQ160" s="3"/>
      <c r="HR160" s="3"/>
      <c r="HS160" s="3"/>
      <c r="HT160" s="3"/>
      <c r="HU160" s="3"/>
      <c r="HV160" s="3"/>
      <c r="HW160" s="3"/>
      <c r="HX160" s="3"/>
    </row>
    <row r="161" spans="1:232">
      <c r="A161" s="10" t="s">
        <v>272</v>
      </c>
      <c r="B161" s="11">
        <f>AVERAGE(E161:AE161)</f>
        <v>8.1481481481481488</v>
      </c>
      <c r="C161" s="2">
        <f>MIN(E161:AE161)</f>
        <v>4</v>
      </c>
      <c r="D161" s="12">
        <f>MAX(E161:AE161)</f>
        <v>13</v>
      </c>
      <c r="E161" s="13">
        <v>8</v>
      </c>
      <c r="F161" s="98">
        <v>12</v>
      </c>
      <c r="G161" s="13">
        <v>5</v>
      </c>
      <c r="H161" s="13">
        <v>8</v>
      </c>
      <c r="I161" s="13">
        <v>9</v>
      </c>
      <c r="J161" s="13">
        <v>11</v>
      </c>
      <c r="K161" s="13">
        <v>9</v>
      </c>
      <c r="L161" s="13">
        <v>8</v>
      </c>
      <c r="M161" s="13">
        <v>9</v>
      </c>
      <c r="N161" s="13">
        <v>12</v>
      </c>
      <c r="O161" s="13">
        <v>9</v>
      </c>
      <c r="P161" s="13">
        <v>6</v>
      </c>
      <c r="Q161" s="13">
        <v>11</v>
      </c>
      <c r="R161" s="13">
        <v>9</v>
      </c>
      <c r="S161" s="13">
        <v>8</v>
      </c>
      <c r="T161" s="13">
        <v>13</v>
      </c>
      <c r="U161" s="13">
        <v>7</v>
      </c>
      <c r="V161" s="13">
        <v>9</v>
      </c>
      <c r="W161" s="13">
        <v>7</v>
      </c>
      <c r="X161" s="13">
        <v>11</v>
      </c>
      <c r="Y161" s="13">
        <v>4</v>
      </c>
      <c r="Z161" s="13">
        <v>5</v>
      </c>
      <c r="AA161" s="13">
        <v>6</v>
      </c>
      <c r="AB161" s="13">
        <v>6</v>
      </c>
      <c r="AC161" s="13">
        <v>4</v>
      </c>
      <c r="AD161" s="13">
        <v>9</v>
      </c>
      <c r="AE161" s="13">
        <v>5</v>
      </c>
      <c r="AF161" s="21">
        <v>7</v>
      </c>
      <c r="AG161" s="13"/>
      <c r="AH161" s="1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CB161" s="3"/>
      <c r="CU161" s="3"/>
      <c r="CV161" s="3"/>
      <c r="CW161" s="3"/>
      <c r="CX161" s="3"/>
      <c r="CY161" s="3"/>
      <c r="CZ161" s="3"/>
      <c r="DA161" s="3"/>
      <c r="DK161" s="31"/>
      <c r="DL161" s="3"/>
      <c r="DM161" s="3"/>
      <c r="DN161" s="3"/>
      <c r="DO161" s="3"/>
      <c r="DP161" s="3"/>
      <c r="DQ161" s="3"/>
      <c r="DR161" s="3"/>
      <c r="DS161" s="3"/>
      <c r="DT161" s="3"/>
      <c r="DU161" s="3"/>
      <c r="DV161" s="3"/>
      <c r="DW161" s="3"/>
      <c r="DX161" s="3"/>
      <c r="DY161" s="3"/>
      <c r="DZ161" s="3"/>
      <c r="EA161" s="3"/>
      <c r="EB161" s="3"/>
      <c r="EC161" s="3"/>
      <c r="ED161" s="3"/>
      <c r="EE161" s="3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  <c r="EU161" s="3"/>
      <c r="EV161" s="3"/>
      <c r="EW161" s="3"/>
      <c r="HK161" s="3"/>
      <c r="HL161" s="3"/>
      <c r="HM161" s="3"/>
      <c r="HN161" s="3"/>
      <c r="HO161" s="3"/>
      <c r="HP161" s="3"/>
      <c r="HQ161" s="3"/>
      <c r="HR161" s="3"/>
      <c r="HS161" s="3"/>
      <c r="HT161" s="3"/>
      <c r="HU161" s="3"/>
      <c r="HV161" s="3"/>
      <c r="HW161" s="3"/>
      <c r="HX161" s="3"/>
    </row>
    <row r="162" spans="1:232">
      <c r="A162" s="10" t="s">
        <v>273</v>
      </c>
      <c r="B162" s="11">
        <f>AVERAGE(E162:AE162)</f>
        <v>8.4074074074074066</v>
      </c>
      <c r="C162" s="2">
        <f>MIN(E162:AE162)</f>
        <v>4</v>
      </c>
      <c r="D162" s="12">
        <f>MAX(E162:AE162)</f>
        <v>13</v>
      </c>
      <c r="E162" s="21">
        <v>9</v>
      </c>
      <c r="F162" s="13">
        <v>12</v>
      </c>
      <c r="G162" s="13">
        <v>5</v>
      </c>
      <c r="H162" s="13">
        <v>8</v>
      </c>
      <c r="I162" s="13">
        <v>9</v>
      </c>
      <c r="J162" s="13">
        <v>11</v>
      </c>
      <c r="K162" s="13">
        <v>10</v>
      </c>
      <c r="L162" s="13">
        <v>8</v>
      </c>
      <c r="M162" s="13">
        <v>10</v>
      </c>
      <c r="N162" s="13">
        <v>12</v>
      </c>
      <c r="O162" s="13">
        <v>9</v>
      </c>
      <c r="P162" s="13">
        <v>6</v>
      </c>
      <c r="Q162" s="98">
        <v>12</v>
      </c>
      <c r="R162" s="13">
        <v>9</v>
      </c>
      <c r="S162" s="13">
        <v>8</v>
      </c>
      <c r="T162" s="13">
        <v>13</v>
      </c>
      <c r="U162" s="13">
        <v>7</v>
      </c>
      <c r="V162" s="21">
        <v>10</v>
      </c>
      <c r="W162" s="13">
        <v>7</v>
      </c>
      <c r="X162" s="13">
        <v>11</v>
      </c>
      <c r="Y162" s="21">
        <v>5</v>
      </c>
      <c r="Z162" s="13">
        <v>5</v>
      </c>
      <c r="AA162" s="13">
        <v>6</v>
      </c>
      <c r="AB162" s="13">
        <v>6</v>
      </c>
      <c r="AC162" s="13">
        <v>4</v>
      </c>
      <c r="AD162" s="21">
        <v>10</v>
      </c>
      <c r="AE162" s="13">
        <v>5</v>
      </c>
      <c r="AF162" s="13">
        <v>7</v>
      </c>
      <c r="AG162" s="13"/>
      <c r="AH162" s="1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CB162" s="3"/>
      <c r="CU162" s="3"/>
      <c r="CV162" s="3"/>
      <c r="CW162" s="3"/>
      <c r="CX162" s="3"/>
      <c r="CY162" s="3"/>
      <c r="CZ162" s="3"/>
      <c r="DA162" s="3"/>
      <c r="DK162" s="31"/>
      <c r="DL162" s="3"/>
      <c r="DM162" s="3"/>
      <c r="DN162" s="3"/>
      <c r="DO162" s="3"/>
      <c r="DP162" s="3"/>
      <c r="DQ162" s="3"/>
      <c r="DR162" s="3"/>
      <c r="DS162" s="3"/>
      <c r="DT162" s="3"/>
      <c r="DU162" s="3"/>
      <c r="DV162" s="3"/>
      <c r="DW162" s="3"/>
      <c r="DX162" s="3"/>
      <c r="DY162" s="3"/>
      <c r="DZ162" s="3"/>
      <c r="EA162" s="3"/>
      <c r="EB162" s="3"/>
      <c r="EC162" s="3"/>
      <c r="ED162" s="3"/>
      <c r="EE162" s="3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  <c r="EU162" s="3"/>
      <c r="EV162" s="3"/>
      <c r="EW162" s="3"/>
      <c r="HK162" s="3"/>
      <c r="HL162" s="3"/>
      <c r="HM162" s="3"/>
      <c r="HN162" s="3"/>
      <c r="HO162" s="3"/>
      <c r="HP162" s="3"/>
      <c r="HQ162" s="3"/>
      <c r="HR162" s="3"/>
      <c r="HS162" s="3"/>
      <c r="HT162" s="3"/>
      <c r="HU162" s="3"/>
      <c r="HV162" s="3"/>
      <c r="HW162" s="3"/>
      <c r="HX162" s="3"/>
    </row>
    <row r="163" spans="1:232">
      <c r="A163" s="10" t="s">
        <v>274</v>
      </c>
      <c r="B163" s="11">
        <f>AVERAGE(E163:AE163)</f>
        <v>8.6666666666666661</v>
      </c>
      <c r="C163" s="2">
        <f>MIN(E163:AE163)</f>
        <v>4</v>
      </c>
      <c r="D163" s="12">
        <f>MAX(E163:AE163)</f>
        <v>13</v>
      </c>
      <c r="E163" s="13">
        <v>9</v>
      </c>
      <c r="F163" s="13">
        <v>13</v>
      </c>
      <c r="G163" s="13">
        <v>5</v>
      </c>
      <c r="H163" s="13">
        <v>8</v>
      </c>
      <c r="I163" s="13">
        <v>9</v>
      </c>
      <c r="J163" s="13">
        <v>11</v>
      </c>
      <c r="K163" s="13">
        <v>10</v>
      </c>
      <c r="L163" s="13">
        <v>8</v>
      </c>
      <c r="M163" s="21">
        <v>11</v>
      </c>
      <c r="N163" s="13">
        <v>13</v>
      </c>
      <c r="O163" s="13">
        <v>9</v>
      </c>
      <c r="P163" s="13">
        <v>6</v>
      </c>
      <c r="Q163" s="13">
        <v>13</v>
      </c>
      <c r="R163" s="13">
        <v>9</v>
      </c>
      <c r="S163" s="21">
        <v>9</v>
      </c>
      <c r="T163" s="13">
        <v>13</v>
      </c>
      <c r="U163" s="13">
        <v>8</v>
      </c>
      <c r="V163" s="13">
        <v>10</v>
      </c>
      <c r="W163" s="21">
        <v>8</v>
      </c>
      <c r="X163" s="13">
        <v>11</v>
      </c>
      <c r="Y163" s="13">
        <v>5</v>
      </c>
      <c r="Z163" s="13">
        <v>5</v>
      </c>
      <c r="AA163" s="13">
        <v>6</v>
      </c>
      <c r="AB163" s="13">
        <v>6</v>
      </c>
      <c r="AC163" s="13">
        <v>4</v>
      </c>
      <c r="AD163" s="13">
        <v>10</v>
      </c>
      <c r="AE163" s="13">
        <v>5</v>
      </c>
      <c r="AF163" s="13">
        <v>7</v>
      </c>
      <c r="AG163" s="13"/>
      <c r="AH163" s="1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CB163" s="3"/>
      <c r="CU163" s="3"/>
      <c r="CV163" s="3"/>
      <c r="CW163" s="3"/>
      <c r="CX163" s="3"/>
      <c r="CY163" s="3"/>
      <c r="CZ163" s="3"/>
      <c r="DA163" s="3"/>
      <c r="DK163" s="31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HK163" s="3"/>
      <c r="HL163" s="3"/>
      <c r="HM163" s="3"/>
      <c r="HN163" s="3"/>
      <c r="HO163" s="3"/>
      <c r="HP163" s="3"/>
      <c r="HQ163" s="3"/>
      <c r="HR163" s="3"/>
      <c r="HS163" s="3"/>
      <c r="HT163" s="3"/>
      <c r="HU163" s="3"/>
      <c r="HV163" s="3"/>
      <c r="HW163" s="3"/>
      <c r="HX163" s="3"/>
    </row>
    <row r="164" spans="1:232">
      <c r="A164" s="10" t="s">
        <v>275</v>
      </c>
      <c r="B164" s="11">
        <f>AVERAGE(E164:AE164)</f>
        <v>8.8888888888888893</v>
      </c>
      <c r="C164" s="2">
        <f>MIN(E164:AE164)</f>
        <v>5</v>
      </c>
      <c r="D164" s="12">
        <f>MAX(E164:AE164)</f>
        <v>14</v>
      </c>
      <c r="E164" s="13">
        <v>9</v>
      </c>
      <c r="F164" s="13">
        <v>13</v>
      </c>
      <c r="G164" s="13">
        <v>5</v>
      </c>
      <c r="H164" s="13">
        <v>8</v>
      </c>
      <c r="I164" s="13">
        <v>10</v>
      </c>
      <c r="J164" s="13">
        <v>11</v>
      </c>
      <c r="K164" s="13">
        <v>10</v>
      </c>
      <c r="L164" s="13">
        <v>8</v>
      </c>
      <c r="M164" s="13">
        <v>11</v>
      </c>
      <c r="N164" s="13">
        <v>14</v>
      </c>
      <c r="O164" s="13">
        <v>9</v>
      </c>
      <c r="P164" s="13">
        <v>7</v>
      </c>
      <c r="Q164" s="13">
        <v>13</v>
      </c>
      <c r="R164" s="13">
        <v>9</v>
      </c>
      <c r="S164" s="13">
        <v>9</v>
      </c>
      <c r="T164" s="13">
        <v>13</v>
      </c>
      <c r="U164" s="13">
        <v>9</v>
      </c>
      <c r="V164" s="13">
        <v>11</v>
      </c>
      <c r="W164" s="13">
        <v>8</v>
      </c>
      <c r="X164" s="13">
        <v>11</v>
      </c>
      <c r="Y164" s="13">
        <v>5</v>
      </c>
      <c r="Z164" s="13">
        <v>5</v>
      </c>
      <c r="AA164" s="13">
        <v>6</v>
      </c>
      <c r="AB164" s="13">
        <v>6</v>
      </c>
      <c r="AC164" s="13">
        <v>5</v>
      </c>
      <c r="AD164" s="13">
        <v>10</v>
      </c>
      <c r="AE164" s="13">
        <v>5</v>
      </c>
      <c r="AF164" s="13">
        <v>7</v>
      </c>
      <c r="AG164" s="13"/>
      <c r="AH164" s="1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CB164" s="3"/>
      <c r="CU164" s="3"/>
      <c r="CV164" s="3"/>
      <c r="CW164" s="3"/>
      <c r="CX164" s="3"/>
      <c r="CY164" s="3"/>
      <c r="CZ164" s="3"/>
      <c r="DA164" s="3"/>
      <c r="DK164" s="31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HK164" s="3"/>
      <c r="HL164" s="3"/>
      <c r="HM164" s="3"/>
      <c r="HN164" s="3"/>
      <c r="HO164" s="3"/>
      <c r="HP164" s="3"/>
      <c r="HQ164" s="3"/>
      <c r="HR164" s="3"/>
      <c r="HS164" s="3"/>
      <c r="HT164" s="3"/>
      <c r="HU164" s="3"/>
      <c r="HV164" s="3"/>
      <c r="HW164" s="3"/>
      <c r="HX164" s="3"/>
    </row>
    <row r="165" spans="1:232">
      <c r="A165" s="10" t="s">
        <v>276</v>
      </c>
      <c r="B165" s="11">
        <f>AVERAGE(E165:AE165)</f>
        <v>9.2222222222222214</v>
      </c>
      <c r="C165" s="2">
        <f>MIN(E165:AE165)</f>
        <v>5</v>
      </c>
      <c r="D165" s="12">
        <f>MAX(E165:AE165)</f>
        <v>15</v>
      </c>
      <c r="E165" s="13">
        <v>9</v>
      </c>
      <c r="F165" s="13">
        <v>13</v>
      </c>
      <c r="G165" s="13">
        <v>5</v>
      </c>
      <c r="H165" s="13">
        <v>8</v>
      </c>
      <c r="I165" s="13">
        <v>10</v>
      </c>
      <c r="J165" s="13">
        <v>12</v>
      </c>
      <c r="K165" s="13">
        <v>10</v>
      </c>
      <c r="L165" s="13">
        <v>8</v>
      </c>
      <c r="M165" s="21">
        <v>12</v>
      </c>
      <c r="N165" s="13">
        <v>15</v>
      </c>
      <c r="O165" s="21">
        <v>10</v>
      </c>
      <c r="P165" s="13">
        <v>8</v>
      </c>
      <c r="Q165" s="13">
        <v>13</v>
      </c>
      <c r="R165" s="13">
        <v>9</v>
      </c>
      <c r="S165" s="13">
        <v>10</v>
      </c>
      <c r="T165" s="13">
        <v>13</v>
      </c>
      <c r="U165" s="13">
        <v>9</v>
      </c>
      <c r="V165" s="13">
        <v>11</v>
      </c>
      <c r="W165" s="99">
        <v>9</v>
      </c>
      <c r="X165" s="21">
        <v>12</v>
      </c>
      <c r="Y165" s="13">
        <v>5</v>
      </c>
      <c r="Z165" s="13">
        <v>5</v>
      </c>
      <c r="AA165" s="13">
        <v>6</v>
      </c>
      <c r="AB165" s="13">
        <v>6</v>
      </c>
      <c r="AC165" s="21">
        <v>6</v>
      </c>
      <c r="AD165" s="13">
        <v>10</v>
      </c>
      <c r="AE165" s="13">
        <v>5</v>
      </c>
      <c r="AF165" s="13">
        <v>7</v>
      </c>
      <c r="AG165" s="13"/>
      <c r="AH165" s="1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CB165" s="3"/>
      <c r="CU165" s="3"/>
      <c r="CV165" s="3"/>
      <c r="CW165" s="3"/>
      <c r="CX165" s="3"/>
      <c r="CY165" s="3"/>
      <c r="CZ165" s="3"/>
      <c r="DA165" s="3"/>
      <c r="DK165" s="31"/>
      <c r="DL165" s="3"/>
      <c r="DM165" s="3"/>
      <c r="DN165" s="3"/>
      <c r="DO165" s="3"/>
      <c r="DP165" s="3"/>
      <c r="DQ165" s="3"/>
      <c r="DR165" s="3"/>
      <c r="DS165" s="3"/>
      <c r="DT165" s="3"/>
      <c r="DU165" s="3"/>
      <c r="DV165" s="3"/>
      <c r="DW165" s="3"/>
      <c r="DX165" s="3"/>
      <c r="DY165" s="3"/>
      <c r="DZ165" s="3"/>
      <c r="EA165" s="3"/>
      <c r="EB165" s="3"/>
      <c r="EC165" s="3"/>
      <c r="ED165" s="3"/>
      <c r="EE165" s="3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  <c r="EU165" s="3"/>
      <c r="EV165" s="3"/>
      <c r="EW165" s="3"/>
      <c r="HK165" s="3"/>
      <c r="HL165" s="3"/>
      <c r="HM165" s="3"/>
      <c r="HN165" s="3"/>
      <c r="HO165" s="3"/>
      <c r="HP165" s="3"/>
      <c r="HQ165" s="3"/>
      <c r="HR165" s="3"/>
      <c r="HS165" s="3"/>
      <c r="HT165" s="3"/>
      <c r="HU165" s="3"/>
      <c r="HV165" s="3"/>
      <c r="HW165" s="3"/>
      <c r="HX165" s="3"/>
    </row>
    <row r="166" spans="1:232">
      <c r="A166" s="10" t="s">
        <v>277</v>
      </c>
      <c r="B166" s="11">
        <f>AVERAGE(E166:AE166)</f>
        <v>9.4444444444444446</v>
      </c>
      <c r="C166" s="2">
        <f>MIN(E166:AE166)</f>
        <v>5</v>
      </c>
      <c r="D166" s="12">
        <f>MAX(E166:AE166)</f>
        <v>15</v>
      </c>
      <c r="E166" s="13">
        <v>9</v>
      </c>
      <c r="F166" s="13">
        <v>13</v>
      </c>
      <c r="G166" s="13">
        <v>5</v>
      </c>
      <c r="H166" s="13">
        <v>9</v>
      </c>
      <c r="I166" s="13">
        <v>10</v>
      </c>
      <c r="J166" s="21">
        <v>13</v>
      </c>
      <c r="K166" s="13">
        <v>10</v>
      </c>
      <c r="L166" s="13">
        <v>8</v>
      </c>
      <c r="M166" s="13">
        <v>12</v>
      </c>
      <c r="N166" s="13">
        <v>15</v>
      </c>
      <c r="O166" s="13">
        <v>10</v>
      </c>
      <c r="P166" s="13">
        <v>8</v>
      </c>
      <c r="Q166" s="13">
        <v>13</v>
      </c>
      <c r="R166" s="13">
        <v>9</v>
      </c>
      <c r="S166" s="13">
        <v>10</v>
      </c>
      <c r="T166" s="13">
        <v>13</v>
      </c>
      <c r="U166" s="13">
        <v>9</v>
      </c>
      <c r="V166" s="13">
        <v>11</v>
      </c>
      <c r="W166" s="13">
        <v>9</v>
      </c>
      <c r="X166" s="21">
        <v>13</v>
      </c>
      <c r="Y166" s="47">
        <v>6</v>
      </c>
      <c r="Z166" s="13">
        <v>5</v>
      </c>
      <c r="AA166" s="21">
        <v>7</v>
      </c>
      <c r="AB166" s="13">
        <v>6</v>
      </c>
      <c r="AC166" s="13">
        <v>7</v>
      </c>
      <c r="AD166" s="13">
        <v>10</v>
      </c>
      <c r="AE166" s="13">
        <v>5</v>
      </c>
      <c r="AF166" s="13">
        <v>7</v>
      </c>
      <c r="AG166" s="13"/>
      <c r="AH166" s="1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CB166" s="3"/>
      <c r="CU166" s="3"/>
      <c r="CV166" s="3"/>
      <c r="CW166" s="3"/>
      <c r="CX166" s="3"/>
      <c r="CY166" s="3"/>
      <c r="CZ166" s="3"/>
      <c r="DA166" s="3"/>
      <c r="DK166" s="31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  <c r="EC166" s="3"/>
      <c r="ED166" s="3"/>
      <c r="EE166" s="3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HK166" s="3"/>
      <c r="HL166" s="3"/>
      <c r="HM166" s="3"/>
      <c r="HN166" s="3"/>
      <c r="HO166" s="3"/>
      <c r="HP166" s="3"/>
      <c r="HQ166" s="3"/>
      <c r="HR166" s="3"/>
      <c r="HS166" s="3"/>
      <c r="HT166" s="3"/>
      <c r="HU166" s="3"/>
      <c r="HV166" s="3"/>
      <c r="HW166" s="3"/>
      <c r="HX166" s="3"/>
    </row>
    <row r="167" spans="1:232">
      <c r="A167" s="10" t="s">
        <v>278</v>
      </c>
      <c r="B167" s="11">
        <f>AVERAGE(E167:AE167)</f>
        <v>9.6296296296296298</v>
      </c>
      <c r="C167" s="2">
        <f>MIN(E167:AE167)</f>
        <v>5</v>
      </c>
      <c r="D167" s="12">
        <f>MAX(E167:AE167)</f>
        <v>15</v>
      </c>
      <c r="E167" s="13">
        <v>9</v>
      </c>
      <c r="F167" s="100">
        <v>14</v>
      </c>
      <c r="G167" s="13">
        <v>5</v>
      </c>
      <c r="H167" s="13">
        <v>9</v>
      </c>
      <c r="I167" s="13">
        <v>10</v>
      </c>
      <c r="J167" s="13">
        <v>14</v>
      </c>
      <c r="K167" s="13">
        <v>10</v>
      </c>
      <c r="L167" s="13">
        <v>8</v>
      </c>
      <c r="M167" s="13">
        <v>12</v>
      </c>
      <c r="N167" s="13">
        <v>15</v>
      </c>
      <c r="O167" s="13">
        <v>11</v>
      </c>
      <c r="P167" s="13">
        <v>8</v>
      </c>
      <c r="Q167" s="13">
        <v>13</v>
      </c>
      <c r="R167" s="13">
        <v>9</v>
      </c>
      <c r="S167" s="13">
        <v>10</v>
      </c>
      <c r="T167" s="13">
        <v>14</v>
      </c>
      <c r="U167" s="13">
        <v>9</v>
      </c>
      <c r="V167" s="13">
        <v>11</v>
      </c>
      <c r="W167" s="13">
        <v>9</v>
      </c>
      <c r="X167" s="13">
        <v>13</v>
      </c>
      <c r="Y167" s="21">
        <v>7</v>
      </c>
      <c r="Z167" s="13">
        <v>5</v>
      </c>
      <c r="AA167" s="13">
        <v>7</v>
      </c>
      <c r="AB167" s="13">
        <v>6</v>
      </c>
      <c r="AC167" s="13">
        <v>7</v>
      </c>
      <c r="AD167" s="13">
        <v>10</v>
      </c>
      <c r="AE167" s="13">
        <v>5</v>
      </c>
      <c r="AF167" s="21">
        <v>8</v>
      </c>
      <c r="AG167" s="13"/>
      <c r="AH167" s="1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CB167" s="3"/>
      <c r="CU167" s="3"/>
      <c r="CV167" s="3"/>
      <c r="CW167" s="3"/>
      <c r="CX167" s="3"/>
      <c r="CY167" s="3"/>
      <c r="CZ167" s="3"/>
      <c r="DA167" s="3"/>
      <c r="DK167" s="31"/>
      <c r="DL167" s="3"/>
      <c r="DM167" s="3"/>
      <c r="DN167" s="3"/>
      <c r="DO167" s="3"/>
      <c r="DP167" s="3"/>
      <c r="DQ167" s="3"/>
      <c r="DR167" s="3"/>
      <c r="DS167" s="3"/>
      <c r="DT167" s="3"/>
      <c r="DU167" s="3"/>
      <c r="DV167" s="3"/>
      <c r="DW167" s="3"/>
      <c r="DX167" s="3"/>
      <c r="DY167" s="3"/>
      <c r="DZ167" s="3"/>
      <c r="EA167" s="3"/>
      <c r="EB167" s="3"/>
      <c r="EC167" s="3"/>
      <c r="ED167" s="3"/>
      <c r="EE167" s="3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  <c r="EU167" s="3"/>
      <c r="EV167" s="3"/>
      <c r="EW167" s="3"/>
      <c r="HK167" s="3"/>
      <c r="HL167" s="3"/>
      <c r="HM167" s="3"/>
      <c r="HN167" s="3"/>
      <c r="HO167" s="3"/>
      <c r="HP167" s="3"/>
      <c r="HQ167" s="3"/>
      <c r="HR167" s="3"/>
      <c r="HS167" s="3"/>
      <c r="HT167" s="3"/>
      <c r="HU167" s="3"/>
      <c r="HV167" s="3"/>
      <c r="HW167" s="3"/>
      <c r="HX167" s="3"/>
    </row>
    <row r="168" spans="1:232">
      <c r="A168" s="10" t="s">
        <v>279</v>
      </c>
      <c r="B168" s="11">
        <f>AVERAGE(E168:AE168)</f>
        <v>9.8518518518518512</v>
      </c>
      <c r="C168" s="2">
        <f>MIN(E168:AE168)</f>
        <v>5</v>
      </c>
      <c r="D168" s="12">
        <f>MAX(E168:AE168)</f>
        <v>15</v>
      </c>
      <c r="E168" s="13">
        <v>9</v>
      </c>
      <c r="F168" s="13">
        <v>14</v>
      </c>
      <c r="G168" s="13">
        <v>5</v>
      </c>
      <c r="H168" s="13">
        <v>9</v>
      </c>
      <c r="I168" s="47">
        <v>11</v>
      </c>
      <c r="J168" s="21">
        <v>15</v>
      </c>
      <c r="K168" s="13">
        <v>10</v>
      </c>
      <c r="L168" s="13">
        <v>8</v>
      </c>
      <c r="M168" s="13">
        <v>13</v>
      </c>
      <c r="N168" s="13">
        <v>15</v>
      </c>
      <c r="O168" s="13">
        <v>11</v>
      </c>
      <c r="P168" s="13">
        <v>8</v>
      </c>
      <c r="Q168" s="13">
        <v>13</v>
      </c>
      <c r="R168" s="13">
        <v>9</v>
      </c>
      <c r="S168" s="13">
        <v>10</v>
      </c>
      <c r="T168" s="13">
        <v>14</v>
      </c>
      <c r="U168" s="13">
        <v>9</v>
      </c>
      <c r="V168" s="21">
        <v>12</v>
      </c>
      <c r="W168" s="99">
        <v>9</v>
      </c>
      <c r="X168" s="13">
        <v>13</v>
      </c>
      <c r="Y168" s="21">
        <v>8</v>
      </c>
      <c r="Z168" s="13">
        <v>5</v>
      </c>
      <c r="AA168" s="13">
        <v>7</v>
      </c>
      <c r="AB168" s="13">
        <v>7</v>
      </c>
      <c r="AC168" s="13">
        <v>7</v>
      </c>
      <c r="AD168" s="13">
        <v>10</v>
      </c>
      <c r="AE168" s="13">
        <v>5</v>
      </c>
      <c r="AF168" s="13">
        <v>8</v>
      </c>
      <c r="AG168" s="13"/>
      <c r="AH168" s="1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CB168" s="3"/>
      <c r="CU168" s="3"/>
      <c r="CV168" s="3"/>
      <c r="CW168" s="3"/>
      <c r="CX168" s="3"/>
      <c r="CY168" s="3"/>
      <c r="CZ168" s="3"/>
      <c r="DA168" s="3"/>
      <c r="DK168" s="31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HK168" s="3"/>
      <c r="HL168" s="3"/>
      <c r="HM168" s="3"/>
      <c r="HN168" s="3"/>
      <c r="HO168" s="3"/>
      <c r="HP168" s="3"/>
      <c r="HQ168" s="3"/>
      <c r="HR168" s="3"/>
      <c r="HS168" s="3"/>
      <c r="HT168" s="3"/>
      <c r="HU168" s="3"/>
      <c r="HV168" s="3"/>
      <c r="HW168" s="3"/>
      <c r="HX168" s="3"/>
    </row>
    <row r="169" spans="1:232">
      <c r="A169" s="10" t="s">
        <v>280</v>
      </c>
      <c r="B169" s="11">
        <f>AVERAGE(E169:AE169)</f>
        <v>10.074074074074074</v>
      </c>
      <c r="C169" s="2">
        <f>MIN(E169:AE169)</f>
        <v>5</v>
      </c>
      <c r="D169" s="12">
        <f>MAX(E169:AE169)</f>
        <v>15</v>
      </c>
      <c r="E169" s="13">
        <v>9</v>
      </c>
      <c r="F169" s="13">
        <v>15</v>
      </c>
      <c r="G169" s="13">
        <v>5</v>
      </c>
      <c r="H169" s="13">
        <v>9</v>
      </c>
      <c r="I169" s="13">
        <v>12</v>
      </c>
      <c r="J169" s="13">
        <v>15</v>
      </c>
      <c r="K169" s="13">
        <v>10</v>
      </c>
      <c r="L169" s="13">
        <v>8</v>
      </c>
      <c r="M169" s="13">
        <v>13</v>
      </c>
      <c r="N169" s="13">
        <v>15</v>
      </c>
      <c r="O169" s="13">
        <v>11</v>
      </c>
      <c r="P169" s="13">
        <v>8</v>
      </c>
      <c r="Q169" s="13">
        <v>13</v>
      </c>
      <c r="R169" s="13">
        <v>9</v>
      </c>
      <c r="S169" s="13">
        <v>10</v>
      </c>
      <c r="T169" s="13">
        <v>14</v>
      </c>
      <c r="U169" s="13">
        <v>10</v>
      </c>
      <c r="V169" s="13">
        <v>13</v>
      </c>
      <c r="W169" s="13">
        <v>9</v>
      </c>
      <c r="X169" s="13">
        <v>13</v>
      </c>
      <c r="Y169" s="13">
        <v>8</v>
      </c>
      <c r="Z169" s="21">
        <v>6</v>
      </c>
      <c r="AA169" s="13">
        <v>7</v>
      </c>
      <c r="AB169" s="13">
        <v>8</v>
      </c>
      <c r="AC169" s="13">
        <v>7</v>
      </c>
      <c r="AD169" s="13">
        <v>10</v>
      </c>
      <c r="AE169" s="13">
        <v>5</v>
      </c>
      <c r="AF169" s="13">
        <v>8</v>
      </c>
      <c r="AG169" s="13"/>
      <c r="AH169" s="1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CB169" s="3"/>
      <c r="CU169" s="3"/>
      <c r="CV169" s="3"/>
      <c r="CW169" s="3"/>
      <c r="CX169" s="3"/>
      <c r="CY169" s="3"/>
      <c r="CZ169" s="3"/>
      <c r="DA169" s="3"/>
      <c r="DK169" s="31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HK169" s="3"/>
      <c r="HL169" s="3"/>
      <c r="HM169" s="3"/>
      <c r="HN169" s="3"/>
      <c r="HO169" s="3"/>
      <c r="HP169" s="3"/>
      <c r="HQ169" s="3"/>
      <c r="HR169" s="3"/>
      <c r="HS169" s="3"/>
      <c r="HT169" s="3"/>
      <c r="HU169" s="3"/>
      <c r="HV169" s="3"/>
      <c r="HW169" s="3"/>
      <c r="HX169" s="3"/>
    </row>
    <row r="170" spans="1:232">
      <c r="A170" s="10" t="s">
        <v>281</v>
      </c>
      <c r="B170" s="11">
        <f>AVERAGE(E170:AE170)</f>
        <v>10.333333333333334</v>
      </c>
      <c r="C170" s="2">
        <f>MIN(E170:AE170)</f>
        <v>5</v>
      </c>
      <c r="D170" s="12">
        <f>MAX(E170:AE170)</f>
        <v>16</v>
      </c>
      <c r="E170" s="13">
        <v>9</v>
      </c>
      <c r="F170" s="13">
        <v>16</v>
      </c>
      <c r="G170" s="21">
        <v>6</v>
      </c>
      <c r="H170" s="13">
        <v>9</v>
      </c>
      <c r="I170" s="13">
        <v>12</v>
      </c>
      <c r="J170" s="13">
        <v>15</v>
      </c>
      <c r="K170" s="13">
        <v>11</v>
      </c>
      <c r="L170" s="13">
        <v>8</v>
      </c>
      <c r="M170" s="21">
        <v>14</v>
      </c>
      <c r="N170" s="13">
        <v>15</v>
      </c>
      <c r="O170" s="13">
        <v>11</v>
      </c>
      <c r="P170" s="13">
        <v>8</v>
      </c>
      <c r="Q170" s="21">
        <v>14</v>
      </c>
      <c r="R170" s="13">
        <v>9</v>
      </c>
      <c r="S170" s="13">
        <v>10</v>
      </c>
      <c r="T170" s="13">
        <v>14</v>
      </c>
      <c r="U170" s="13">
        <v>11</v>
      </c>
      <c r="V170" s="13">
        <v>13</v>
      </c>
      <c r="W170" s="13">
        <v>9</v>
      </c>
      <c r="X170" s="13">
        <v>13</v>
      </c>
      <c r="Y170" s="13">
        <v>8</v>
      </c>
      <c r="Z170" s="21">
        <v>7</v>
      </c>
      <c r="AA170" s="13">
        <v>7</v>
      </c>
      <c r="AB170" s="13">
        <v>8</v>
      </c>
      <c r="AC170" s="13">
        <v>7</v>
      </c>
      <c r="AD170" s="13">
        <v>10</v>
      </c>
      <c r="AE170" s="13">
        <v>5</v>
      </c>
      <c r="AF170" s="13">
        <v>8</v>
      </c>
      <c r="AG170" s="13"/>
      <c r="AH170" s="1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CB170" s="3"/>
      <c r="CU170" s="3"/>
      <c r="CV170" s="3"/>
      <c r="CW170" s="3"/>
      <c r="CX170" s="3"/>
      <c r="CY170" s="3"/>
      <c r="CZ170" s="3"/>
      <c r="DA170" s="3"/>
      <c r="DK170" s="31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HK170" s="3"/>
      <c r="HL170" s="3"/>
      <c r="HM170" s="3"/>
      <c r="HN170" s="3"/>
      <c r="HO170" s="3"/>
      <c r="HP170" s="3"/>
      <c r="HQ170" s="3"/>
      <c r="HR170" s="3"/>
      <c r="HS170" s="3"/>
      <c r="HT170" s="3"/>
      <c r="HU170" s="3"/>
      <c r="HV170" s="3"/>
      <c r="HW170" s="3"/>
      <c r="HX170" s="3"/>
    </row>
    <row r="171" spans="1:232">
      <c r="A171" s="10" t="s">
        <v>282</v>
      </c>
      <c r="B171" s="11">
        <f>AVERAGE(E171:AE171)</f>
        <v>10.592592592592593</v>
      </c>
      <c r="C171" s="2">
        <f>MIN(E171:AE171)</f>
        <v>6</v>
      </c>
      <c r="D171" s="12">
        <f>MAX(E171:AE171)</f>
        <v>16</v>
      </c>
      <c r="E171" s="13">
        <v>9</v>
      </c>
      <c r="F171" s="13">
        <v>16</v>
      </c>
      <c r="G171" s="13">
        <v>6</v>
      </c>
      <c r="H171" s="13">
        <v>10</v>
      </c>
      <c r="I171" s="13">
        <v>12</v>
      </c>
      <c r="J171" s="13">
        <v>15</v>
      </c>
      <c r="K171" s="13">
        <v>11</v>
      </c>
      <c r="L171" s="13">
        <v>8</v>
      </c>
      <c r="M171" s="21">
        <v>15</v>
      </c>
      <c r="N171" s="21">
        <v>16</v>
      </c>
      <c r="O171" s="13">
        <v>12</v>
      </c>
      <c r="P171" s="13">
        <v>8</v>
      </c>
      <c r="Q171" s="13">
        <v>14</v>
      </c>
      <c r="R171" s="13">
        <v>9</v>
      </c>
      <c r="S171" s="13">
        <v>10</v>
      </c>
      <c r="T171" s="13">
        <v>14</v>
      </c>
      <c r="U171" s="13">
        <v>11</v>
      </c>
      <c r="V171" s="21">
        <v>14</v>
      </c>
      <c r="W171" s="13">
        <v>9</v>
      </c>
      <c r="X171" s="13">
        <v>13</v>
      </c>
      <c r="Y171" s="13">
        <v>8</v>
      </c>
      <c r="Z171" s="13">
        <v>7</v>
      </c>
      <c r="AA171" s="13">
        <v>7</v>
      </c>
      <c r="AB171" s="13">
        <v>8</v>
      </c>
      <c r="AC171" s="21">
        <v>8</v>
      </c>
      <c r="AD171" s="13">
        <v>10</v>
      </c>
      <c r="AE171" s="98">
        <v>6</v>
      </c>
      <c r="AF171" s="13">
        <v>8</v>
      </c>
      <c r="AG171" s="13"/>
      <c r="AH171" s="1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CB171" s="3"/>
      <c r="CU171" s="3"/>
      <c r="CV171" s="3"/>
      <c r="CW171" s="3"/>
      <c r="CX171" s="3"/>
      <c r="CY171" s="3"/>
      <c r="CZ171" s="3"/>
      <c r="DA171" s="3"/>
      <c r="DK171" s="31"/>
      <c r="DL171" s="3"/>
      <c r="DM171" s="3"/>
      <c r="DN171" s="3"/>
      <c r="DO171" s="3"/>
      <c r="DP171" s="3"/>
      <c r="DQ171" s="3"/>
      <c r="DR171" s="3"/>
      <c r="DS171" s="3"/>
      <c r="DT171" s="3"/>
      <c r="DU171" s="3"/>
      <c r="DV171" s="3"/>
      <c r="DW171" s="3"/>
      <c r="DX171" s="3"/>
      <c r="DY171" s="3"/>
      <c r="DZ171" s="3"/>
      <c r="EA171" s="3"/>
      <c r="EB171" s="3"/>
      <c r="EC171" s="3"/>
      <c r="ED171" s="3"/>
      <c r="EE171" s="3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  <c r="EU171" s="3"/>
      <c r="EV171" s="3"/>
      <c r="EW171" s="3"/>
      <c r="HK171" s="3"/>
      <c r="HL171" s="3"/>
      <c r="HM171" s="3"/>
      <c r="HN171" s="3"/>
      <c r="HO171" s="3"/>
      <c r="HP171" s="3"/>
      <c r="HQ171" s="3"/>
      <c r="HR171" s="3"/>
      <c r="HS171" s="3"/>
      <c r="HT171" s="3"/>
      <c r="HU171" s="3"/>
      <c r="HV171" s="3"/>
      <c r="HW171" s="3"/>
      <c r="HX171" s="3"/>
    </row>
    <row r="172" spans="1:232">
      <c r="A172" s="10" t="s">
        <v>283</v>
      </c>
      <c r="B172" s="11">
        <f>AVERAGE(E172:AE172)</f>
        <v>10.851851851851851</v>
      </c>
      <c r="C172" s="2">
        <f>MIN(E172:AE172)</f>
        <v>6</v>
      </c>
      <c r="D172" s="12">
        <f>MAX(E172:AE172)</f>
        <v>16</v>
      </c>
      <c r="E172" s="13">
        <v>9</v>
      </c>
      <c r="F172" s="13">
        <v>16</v>
      </c>
      <c r="G172" s="21">
        <v>7</v>
      </c>
      <c r="H172" s="13">
        <v>10</v>
      </c>
      <c r="I172" s="13">
        <v>12</v>
      </c>
      <c r="J172" s="13">
        <v>15</v>
      </c>
      <c r="K172" s="13">
        <v>11</v>
      </c>
      <c r="L172" s="99">
        <v>9</v>
      </c>
      <c r="M172" s="13">
        <v>15</v>
      </c>
      <c r="N172" s="13">
        <v>16</v>
      </c>
      <c r="O172" s="21">
        <v>13</v>
      </c>
      <c r="P172" s="13">
        <v>8</v>
      </c>
      <c r="Q172" s="13">
        <v>15</v>
      </c>
      <c r="R172" s="13">
        <v>10</v>
      </c>
      <c r="S172" s="13">
        <v>10</v>
      </c>
      <c r="T172" s="13">
        <v>14</v>
      </c>
      <c r="U172" s="13">
        <v>11</v>
      </c>
      <c r="V172" s="99">
        <v>15</v>
      </c>
      <c r="W172" s="13">
        <v>10</v>
      </c>
      <c r="X172" s="13">
        <v>13</v>
      </c>
      <c r="Y172" s="13">
        <v>8</v>
      </c>
      <c r="Z172" s="13">
        <v>7</v>
      </c>
      <c r="AA172" s="13">
        <v>7</v>
      </c>
      <c r="AB172" s="13">
        <v>8</v>
      </c>
      <c r="AC172" s="13">
        <v>8</v>
      </c>
      <c r="AD172" s="13">
        <v>10</v>
      </c>
      <c r="AE172" s="13">
        <v>6</v>
      </c>
      <c r="AF172" s="13">
        <v>8</v>
      </c>
      <c r="AG172" s="13"/>
      <c r="AH172" s="1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CB172" s="3"/>
      <c r="CU172" s="3"/>
      <c r="CV172" s="3"/>
      <c r="CW172" s="3"/>
      <c r="CX172" s="3"/>
      <c r="CY172" s="3"/>
      <c r="CZ172" s="3"/>
      <c r="DA172" s="3"/>
      <c r="DK172" s="31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  <c r="EC172" s="3"/>
      <c r="ED172" s="3"/>
      <c r="EE172" s="3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  <c r="EU172" s="3"/>
      <c r="EV172" s="3"/>
      <c r="EW172" s="3"/>
      <c r="HK172" s="3"/>
      <c r="HL172" s="3"/>
      <c r="HM172" s="3"/>
      <c r="HN172" s="3"/>
      <c r="HO172" s="3"/>
      <c r="HP172" s="3"/>
      <c r="HQ172" s="3"/>
      <c r="HR172" s="3"/>
      <c r="HS172" s="3"/>
      <c r="HT172" s="3"/>
      <c r="HU172" s="3"/>
      <c r="HV172" s="3"/>
      <c r="HW172" s="3"/>
      <c r="HX172" s="3"/>
    </row>
    <row r="173" spans="1:232">
      <c r="A173" s="10" t="s">
        <v>284</v>
      </c>
      <c r="B173" s="11">
        <f>AVERAGE(E173:AE173)</f>
        <v>11</v>
      </c>
      <c r="C173" s="2">
        <f>MIN(E173:AE173)</f>
        <v>6</v>
      </c>
      <c r="D173" s="12">
        <f>MAX(E173:AE173)</f>
        <v>16</v>
      </c>
      <c r="E173" s="13">
        <v>9</v>
      </c>
      <c r="F173" s="13">
        <v>16</v>
      </c>
      <c r="G173" s="13">
        <v>8</v>
      </c>
      <c r="H173" s="13">
        <v>10</v>
      </c>
      <c r="I173" s="13">
        <v>12</v>
      </c>
      <c r="J173" s="13">
        <v>15</v>
      </c>
      <c r="K173" s="13">
        <v>11</v>
      </c>
      <c r="L173" s="13">
        <v>10</v>
      </c>
      <c r="M173" s="13">
        <v>15</v>
      </c>
      <c r="N173" s="13">
        <v>16</v>
      </c>
      <c r="O173" s="13">
        <v>13</v>
      </c>
      <c r="P173" s="13">
        <v>8</v>
      </c>
      <c r="Q173" s="13">
        <v>15</v>
      </c>
      <c r="R173" s="98">
        <v>11</v>
      </c>
      <c r="S173" s="13">
        <v>10</v>
      </c>
      <c r="T173" s="13">
        <v>14</v>
      </c>
      <c r="U173" s="13">
        <v>11</v>
      </c>
      <c r="V173" s="13">
        <v>15</v>
      </c>
      <c r="W173" s="13">
        <v>10</v>
      </c>
      <c r="X173" s="13">
        <v>13</v>
      </c>
      <c r="Y173" s="13">
        <v>8</v>
      </c>
      <c r="Z173" s="13">
        <v>7</v>
      </c>
      <c r="AA173" s="13">
        <v>7</v>
      </c>
      <c r="AB173" s="13">
        <v>8</v>
      </c>
      <c r="AC173" s="21">
        <v>9</v>
      </c>
      <c r="AD173" s="13">
        <v>10</v>
      </c>
      <c r="AE173" s="13">
        <v>6</v>
      </c>
      <c r="AF173" s="13">
        <v>8</v>
      </c>
      <c r="AG173" s="13"/>
      <c r="AH173" s="1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CB173" s="3"/>
      <c r="CU173" s="3"/>
      <c r="CV173" s="3"/>
      <c r="CW173" s="3"/>
      <c r="CX173" s="3"/>
      <c r="CY173" s="3"/>
      <c r="CZ173" s="3"/>
      <c r="DA173" s="3"/>
      <c r="DK173" s="31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  <c r="EC173" s="3"/>
      <c r="ED173" s="3"/>
      <c r="EE173" s="3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  <c r="EU173" s="3"/>
      <c r="EV173" s="3"/>
      <c r="EW173" s="3"/>
      <c r="HK173" s="3"/>
      <c r="HL173" s="3"/>
      <c r="HM173" s="3"/>
      <c r="HN173" s="3"/>
      <c r="HO173" s="3"/>
      <c r="HP173" s="3"/>
      <c r="HQ173" s="3"/>
      <c r="HR173" s="3"/>
      <c r="HS173" s="3"/>
      <c r="HT173" s="3"/>
      <c r="HU173" s="3"/>
      <c r="HV173" s="3"/>
      <c r="HW173" s="3"/>
      <c r="HX173" s="3"/>
    </row>
    <row r="174" spans="1:232">
      <c r="A174" s="10" t="s">
        <v>285</v>
      </c>
      <c r="B174" s="11">
        <f>AVERAGE(E174:AE174)</f>
        <v>11.148148148148149</v>
      </c>
      <c r="C174" s="2">
        <f>MIN(E174:AE174)</f>
        <v>6</v>
      </c>
      <c r="D174" s="12">
        <f>MAX(E174:AE174)</f>
        <v>16</v>
      </c>
      <c r="E174" s="13">
        <v>9</v>
      </c>
      <c r="F174" s="13">
        <v>16</v>
      </c>
      <c r="G174" s="13">
        <v>8</v>
      </c>
      <c r="H174" s="13">
        <v>10</v>
      </c>
      <c r="I174" s="21">
        <v>13</v>
      </c>
      <c r="J174" s="13">
        <v>15</v>
      </c>
      <c r="K174" s="13">
        <v>11</v>
      </c>
      <c r="L174" s="13">
        <v>10</v>
      </c>
      <c r="M174" s="13">
        <v>15</v>
      </c>
      <c r="N174" s="13">
        <v>16</v>
      </c>
      <c r="O174" s="13">
        <v>13</v>
      </c>
      <c r="P174" s="13">
        <v>8</v>
      </c>
      <c r="Q174" s="13">
        <v>15</v>
      </c>
      <c r="R174" s="21">
        <v>12</v>
      </c>
      <c r="S174" s="13">
        <v>10</v>
      </c>
      <c r="T174" s="13">
        <v>14</v>
      </c>
      <c r="U174" s="13">
        <v>11</v>
      </c>
      <c r="V174" s="21">
        <v>16</v>
      </c>
      <c r="W174" s="13">
        <v>10</v>
      </c>
      <c r="X174" s="13">
        <v>13</v>
      </c>
      <c r="Y174" s="13">
        <v>8</v>
      </c>
      <c r="Z174" s="21">
        <v>8</v>
      </c>
      <c r="AA174" s="13">
        <v>7</v>
      </c>
      <c r="AB174" s="13">
        <v>8</v>
      </c>
      <c r="AC174" s="13">
        <v>9</v>
      </c>
      <c r="AD174" s="13">
        <v>10</v>
      </c>
      <c r="AE174" s="13">
        <v>6</v>
      </c>
      <c r="AF174" s="13">
        <v>8</v>
      </c>
      <c r="AG174" s="13"/>
      <c r="AH174" s="1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CB174" s="3"/>
      <c r="CU174" s="3"/>
      <c r="CV174" s="3"/>
      <c r="CW174" s="3"/>
      <c r="CX174" s="3"/>
      <c r="CY174" s="3"/>
      <c r="CZ174" s="3"/>
      <c r="DA174" s="3"/>
      <c r="DK174" s="31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  <c r="EC174" s="3"/>
      <c r="ED174" s="3"/>
      <c r="EE174" s="3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  <c r="EU174" s="3"/>
      <c r="EV174" s="3"/>
      <c r="EW174" s="3"/>
      <c r="HK174" s="3"/>
      <c r="HL174" s="3"/>
      <c r="HM174" s="3"/>
      <c r="HN174" s="3"/>
      <c r="HO174" s="3"/>
      <c r="HP174" s="3"/>
      <c r="HQ174" s="3"/>
      <c r="HR174" s="3"/>
      <c r="HS174" s="3"/>
      <c r="HT174" s="3"/>
      <c r="HU174" s="3"/>
      <c r="HV174" s="3"/>
      <c r="HW174" s="3"/>
      <c r="HX174" s="3"/>
    </row>
    <row r="175" spans="1:232">
      <c r="A175" s="10" t="s">
        <v>286</v>
      </c>
      <c r="B175" s="11">
        <f>AVERAGE(E175:AE175)</f>
        <v>11.185185185185185</v>
      </c>
      <c r="C175" s="2">
        <f>MIN(E175:AE175)</f>
        <v>6</v>
      </c>
      <c r="D175" s="12">
        <f>MAX(E175:AE175)</f>
        <v>16</v>
      </c>
      <c r="E175" s="13">
        <v>9</v>
      </c>
      <c r="F175" s="13">
        <v>16</v>
      </c>
      <c r="G175" s="13">
        <v>8</v>
      </c>
      <c r="H175" s="13">
        <v>10</v>
      </c>
      <c r="I175" s="13">
        <v>13</v>
      </c>
      <c r="J175" s="13">
        <v>15</v>
      </c>
      <c r="K175" s="13">
        <v>11</v>
      </c>
      <c r="L175" s="13">
        <v>11</v>
      </c>
      <c r="M175" s="13">
        <v>15</v>
      </c>
      <c r="N175" s="13">
        <v>16</v>
      </c>
      <c r="O175" s="13">
        <v>13</v>
      </c>
      <c r="P175" s="13">
        <v>8</v>
      </c>
      <c r="Q175" s="13">
        <v>15</v>
      </c>
      <c r="R175" s="13">
        <v>12</v>
      </c>
      <c r="S175" s="13">
        <v>10</v>
      </c>
      <c r="T175" s="13">
        <v>14</v>
      </c>
      <c r="U175" s="13">
        <v>11</v>
      </c>
      <c r="V175" s="13">
        <v>16</v>
      </c>
      <c r="W175" s="13">
        <v>10</v>
      </c>
      <c r="X175" s="13">
        <v>13</v>
      </c>
      <c r="Y175" s="13">
        <v>8</v>
      </c>
      <c r="Z175" s="13">
        <v>8</v>
      </c>
      <c r="AA175" s="13">
        <v>7</v>
      </c>
      <c r="AB175" s="13">
        <v>8</v>
      </c>
      <c r="AC175" s="13">
        <v>9</v>
      </c>
      <c r="AD175" s="13">
        <v>10</v>
      </c>
      <c r="AE175" s="13">
        <v>6</v>
      </c>
      <c r="AF175" s="13">
        <v>8</v>
      </c>
      <c r="AG175" s="13"/>
      <c r="AH175" s="1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DK175" s="31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  <c r="EC175" s="3"/>
      <c r="ED175" s="3"/>
      <c r="EE175" s="3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HK175" s="3"/>
      <c r="HL175" s="3"/>
      <c r="HM175" s="3"/>
      <c r="HN175" s="3"/>
      <c r="HO175" s="3"/>
      <c r="HP175" s="3"/>
      <c r="HQ175" s="3"/>
      <c r="HR175" s="3"/>
      <c r="HS175" s="3"/>
      <c r="HT175" s="3"/>
      <c r="HU175" s="3"/>
      <c r="HV175" s="3"/>
      <c r="HW175" s="3"/>
      <c r="HX175" s="3"/>
    </row>
    <row r="176" spans="1:232">
      <c r="A176" s="10" t="s">
        <v>287</v>
      </c>
      <c r="B176" s="11">
        <f>AVERAGE(E176:AE176)</f>
        <v>11.37037037037037</v>
      </c>
      <c r="C176" s="2">
        <f>MIN(E176:AE176)</f>
        <v>6</v>
      </c>
      <c r="D176" s="12">
        <f>MAX(E176:AE176)</f>
        <v>16</v>
      </c>
      <c r="E176" s="13">
        <v>9</v>
      </c>
      <c r="F176" s="13">
        <v>16</v>
      </c>
      <c r="G176" s="13">
        <v>8</v>
      </c>
      <c r="H176" s="47">
        <v>11</v>
      </c>
      <c r="I176" s="13">
        <v>13</v>
      </c>
      <c r="J176" s="13">
        <v>15</v>
      </c>
      <c r="K176" s="13">
        <v>11</v>
      </c>
      <c r="L176" s="13">
        <v>12</v>
      </c>
      <c r="M176" s="13">
        <v>15</v>
      </c>
      <c r="N176" s="13">
        <v>16</v>
      </c>
      <c r="O176" s="13">
        <v>13</v>
      </c>
      <c r="P176" s="13">
        <v>8</v>
      </c>
      <c r="Q176" s="13">
        <v>15</v>
      </c>
      <c r="R176" s="13">
        <v>13</v>
      </c>
      <c r="S176" s="99">
        <v>11</v>
      </c>
      <c r="T176" s="13">
        <v>14</v>
      </c>
      <c r="U176" s="13">
        <v>11</v>
      </c>
      <c r="V176" s="13">
        <v>16</v>
      </c>
      <c r="W176" s="13">
        <v>10</v>
      </c>
      <c r="X176" s="13">
        <v>13</v>
      </c>
      <c r="Y176" s="13">
        <v>9</v>
      </c>
      <c r="Z176" s="13">
        <v>8</v>
      </c>
      <c r="AA176" s="13">
        <v>7</v>
      </c>
      <c r="AB176" s="13">
        <v>8</v>
      </c>
      <c r="AC176" s="13">
        <v>9</v>
      </c>
      <c r="AD176" s="13">
        <v>10</v>
      </c>
      <c r="AE176" s="13">
        <v>6</v>
      </c>
      <c r="AF176" s="13">
        <v>8</v>
      </c>
      <c r="AG176" s="13"/>
      <c r="AH176" s="1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DK176" s="31"/>
      <c r="DL176" s="3"/>
      <c r="DM176" s="3"/>
      <c r="DN176" s="3"/>
      <c r="DO176" s="3"/>
      <c r="DP176" s="3"/>
      <c r="DQ176" s="3"/>
      <c r="DR176" s="3"/>
      <c r="DS176" s="3"/>
      <c r="DT176" s="3"/>
      <c r="DU176" s="3"/>
      <c r="DV176" s="3"/>
      <c r="DW176" s="3"/>
      <c r="DX176" s="3"/>
      <c r="DY176" s="3"/>
      <c r="DZ176" s="3"/>
      <c r="EA176" s="3"/>
      <c r="EB176" s="3"/>
      <c r="EC176" s="3"/>
      <c r="ED176" s="3"/>
      <c r="EE176" s="3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  <c r="EU176" s="3"/>
      <c r="EV176" s="3"/>
      <c r="EW176" s="3"/>
      <c r="HK176" s="3"/>
      <c r="HL176" s="3"/>
      <c r="HM176" s="3"/>
      <c r="HN176" s="3"/>
      <c r="HO176" s="3"/>
      <c r="HP176" s="3"/>
      <c r="HQ176" s="3"/>
      <c r="HR176" s="3"/>
      <c r="HS176" s="3"/>
      <c r="HT176" s="3"/>
      <c r="HU176" s="3"/>
      <c r="HV176" s="3"/>
      <c r="HW176" s="3"/>
      <c r="HX176" s="3"/>
    </row>
    <row r="177" spans="1:232">
      <c r="A177" s="10" t="s">
        <v>288</v>
      </c>
      <c r="B177" s="11">
        <f>AVERAGE(E177:AE177)</f>
        <v>11.703703703703704</v>
      </c>
      <c r="C177" s="2">
        <f>MIN(E177:AE177)</f>
        <v>6</v>
      </c>
      <c r="D177" s="12">
        <f>MAX(E177:AE177)</f>
        <v>16</v>
      </c>
      <c r="E177" s="13">
        <v>9</v>
      </c>
      <c r="F177" s="13">
        <v>16</v>
      </c>
      <c r="G177" s="13">
        <v>9</v>
      </c>
      <c r="H177" s="99">
        <v>12</v>
      </c>
      <c r="I177" s="13">
        <v>13</v>
      </c>
      <c r="J177" s="21">
        <v>16</v>
      </c>
      <c r="K177" s="13">
        <v>11</v>
      </c>
      <c r="L177" s="13">
        <v>13</v>
      </c>
      <c r="M177" s="13">
        <v>16</v>
      </c>
      <c r="N177" s="13">
        <v>16</v>
      </c>
      <c r="O177" s="13">
        <v>14</v>
      </c>
      <c r="P177" s="13">
        <v>8</v>
      </c>
      <c r="Q177" s="13">
        <v>15</v>
      </c>
      <c r="R177" s="13">
        <v>14</v>
      </c>
      <c r="S177" s="13">
        <v>12</v>
      </c>
      <c r="T177" s="13">
        <v>14</v>
      </c>
      <c r="U177" s="13">
        <v>11</v>
      </c>
      <c r="V177" s="13">
        <v>16</v>
      </c>
      <c r="W177" s="13">
        <v>10</v>
      </c>
      <c r="X177" s="13">
        <v>13</v>
      </c>
      <c r="Y177" s="13">
        <v>9</v>
      </c>
      <c r="Z177" s="13">
        <v>8</v>
      </c>
      <c r="AA177" s="13">
        <v>8</v>
      </c>
      <c r="AB177" s="13">
        <v>8</v>
      </c>
      <c r="AC177" s="13">
        <v>9</v>
      </c>
      <c r="AD177" s="13">
        <v>10</v>
      </c>
      <c r="AE177" s="13">
        <v>6</v>
      </c>
      <c r="AF177" s="98">
        <v>9</v>
      </c>
      <c r="AG177" s="13"/>
      <c r="AH177" s="1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DK177" s="31"/>
      <c r="DL177" s="3"/>
      <c r="DM177" s="3"/>
      <c r="DN177" s="3"/>
      <c r="DO177" s="3"/>
      <c r="DP177" s="3"/>
      <c r="DQ177" s="3"/>
      <c r="DR177" s="3"/>
      <c r="DS177" s="3"/>
      <c r="DT177" s="3"/>
      <c r="DU177" s="3"/>
      <c r="DV177" s="3"/>
      <c r="DW177" s="3"/>
      <c r="DX177" s="3"/>
      <c r="DY177" s="3"/>
      <c r="DZ177" s="3"/>
      <c r="EA177" s="3"/>
      <c r="EB177" s="3"/>
      <c r="EC177" s="3"/>
      <c r="ED177" s="3"/>
      <c r="EE177" s="3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  <c r="EU177" s="3"/>
      <c r="EV177" s="3"/>
      <c r="EW177" s="3"/>
      <c r="HK177" s="3"/>
      <c r="HL177" s="3"/>
      <c r="HM177" s="3"/>
      <c r="HN177" s="3"/>
      <c r="HO177" s="3"/>
      <c r="HP177" s="3"/>
      <c r="HQ177" s="3"/>
      <c r="HR177" s="3"/>
      <c r="HS177" s="3"/>
      <c r="HT177" s="3"/>
      <c r="HU177" s="3"/>
      <c r="HV177" s="3"/>
      <c r="HW177" s="3"/>
      <c r="HX177" s="3"/>
    </row>
    <row r="178" spans="1:232">
      <c r="A178" s="10" t="s">
        <v>289</v>
      </c>
      <c r="B178" s="11">
        <f>AVERAGE(E178:AE178)</f>
        <v>11.962962962962964</v>
      </c>
      <c r="C178" s="2">
        <f>MIN(E178:AE178)</f>
        <v>6</v>
      </c>
      <c r="D178" s="12">
        <f>MAX(E178:AE178)</f>
        <v>17</v>
      </c>
      <c r="E178" s="13">
        <v>9</v>
      </c>
      <c r="F178" s="13">
        <v>16</v>
      </c>
      <c r="G178" s="13">
        <v>9</v>
      </c>
      <c r="H178" s="13">
        <v>12</v>
      </c>
      <c r="I178" s="13">
        <v>13</v>
      </c>
      <c r="J178" s="13">
        <v>16</v>
      </c>
      <c r="K178" s="13">
        <v>12</v>
      </c>
      <c r="L178" s="13">
        <v>13</v>
      </c>
      <c r="M178" s="13">
        <v>16</v>
      </c>
      <c r="N178" s="13">
        <v>17</v>
      </c>
      <c r="O178" s="13">
        <v>14</v>
      </c>
      <c r="P178" s="13">
        <v>8</v>
      </c>
      <c r="Q178" s="47">
        <v>16</v>
      </c>
      <c r="R178" s="13">
        <v>14</v>
      </c>
      <c r="S178" s="13">
        <v>12</v>
      </c>
      <c r="T178" s="13">
        <v>14</v>
      </c>
      <c r="U178" s="21">
        <v>12</v>
      </c>
      <c r="V178" s="13">
        <v>16</v>
      </c>
      <c r="W178" s="47">
        <v>11</v>
      </c>
      <c r="X178" s="13">
        <v>13</v>
      </c>
      <c r="Y178" s="13">
        <v>9</v>
      </c>
      <c r="Z178" s="13">
        <v>8</v>
      </c>
      <c r="AA178" s="13">
        <v>9</v>
      </c>
      <c r="AB178" s="13">
        <v>8</v>
      </c>
      <c r="AC178" s="47">
        <v>10</v>
      </c>
      <c r="AD178" s="13">
        <v>10</v>
      </c>
      <c r="AE178" s="13">
        <v>6</v>
      </c>
      <c r="AF178" s="13">
        <v>9</v>
      </c>
      <c r="AG178" s="13"/>
      <c r="AH178" s="1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DK178" s="31"/>
      <c r="DL178" s="3"/>
      <c r="DM178" s="3"/>
      <c r="DN178" s="3"/>
      <c r="DO178" s="3"/>
      <c r="DP178" s="3"/>
      <c r="DQ178" s="3"/>
      <c r="DR178" s="3"/>
      <c r="DS178" s="3"/>
      <c r="DT178" s="3"/>
      <c r="DU178" s="3"/>
      <c r="DV178" s="3"/>
      <c r="DW178" s="3"/>
      <c r="DX178" s="3"/>
      <c r="DY178" s="3"/>
      <c r="DZ178" s="3"/>
      <c r="EA178" s="3"/>
      <c r="EB178" s="3"/>
      <c r="EC178" s="3"/>
      <c r="ED178" s="3"/>
      <c r="EE178" s="3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  <c r="EU178" s="3"/>
      <c r="EV178" s="3"/>
      <c r="EW178" s="3"/>
      <c r="HK178" s="3"/>
      <c r="HL178" s="3"/>
      <c r="HM178" s="3"/>
      <c r="HN178" s="3"/>
      <c r="HO178" s="3"/>
      <c r="HP178" s="3"/>
      <c r="HQ178" s="3"/>
      <c r="HR178" s="3"/>
      <c r="HS178" s="3"/>
      <c r="HT178" s="3"/>
      <c r="HU178" s="3"/>
      <c r="HV178" s="3"/>
      <c r="HW178" s="3"/>
      <c r="HX178" s="3"/>
    </row>
    <row r="179" spans="1:232">
      <c r="A179" s="10" t="s">
        <v>290</v>
      </c>
      <c r="B179" s="11">
        <f>AVERAGE(E179:AE179)</f>
        <v>12.222222222222221</v>
      </c>
      <c r="C179" s="2">
        <f>MIN(E179:AE179)</f>
        <v>7</v>
      </c>
      <c r="D179" s="12">
        <f>MAX(E179:AE179)</f>
        <v>17</v>
      </c>
      <c r="E179" s="13">
        <v>9</v>
      </c>
      <c r="F179" s="13">
        <v>16</v>
      </c>
      <c r="G179" s="13">
        <v>9</v>
      </c>
      <c r="H179" s="13">
        <v>12</v>
      </c>
      <c r="I179" s="13">
        <v>14</v>
      </c>
      <c r="J179" s="13">
        <v>16</v>
      </c>
      <c r="K179" s="13">
        <v>12</v>
      </c>
      <c r="L179" s="13">
        <v>13</v>
      </c>
      <c r="M179" s="13">
        <v>16</v>
      </c>
      <c r="N179" s="13">
        <v>17</v>
      </c>
      <c r="O179" s="13">
        <v>14</v>
      </c>
      <c r="P179" s="13">
        <v>8</v>
      </c>
      <c r="Q179" s="21">
        <v>17</v>
      </c>
      <c r="R179" s="13">
        <v>14</v>
      </c>
      <c r="S179" s="13">
        <v>12</v>
      </c>
      <c r="T179" s="13">
        <v>14</v>
      </c>
      <c r="U179" s="13">
        <v>13</v>
      </c>
      <c r="V179" s="13">
        <v>16</v>
      </c>
      <c r="W179" s="47">
        <v>12</v>
      </c>
      <c r="X179" s="13">
        <v>13</v>
      </c>
      <c r="Y179" s="13">
        <v>9</v>
      </c>
      <c r="Z179" s="13">
        <v>8</v>
      </c>
      <c r="AA179" s="13">
        <v>10</v>
      </c>
      <c r="AB179" s="13">
        <v>8</v>
      </c>
      <c r="AC179" s="13">
        <v>11</v>
      </c>
      <c r="AD179" s="13">
        <v>10</v>
      </c>
      <c r="AE179" s="13">
        <v>7</v>
      </c>
      <c r="AF179" s="13">
        <v>9</v>
      </c>
      <c r="AG179" s="13"/>
      <c r="AH179" s="1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DK179" s="31"/>
      <c r="DL179" s="3"/>
      <c r="DM179" s="3"/>
      <c r="DN179" s="3"/>
      <c r="DO179" s="3"/>
      <c r="DP179" s="3"/>
      <c r="DQ179" s="3"/>
      <c r="DR179" s="3"/>
      <c r="DS179" s="3"/>
      <c r="DT179" s="3"/>
      <c r="DU179" s="3"/>
      <c r="DV179" s="3"/>
      <c r="DW179" s="3"/>
      <c r="DX179" s="3"/>
      <c r="DY179" s="3"/>
      <c r="DZ179" s="3"/>
      <c r="EA179" s="3"/>
      <c r="EB179" s="3"/>
      <c r="EC179" s="3"/>
      <c r="ED179" s="3"/>
      <c r="EE179" s="3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  <c r="EU179" s="3"/>
      <c r="EV179" s="3"/>
      <c r="EW179" s="3"/>
      <c r="HK179" s="3"/>
      <c r="HL179" s="3"/>
      <c r="HM179" s="3"/>
      <c r="HN179" s="3"/>
      <c r="HO179" s="3"/>
      <c r="HP179" s="3"/>
      <c r="HQ179" s="3"/>
      <c r="HR179" s="3"/>
      <c r="HS179" s="3"/>
      <c r="HT179" s="3"/>
      <c r="HU179" s="3"/>
      <c r="HV179" s="3"/>
      <c r="HW179" s="3"/>
      <c r="HX179" s="3"/>
    </row>
    <row r="180" spans="1:232">
      <c r="A180" s="10" t="s">
        <v>291</v>
      </c>
      <c r="B180" s="11">
        <f>AVERAGE(E180:AE180)</f>
        <v>12.37037037037037</v>
      </c>
      <c r="C180" s="2">
        <f>MIN(E180:AE180)</f>
        <v>7</v>
      </c>
      <c r="D180" s="12">
        <f>MAX(E180:AE180)</f>
        <v>17</v>
      </c>
      <c r="E180" s="13">
        <v>9</v>
      </c>
      <c r="F180" s="21">
        <v>17</v>
      </c>
      <c r="G180" s="13">
        <v>9</v>
      </c>
      <c r="H180" s="13">
        <v>12</v>
      </c>
      <c r="I180" s="13">
        <v>14</v>
      </c>
      <c r="J180" s="13">
        <v>16</v>
      </c>
      <c r="K180" s="13">
        <v>12</v>
      </c>
      <c r="L180" s="13">
        <v>13</v>
      </c>
      <c r="M180" s="13">
        <v>16</v>
      </c>
      <c r="N180" s="13">
        <v>17</v>
      </c>
      <c r="O180" s="13">
        <v>14</v>
      </c>
      <c r="P180" s="13">
        <v>8</v>
      </c>
      <c r="Q180" s="13">
        <v>17</v>
      </c>
      <c r="R180" s="13">
        <v>14</v>
      </c>
      <c r="S180" s="13">
        <v>12</v>
      </c>
      <c r="T180" s="21">
        <v>15</v>
      </c>
      <c r="U180" s="13">
        <v>13</v>
      </c>
      <c r="V180" s="13">
        <v>16</v>
      </c>
      <c r="W180" s="13">
        <v>12</v>
      </c>
      <c r="X180" s="13">
        <v>13</v>
      </c>
      <c r="Y180" s="13">
        <v>9</v>
      </c>
      <c r="Z180" s="13">
        <v>8</v>
      </c>
      <c r="AA180" s="13">
        <v>11</v>
      </c>
      <c r="AB180" s="13">
        <v>9</v>
      </c>
      <c r="AC180" s="13">
        <v>11</v>
      </c>
      <c r="AD180" s="13">
        <v>10</v>
      </c>
      <c r="AE180" s="13">
        <v>7</v>
      </c>
      <c r="AF180" s="13">
        <v>9</v>
      </c>
      <c r="AG180" s="13"/>
      <c r="AH180" s="1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DK180" s="31"/>
      <c r="DL180" s="3"/>
      <c r="DM180" s="3"/>
      <c r="DN180" s="3"/>
      <c r="DO180" s="3"/>
      <c r="DP180" s="3"/>
      <c r="DQ180" s="3"/>
      <c r="DR180" s="3"/>
      <c r="DS180" s="3"/>
      <c r="DT180" s="3"/>
      <c r="DU180" s="3"/>
      <c r="DV180" s="3"/>
      <c r="DW180" s="3"/>
      <c r="DX180" s="3"/>
      <c r="DY180" s="3"/>
      <c r="DZ180" s="3"/>
      <c r="EA180" s="3"/>
      <c r="EB180" s="3"/>
      <c r="EC180" s="3"/>
      <c r="ED180" s="3"/>
      <c r="EE180" s="3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  <c r="EU180" s="3"/>
      <c r="EV180" s="3"/>
      <c r="EW180" s="3"/>
      <c r="HK180" s="3"/>
      <c r="HL180" s="3"/>
      <c r="HM180" s="3"/>
      <c r="HN180" s="3"/>
      <c r="HO180" s="3"/>
      <c r="HP180" s="3"/>
      <c r="HQ180" s="3"/>
      <c r="HR180" s="3"/>
      <c r="HS180" s="3"/>
      <c r="HT180" s="3"/>
      <c r="HU180" s="3"/>
      <c r="HV180" s="3"/>
      <c r="HW180" s="3"/>
      <c r="HX180" s="3"/>
    </row>
    <row r="181" spans="1:232">
      <c r="A181" s="10" t="s">
        <v>292</v>
      </c>
      <c r="B181" s="11">
        <f>AVERAGE(E181:AE181)</f>
        <v>12.555555555555555</v>
      </c>
      <c r="C181" s="2">
        <f>MIN(E181:AE181)</f>
        <v>7</v>
      </c>
      <c r="D181" s="12">
        <f>MAX(E181:AE181)</f>
        <v>18</v>
      </c>
      <c r="E181" s="13">
        <v>9</v>
      </c>
      <c r="F181" s="13">
        <v>17</v>
      </c>
      <c r="G181" s="13">
        <v>9</v>
      </c>
      <c r="H181" s="13">
        <v>12</v>
      </c>
      <c r="I181" s="13">
        <v>14</v>
      </c>
      <c r="J181" s="13">
        <v>16</v>
      </c>
      <c r="K181" s="99">
        <v>13</v>
      </c>
      <c r="L181" s="13">
        <v>13</v>
      </c>
      <c r="M181" s="13">
        <v>16</v>
      </c>
      <c r="N181" s="13">
        <v>18</v>
      </c>
      <c r="O181" s="21">
        <v>15</v>
      </c>
      <c r="P181" s="13">
        <v>8</v>
      </c>
      <c r="Q181" s="13">
        <v>17</v>
      </c>
      <c r="R181" s="13">
        <v>14</v>
      </c>
      <c r="S181" s="13">
        <v>12</v>
      </c>
      <c r="T181" s="13">
        <v>16</v>
      </c>
      <c r="U181" s="13">
        <v>13</v>
      </c>
      <c r="V181" s="13">
        <v>17</v>
      </c>
      <c r="W181" s="13">
        <v>12</v>
      </c>
      <c r="X181" s="13">
        <v>13</v>
      </c>
      <c r="Y181" s="13">
        <v>9</v>
      </c>
      <c r="Z181" s="13">
        <v>8</v>
      </c>
      <c r="AA181" s="13">
        <v>11</v>
      </c>
      <c r="AB181" s="13">
        <v>9</v>
      </c>
      <c r="AC181" s="13">
        <v>11</v>
      </c>
      <c r="AD181" s="13">
        <v>10</v>
      </c>
      <c r="AE181" s="13">
        <v>7</v>
      </c>
      <c r="AF181" s="13">
        <v>9</v>
      </c>
      <c r="AG181" s="13"/>
      <c r="AH181" s="1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DK181" s="31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  <c r="EU181" s="3"/>
      <c r="EV181" s="3"/>
      <c r="EW181" s="3"/>
      <c r="HK181" s="3"/>
      <c r="HL181" s="3"/>
      <c r="HM181" s="3"/>
      <c r="HN181" s="3"/>
      <c r="HO181" s="3"/>
      <c r="HP181" s="3"/>
      <c r="HQ181" s="3"/>
      <c r="HR181" s="3"/>
      <c r="HS181" s="3"/>
      <c r="HT181" s="3"/>
      <c r="HU181" s="3"/>
      <c r="HV181" s="3"/>
      <c r="HW181" s="3"/>
      <c r="HX181" s="3"/>
    </row>
    <row r="182" spans="1:232">
      <c r="A182" s="10" t="s">
        <v>293</v>
      </c>
      <c r="B182" s="11">
        <f>AVERAGE(E182:AE182)</f>
        <v>12.62962962962963</v>
      </c>
      <c r="C182" s="2">
        <f>MIN(E182:AE182)</f>
        <v>7</v>
      </c>
      <c r="D182" s="12">
        <f>MAX(E182:AE182)</f>
        <v>18</v>
      </c>
      <c r="E182" s="13">
        <v>9</v>
      </c>
      <c r="F182" s="13">
        <v>17</v>
      </c>
      <c r="G182" s="13">
        <v>9</v>
      </c>
      <c r="H182" s="13">
        <v>12</v>
      </c>
      <c r="I182" s="13">
        <v>14</v>
      </c>
      <c r="J182" s="13">
        <v>16</v>
      </c>
      <c r="K182" s="13">
        <v>13</v>
      </c>
      <c r="L182" s="13">
        <v>13</v>
      </c>
      <c r="M182" s="13">
        <v>16</v>
      </c>
      <c r="N182" s="13">
        <v>18</v>
      </c>
      <c r="O182" s="13">
        <v>15</v>
      </c>
      <c r="P182" s="13">
        <v>8</v>
      </c>
      <c r="Q182" s="13">
        <v>17</v>
      </c>
      <c r="R182" s="13">
        <v>14</v>
      </c>
      <c r="S182" s="13">
        <v>12</v>
      </c>
      <c r="T182" s="13">
        <v>16</v>
      </c>
      <c r="U182" s="13">
        <v>13</v>
      </c>
      <c r="V182" s="13">
        <v>17</v>
      </c>
      <c r="W182" s="13">
        <v>12</v>
      </c>
      <c r="X182" s="13">
        <v>13</v>
      </c>
      <c r="Y182" s="13">
        <v>9</v>
      </c>
      <c r="Z182" s="13">
        <v>8</v>
      </c>
      <c r="AA182" s="13">
        <v>11</v>
      </c>
      <c r="AB182" s="13">
        <v>9</v>
      </c>
      <c r="AC182" s="13">
        <v>12</v>
      </c>
      <c r="AD182" s="13">
        <v>11</v>
      </c>
      <c r="AE182" s="13">
        <v>7</v>
      </c>
      <c r="AF182" s="13">
        <v>9</v>
      </c>
      <c r="AG182" s="13"/>
      <c r="AH182" s="1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DK182" s="31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  <c r="EC182" s="3"/>
      <c r="ED182" s="3"/>
      <c r="EE182" s="3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  <c r="EU182" s="3"/>
      <c r="EV182" s="3"/>
      <c r="EW182" s="3"/>
      <c r="HK182" s="3"/>
      <c r="HL182" s="3"/>
      <c r="HM182" s="3"/>
      <c r="HN182" s="3"/>
      <c r="HO182" s="3"/>
      <c r="HP182" s="3"/>
      <c r="HQ182" s="3"/>
      <c r="HR182" s="3"/>
      <c r="HS182" s="3"/>
      <c r="HT182" s="3"/>
      <c r="HU182" s="3"/>
      <c r="HV182" s="3"/>
      <c r="HW182" s="3"/>
      <c r="HX182" s="3"/>
    </row>
    <row r="183" spans="1:232">
      <c r="A183" s="10" t="s">
        <v>294</v>
      </c>
      <c r="B183" s="11">
        <f>AVERAGE(E183:AE183)</f>
        <v>12.851851851851851</v>
      </c>
      <c r="C183" s="2">
        <f>MIN(E183:AE183)</f>
        <v>7</v>
      </c>
      <c r="D183" s="12">
        <f>MAX(E183:AE183)</f>
        <v>18</v>
      </c>
      <c r="E183" s="13">
        <v>10</v>
      </c>
      <c r="F183" s="13">
        <v>17</v>
      </c>
      <c r="G183" s="13">
        <v>9</v>
      </c>
      <c r="H183" s="13">
        <v>12</v>
      </c>
      <c r="I183" s="13">
        <v>14</v>
      </c>
      <c r="J183" s="13">
        <v>16</v>
      </c>
      <c r="K183" s="13">
        <v>13</v>
      </c>
      <c r="L183" s="47">
        <v>14</v>
      </c>
      <c r="M183" s="13">
        <v>16</v>
      </c>
      <c r="N183" s="13">
        <v>18</v>
      </c>
      <c r="O183" s="13">
        <v>15</v>
      </c>
      <c r="P183" s="13">
        <v>8</v>
      </c>
      <c r="Q183" s="13">
        <v>17</v>
      </c>
      <c r="R183" s="13">
        <v>14</v>
      </c>
      <c r="S183" s="13">
        <v>12</v>
      </c>
      <c r="T183" s="13">
        <v>16</v>
      </c>
      <c r="U183" s="13">
        <v>13</v>
      </c>
      <c r="V183" s="13">
        <v>17</v>
      </c>
      <c r="W183" s="13">
        <v>12</v>
      </c>
      <c r="X183" s="13">
        <v>13</v>
      </c>
      <c r="Y183" s="13">
        <v>9</v>
      </c>
      <c r="Z183" s="13">
        <v>9</v>
      </c>
      <c r="AA183" s="13">
        <v>11</v>
      </c>
      <c r="AB183" s="98">
        <v>10</v>
      </c>
      <c r="AC183" s="13">
        <v>13</v>
      </c>
      <c r="AD183" s="13">
        <v>12</v>
      </c>
      <c r="AE183" s="13">
        <v>7</v>
      </c>
      <c r="AF183" s="13">
        <v>9</v>
      </c>
      <c r="AG183" s="13"/>
      <c r="AH183" s="1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DK183" s="31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  <c r="EC183" s="3"/>
      <c r="ED183" s="3"/>
      <c r="EE183" s="3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  <c r="EU183" s="3"/>
      <c r="EV183" s="3"/>
      <c r="EW183" s="3"/>
      <c r="HK183" s="3"/>
      <c r="HL183" s="3"/>
      <c r="HM183" s="3"/>
      <c r="HN183" s="3"/>
      <c r="HO183" s="3"/>
      <c r="HP183" s="3"/>
      <c r="HQ183" s="3"/>
      <c r="HR183" s="3"/>
      <c r="HS183" s="3"/>
      <c r="HT183" s="3"/>
      <c r="HU183" s="3"/>
      <c r="HV183" s="3"/>
      <c r="HW183" s="3"/>
      <c r="HX183" s="3"/>
    </row>
    <row r="184" spans="1:232">
      <c r="A184" s="10" t="s">
        <v>295</v>
      </c>
      <c r="B184" s="11">
        <f>AVERAGE(E184:AE184)</f>
        <v>13.037037037037036</v>
      </c>
      <c r="C184" s="2">
        <f>MIN(E184:AE184)</f>
        <v>7</v>
      </c>
      <c r="D184" s="12">
        <f>MAX(E184:AE184)</f>
        <v>18</v>
      </c>
      <c r="E184" s="13">
        <v>10</v>
      </c>
      <c r="F184" s="13">
        <v>17</v>
      </c>
      <c r="G184" s="13">
        <v>9</v>
      </c>
      <c r="H184" s="13">
        <v>12</v>
      </c>
      <c r="I184" s="13">
        <v>14</v>
      </c>
      <c r="J184" s="13">
        <v>16</v>
      </c>
      <c r="K184" s="13">
        <v>13</v>
      </c>
      <c r="L184" s="13">
        <v>14</v>
      </c>
      <c r="M184" s="13">
        <v>16</v>
      </c>
      <c r="N184" s="13">
        <v>18</v>
      </c>
      <c r="O184" s="13">
        <v>15</v>
      </c>
      <c r="P184" s="13">
        <v>8</v>
      </c>
      <c r="Q184" s="13">
        <v>17</v>
      </c>
      <c r="R184" s="13">
        <v>14</v>
      </c>
      <c r="S184" s="13">
        <v>12</v>
      </c>
      <c r="T184" s="13">
        <v>16</v>
      </c>
      <c r="U184" s="13">
        <v>13</v>
      </c>
      <c r="V184" s="13">
        <v>18</v>
      </c>
      <c r="W184" s="98">
        <v>13</v>
      </c>
      <c r="X184" s="13">
        <v>13</v>
      </c>
      <c r="Y184" s="13">
        <v>9</v>
      </c>
      <c r="Z184" s="13">
        <v>10</v>
      </c>
      <c r="AA184" s="13">
        <v>11</v>
      </c>
      <c r="AB184" s="47">
        <v>11</v>
      </c>
      <c r="AC184" s="13">
        <v>13</v>
      </c>
      <c r="AD184" s="99">
        <v>13</v>
      </c>
      <c r="AE184" s="13">
        <v>7</v>
      </c>
      <c r="AF184" s="13">
        <v>10</v>
      </c>
      <c r="AG184" s="13"/>
      <c r="AH184" s="1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DK184" s="31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  <c r="EC184" s="3"/>
      <c r="ED184" s="3"/>
      <c r="EE184" s="3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HK184" s="3"/>
      <c r="HL184" s="3"/>
      <c r="HM184" s="3"/>
      <c r="HN184" s="3"/>
      <c r="HO184" s="3"/>
      <c r="HP184" s="3"/>
      <c r="HQ184" s="3"/>
      <c r="HR184" s="3"/>
      <c r="HS184" s="3"/>
      <c r="HT184" s="3"/>
      <c r="HU184" s="3"/>
      <c r="HV184" s="3"/>
      <c r="HW184" s="3"/>
      <c r="HX184" s="3"/>
    </row>
    <row r="185" spans="1:232">
      <c r="A185" s="10" t="s">
        <v>296</v>
      </c>
      <c r="B185" s="11">
        <f>AVERAGE(E185:AE185)</f>
        <v>13.074074074074074</v>
      </c>
      <c r="C185" s="2">
        <f>MIN(E185:AE185)</f>
        <v>7</v>
      </c>
      <c r="D185" s="12">
        <f>MAX(E185:AE185)</f>
        <v>18</v>
      </c>
      <c r="E185" s="13">
        <v>10</v>
      </c>
      <c r="F185" s="13">
        <v>17</v>
      </c>
      <c r="G185" s="13">
        <v>9</v>
      </c>
      <c r="H185" s="13">
        <v>12</v>
      </c>
      <c r="I185" s="13">
        <v>14</v>
      </c>
      <c r="J185" s="13">
        <v>16</v>
      </c>
      <c r="K185" s="13">
        <v>13</v>
      </c>
      <c r="L185" s="13">
        <v>14</v>
      </c>
      <c r="M185" s="13">
        <v>16</v>
      </c>
      <c r="N185" s="13">
        <v>18</v>
      </c>
      <c r="O185" s="13">
        <v>15</v>
      </c>
      <c r="P185" s="13">
        <v>8</v>
      </c>
      <c r="Q185" s="13">
        <v>17</v>
      </c>
      <c r="R185" s="13">
        <v>14</v>
      </c>
      <c r="S185" s="13">
        <v>12</v>
      </c>
      <c r="T185" s="13">
        <v>16</v>
      </c>
      <c r="U185" s="13">
        <v>13</v>
      </c>
      <c r="V185" s="13">
        <v>18</v>
      </c>
      <c r="W185" s="13">
        <v>13</v>
      </c>
      <c r="X185" s="13">
        <v>13</v>
      </c>
      <c r="Y185" s="13">
        <v>9</v>
      </c>
      <c r="Z185" s="13">
        <v>10</v>
      </c>
      <c r="AA185" s="47">
        <v>12</v>
      </c>
      <c r="AB185" s="13">
        <v>11</v>
      </c>
      <c r="AC185" s="13">
        <v>13</v>
      </c>
      <c r="AD185" s="13">
        <v>13</v>
      </c>
      <c r="AE185" s="13">
        <v>7</v>
      </c>
      <c r="AF185" s="13">
        <v>11</v>
      </c>
      <c r="AG185" s="13"/>
      <c r="AH185" s="13"/>
      <c r="DK185" s="31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HK185" s="3"/>
      <c r="HL185" s="3"/>
      <c r="HM185" s="3"/>
      <c r="HN185" s="3"/>
      <c r="HO185" s="3"/>
      <c r="HP185" s="3"/>
      <c r="HQ185" s="3"/>
      <c r="HR185" s="3"/>
      <c r="HS185" s="3"/>
      <c r="HT185" s="3"/>
      <c r="HU185" s="3"/>
      <c r="HV185" s="3"/>
      <c r="HW185" s="3"/>
      <c r="HX185" s="3"/>
    </row>
    <row r="186" spans="1:232">
      <c r="A186" s="10" t="s">
        <v>297</v>
      </c>
      <c r="B186" s="11">
        <f>AVERAGE(E186:AE186)</f>
        <v>13.481481481481481</v>
      </c>
      <c r="C186" s="2">
        <f>MIN(E186:AE186)</f>
        <v>7</v>
      </c>
      <c r="D186" s="12">
        <f>MAX(E186:AE186)</f>
        <v>19</v>
      </c>
      <c r="E186" s="13">
        <v>11</v>
      </c>
      <c r="F186" s="13">
        <v>17</v>
      </c>
      <c r="G186" s="13">
        <v>10</v>
      </c>
      <c r="H186" s="13">
        <v>12</v>
      </c>
      <c r="I186" s="13">
        <v>15</v>
      </c>
      <c r="J186" s="13">
        <v>16</v>
      </c>
      <c r="K186" s="13">
        <v>13</v>
      </c>
      <c r="L186" s="13">
        <v>14</v>
      </c>
      <c r="M186" s="13">
        <v>16</v>
      </c>
      <c r="N186" s="13">
        <v>18</v>
      </c>
      <c r="O186" s="98">
        <v>16</v>
      </c>
      <c r="P186" s="21">
        <v>9</v>
      </c>
      <c r="Q186" s="13">
        <v>17</v>
      </c>
      <c r="R186" s="13">
        <v>15</v>
      </c>
      <c r="S186" s="13">
        <v>12</v>
      </c>
      <c r="T186" s="13">
        <v>16</v>
      </c>
      <c r="U186" s="13">
        <v>13</v>
      </c>
      <c r="V186" s="21">
        <v>19</v>
      </c>
      <c r="W186" s="13">
        <v>14</v>
      </c>
      <c r="X186" s="13">
        <v>13</v>
      </c>
      <c r="Y186" s="13">
        <v>9</v>
      </c>
      <c r="Z186" s="13">
        <v>10</v>
      </c>
      <c r="AA186" s="13">
        <v>13</v>
      </c>
      <c r="AB186" s="13">
        <v>11</v>
      </c>
      <c r="AC186" s="21">
        <v>14</v>
      </c>
      <c r="AD186" s="13">
        <v>14</v>
      </c>
      <c r="AE186" s="13">
        <v>7</v>
      </c>
      <c r="AF186" s="13">
        <v>11</v>
      </c>
      <c r="AG186" s="13"/>
      <c r="AH186" s="13"/>
      <c r="DK186" s="31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HK186" s="3"/>
      <c r="HL186" s="3"/>
      <c r="HM186" s="3"/>
      <c r="HN186" s="3"/>
      <c r="HO186" s="3"/>
      <c r="HP186" s="3"/>
      <c r="HQ186" s="3"/>
      <c r="HR186" s="3"/>
      <c r="HS186" s="3"/>
      <c r="HT186" s="3"/>
      <c r="HU186" s="3"/>
      <c r="HV186" s="3"/>
      <c r="HW186" s="3"/>
      <c r="HX186" s="3"/>
    </row>
    <row r="187" spans="1:232">
      <c r="A187" s="10" t="s">
        <v>298</v>
      </c>
      <c r="B187" s="11">
        <f>AVERAGE(E187:AE187)</f>
        <v>13.851851851851851</v>
      </c>
      <c r="C187" s="2">
        <f>MIN(E187:AE187)</f>
        <v>7</v>
      </c>
      <c r="D187" s="12">
        <f>MAX(E187:AE187)</f>
        <v>19</v>
      </c>
      <c r="E187" s="13">
        <v>11</v>
      </c>
      <c r="F187" s="21">
        <v>18</v>
      </c>
      <c r="G187" s="13">
        <v>10</v>
      </c>
      <c r="H187" s="13">
        <v>12</v>
      </c>
      <c r="I187" s="13">
        <v>16</v>
      </c>
      <c r="J187" s="13">
        <v>17</v>
      </c>
      <c r="K187" s="13">
        <v>14</v>
      </c>
      <c r="L187" s="13">
        <v>14</v>
      </c>
      <c r="M187" s="21">
        <v>17</v>
      </c>
      <c r="N187" s="13">
        <v>18</v>
      </c>
      <c r="O187" s="21">
        <v>17</v>
      </c>
      <c r="P187" s="21">
        <v>10</v>
      </c>
      <c r="Q187" s="13">
        <v>17</v>
      </c>
      <c r="R187" s="97">
        <v>16</v>
      </c>
      <c r="S187" s="13">
        <v>12</v>
      </c>
      <c r="T187" s="13">
        <v>16</v>
      </c>
      <c r="U187" s="13">
        <v>13</v>
      </c>
      <c r="V187" s="13">
        <v>19</v>
      </c>
      <c r="W187" s="13">
        <v>14</v>
      </c>
      <c r="X187" s="13">
        <v>13</v>
      </c>
      <c r="Y187" s="13">
        <v>9</v>
      </c>
      <c r="Z187" s="13">
        <v>10</v>
      </c>
      <c r="AA187" s="13">
        <v>13</v>
      </c>
      <c r="AB187" s="13">
        <v>12</v>
      </c>
      <c r="AC187" s="13">
        <v>14</v>
      </c>
      <c r="AD187" s="21">
        <v>15</v>
      </c>
      <c r="AE187" s="13">
        <v>7</v>
      </c>
      <c r="AF187" s="13">
        <v>12</v>
      </c>
      <c r="AG187" s="13"/>
      <c r="AH187" s="13"/>
      <c r="DK187" s="31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HK187" s="3"/>
      <c r="HL187" s="3"/>
      <c r="HM187" s="3"/>
      <c r="HN187" s="3"/>
      <c r="HO187" s="3"/>
      <c r="HP187" s="3"/>
      <c r="HQ187" s="3"/>
      <c r="HR187" s="3"/>
      <c r="HS187" s="3"/>
      <c r="HT187" s="3"/>
      <c r="HU187" s="3"/>
      <c r="HV187" s="3"/>
      <c r="HW187" s="3"/>
      <c r="HX187" s="3"/>
    </row>
    <row r="188" spans="1:232">
      <c r="A188" s="10" t="s">
        <v>299</v>
      </c>
      <c r="B188" s="11">
        <f>AVERAGE(E188:AE188)</f>
        <v>14.111111111111111</v>
      </c>
      <c r="C188" s="2">
        <f>MIN(E188:AE188)</f>
        <v>7</v>
      </c>
      <c r="D188" s="12">
        <f>MAX(E188:AE188)</f>
        <v>20</v>
      </c>
      <c r="E188" s="13">
        <v>11</v>
      </c>
      <c r="F188" s="21">
        <v>19</v>
      </c>
      <c r="G188" s="13">
        <v>10</v>
      </c>
      <c r="H188" s="13">
        <v>12</v>
      </c>
      <c r="I188" s="13">
        <v>16</v>
      </c>
      <c r="J188" s="13">
        <v>18</v>
      </c>
      <c r="K188" s="13">
        <v>14</v>
      </c>
      <c r="L188" s="13">
        <v>14</v>
      </c>
      <c r="M188" s="21">
        <v>18</v>
      </c>
      <c r="N188" s="13">
        <v>18</v>
      </c>
      <c r="O188" s="21">
        <v>18</v>
      </c>
      <c r="P188" s="13">
        <v>10</v>
      </c>
      <c r="Q188" s="13">
        <v>17</v>
      </c>
      <c r="R188" s="47">
        <v>17</v>
      </c>
      <c r="S188" s="13">
        <v>12</v>
      </c>
      <c r="T188" s="13">
        <v>16</v>
      </c>
      <c r="U188" s="13">
        <v>13</v>
      </c>
      <c r="V188" s="21">
        <v>20</v>
      </c>
      <c r="W188" s="13">
        <v>14</v>
      </c>
      <c r="X188" s="13">
        <v>13</v>
      </c>
      <c r="Y188" s="13">
        <v>9</v>
      </c>
      <c r="Z188" s="13">
        <v>11</v>
      </c>
      <c r="AA188" s="13">
        <v>13</v>
      </c>
      <c r="AB188" s="13">
        <v>12</v>
      </c>
      <c r="AC188" s="13">
        <v>14</v>
      </c>
      <c r="AD188" s="13">
        <v>15</v>
      </c>
      <c r="AE188" s="13">
        <v>7</v>
      </c>
      <c r="AF188" s="13">
        <v>12</v>
      </c>
      <c r="AG188" s="13"/>
      <c r="AH188" s="13"/>
      <c r="DK188" s="31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  <c r="EC188" s="3"/>
      <c r="ED188" s="3"/>
      <c r="EE188" s="3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HK188" s="3"/>
      <c r="HL188" s="3"/>
      <c r="HM188" s="3"/>
      <c r="HN188" s="3"/>
      <c r="HO188" s="3"/>
      <c r="HP188" s="3"/>
      <c r="HQ188" s="3"/>
      <c r="HR188" s="3"/>
      <c r="HS188" s="3"/>
      <c r="HT188" s="3"/>
      <c r="HU188" s="3"/>
      <c r="HV188" s="3"/>
      <c r="HW188" s="3"/>
      <c r="HX188" s="3"/>
    </row>
    <row r="189" spans="1:232">
      <c r="A189" s="10" t="s">
        <v>300</v>
      </c>
      <c r="B189" s="11">
        <f>AVERAGE(E189:AE189)</f>
        <v>14.296296296296296</v>
      </c>
      <c r="C189" s="2">
        <f>MIN(E189:AE189)</f>
        <v>7</v>
      </c>
      <c r="D189" s="12">
        <f>MAX(E189:AE189)</f>
        <v>21</v>
      </c>
      <c r="E189" s="13">
        <v>11</v>
      </c>
      <c r="F189" s="13">
        <v>19</v>
      </c>
      <c r="G189" s="13">
        <v>10</v>
      </c>
      <c r="H189" s="13">
        <v>12</v>
      </c>
      <c r="I189" s="13">
        <v>16</v>
      </c>
      <c r="J189" s="13">
        <v>19</v>
      </c>
      <c r="K189" s="13">
        <v>14</v>
      </c>
      <c r="L189" s="13">
        <v>14</v>
      </c>
      <c r="M189" s="13">
        <v>18</v>
      </c>
      <c r="N189" s="13">
        <v>19</v>
      </c>
      <c r="O189" s="13">
        <v>19</v>
      </c>
      <c r="P189" s="13">
        <v>10</v>
      </c>
      <c r="Q189" s="13">
        <v>17</v>
      </c>
      <c r="R189" s="13">
        <v>18</v>
      </c>
      <c r="S189" s="13">
        <v>12</v>
      </c>
      <c r="T189" s="13">
        <v>16</v>
      </c>
      <c r="U189" s="13">
        <v>13</v>
      </c>
      <c r="V189" s="13">
        <v>21</v>
      </c>
      <c r="W189" s="13">
        <v>14</v>
      </c>
      <c r="X189" s="13">
        <v>13</v>
      </c>
      <c r="Y189" s="13">
        <v>9</v>
      </c>
      <c r="Z189" s="13">
        <v>11</v>
      </c>
      <c r="AA189" s="13">
        <v>13</v>
      </c>
      <c r="AB189" s="13">
        <v>12</v>
      </c>
      <c r="AC189" s="13">
        <v>14</v>
      </c>
      <c r="AD189" s="13">
        <v>15</v>
      </c>
      <c r="AE189" s="13">
        <v>7</v>
      </c>
      <c r="AF189" s="13">
        <v>12</v>
      </c>
      <c r="AG189" s="13"/>
      <c r="AH189" s="13"/>
      <c r="DK189" s="31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  <c r="EC189" s="3"/>
      <c r="ED189" s="3"/>
      <c r="EE189" s="3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HK189" s="3"/>
      <c r="HL189" s="3"/>
      <c r="HM189" s="3"/>
      <c r="HN189" s="3"/>
      <c r="HO189" s="3"/>
      <c r="HP189" s="3"/>
      <c r="HQ189" s="3"/>
      <c r="HR189" s="3"/>
      <c r="HS189" s="3"/>
      <c r="HT189" s="3"/>
      <c r="HU189" s="3"/>
      <c r="HV189" s="3"/>
      <c r="HW189" s="3"/>
      <c r="HX189" s="3"/>
    </row>
    <row r="190" spans="1:232">
      <c r="A190" s="10" t="s">
        <v>301</v>
      </c>
      <c r="B190" s="11">
        <f>AVERAGE(E190:AE190)</f>
        <v>14.444444444444445</v>
      </c>
      <c r="C190" s="2">
        <f>MIN(E190:AE190)</f>
        <v>7</v>
      </c>
      <c r="D190" s="12">
        <f>MAX(E190:AE190)</f>
        <v>21</v>
      </c>
      <c r="E190" s="13">
        <v>11</v>
      </c>
      <c r="F190" s="13">
        <v>20</v>
      </c>
      <c r="G190" s="13">
        <v>10</v>
      </c>
      <c r="H190" s="13">
        <v>12</v>
      </c>
      <c r="I190" s="13">
        <v>17</v>
      </c>
      <c r="J190" s="13">
        <v>19</v>
      </c>
      <c r="K190" s="13">
        <v>14</v>
      </c>
      <c r="L190" s="13">
        <v>14</v>
      </c>
      <c r="M190" s="13">
        <v>18</v>
      </c>
      <c r="N190" s="13">
        <v>19</v>
      </c>
      <c r="O190" s="13">
        <v>20</v>
      </c>
      <c r="P190" s="13">
        <v>10</v>
      </c>
      <c r="Q190" s="13">
        <v>17</v>
      </c>
      <c r="R190" s="13">
        <v>18</v>
      </c>
      <c r="S190" s="13">
        <v>12</v>
      </c>
      <c r="T190" s="13">
        <v>16</v>
      </c>
      <c r="U190" s="13">
        <v>13</v>
      </c>
      <c r="V190" s="13">
        <v>21</v>
      </c>
      <c r="W190" s="13">
        <v>14</v>
      </c>
      <c r="X190" s="13">
        <v>13</v>
      </c>
      <c r="Y190" s="13">
        <v>9</v>
      </c>
      <c r="Z190" s="13">
        <v>11</v>
      </c>
      <c r="AA190" s="13">
        <v>13</v>
      </c>
      <c r="AB190" s="21">
        <v>13</v>
      </c>
      <c r="AC190" s="13">
        <v>14</v>
      </c>
      <c r="AD190" s="13">
        <v>15</v>
      </c>
      <c r="AE190" s="13">
        <v>7</v>
      </c>
      <c r="AF190" s="13">
        <v>12</v>
      </c>
      <c r="AG190" s="13"/>
      <c r="AH190" s="13"/>
      <c r="DK190" s="31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  <c r="EC190" s="3"/>
      <c r="ED190" s="3"/>
      <c r="EE190" s="3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HK190" s="3"/>
      <c r="HL190" s="3"/>
      <c r="HM190" s="3"/>
      <c r="HN190" s="3"/>
      <c r="HO190" s="3"/>
      <c r="HP190" s="3"/>
      <c r="HQ190" s="3"/>
      <c r="HR190" s="3"/>
      <c r="HS190" s="3"/>
      <c r="HT190" s="3"/>
      <c r="HU190" s="3"/>
      <c r="HV190" s="3"/>
      <c r="HW190" s="3"/>
      <c r="HX190" s="3"/>
    </row>
    <row r="191" spans="1:232">
      <c r="A191" s="10" t="s">
        <v>302</v>
      </c>
      <c r="B191" s="11">
        <f>AVERAGE(E191:AE191)</f>
        <v>14.777777777777779</v>
      </c>
      <c r="C191" s="2">
        <f>MIN(E191:AE191)</f>
        <v>7</v>
      </c>
      <c r="D191" s="12">
        <f>MAX(E191:AE191)</f>
        <v>22</v>
      </c>
      <c r="E191" s="13">
        <v>12</v>
      </c>
      <c r="F191" s="13">
        <v>20</v>
      </c>
      <c r="G191" s="13">
        <v>10</v>
      </c>
      <c r="H191" s="13">
        <v>12</v>
      </c>
      <c r="I191" s="13">
        <v>17</v>
      </c>
      <c r="J191" s="21">
        <v>20</v>
      </c>
      <c r="K191" s="13">
        <v>14</v>
      </c>
      <c r="L191" s="13">
        <v>14</v>
      </c>
      <c r="M191" s="13">
        <v>18</v>
      </c>
      <c r="N191" s="13">
        <v>19</v>
      </c>
      <c r="O191" s="13">
        <v>20</v>
      </c>
      <c r="P191" s="21">
        <v>11</v>
      </c>
      <c r="Q191" s="13">
        <v>17</v>
      </c>
      <c r="R191" s="13">
        <v>19</v>
      </c>
      <c r="S191" s="13">
        <v>12</v>
      </c>
      <c r="T191" s="13">
        <v>17</v>
      </c>
      <c r="U191" s="21">
        <v>14</v>
      </c>
      <c r="V191" s="21">
        <v>22</v>
      </c>
      <c r="W191" s="21">
        <v>15</v>
      </c>
      <c r="X191" s="21">
        <v>14</v>
      </c>
      <c r="Y191" s="13">
        <v>9</v>
      </c>
      <c r="Z191" s="13">
        <v>11</v>
      </c>
      <c r="AA191" s="13">
        <v>13</v>
      </c>
      <c r="AB191" s="13">
        <v>13</v>
      </c>
      <c r="AC191" s="13">
        <v>14</v>
      </c>
      <c r="AD191" s="13">
        <v>15</v>
      </c>
      <c r="AE191" s="13">
        <v>7</v>
      </c>
      <c r="AF191" s="13">
        <v>12</v>
      </c>
      <c r="AG191" s="13"/>
      <c r="AH191" s="13"/>
      <c r="DK191" s="31"/>
      <c r="DL191" s="3"/>
      <c r="DM191" s="3"/>
      <c r="DN191" s="3"/>
      <c r="DO191" s="3"/>
      <c r="DP191" s="3"/>
      <c r="DQ191" s="3"/>
      <c r="DR191" s="3"/>
      <c r="DS191" s="3"/>
      <c r="DT191" s="3"/>
      <c r="DU191" s="3"/>
      <c r="DV191" s="3"/>
      <c r="DW191" s="3"/>
      <c r="DX191" s="3"/>
      <c r="DY191" s="3"/>
      <c r="DZ191" s="3"/>
      <c r="EA191" s="3"/>
      <c r="EB191" s="3"/>
      <c r="EC191" s="3"/>
      <c r="ED191" s="3"/>
      <c r="EE191" s="3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  <c r="EU191" s="3"/>
      <c r="EV191" s="3"/>
      <c r="EW191" s="3"/>
      <c r="HK191" s="3"/>
      <c r="HL191" s="3"/>
      <c r="HM191" s="3"/>
      <c r="HN191" s="3"/>
      <c r="HO191" s="3"/>
      <c r="HP191" s="3"/>
      <c r="HQ191" s="3"/>
      <c r="HR191" s="3"/>
      <c r="HS191" s="3"/>
      <c r="HT191" s="3"/>
      <c r="HU191" s="3"/>
      <c r="HV191" s="3"/>
      <c r="HW191" s="3"/>
      <c r="HX191" s="3"/>
    </row>
    <row r="192" spans="1:232">
      <c r="A192" s="10" t="s">
        <v>303</v>
      </c>
      <c r="B192" s="11">
        <f>AVERAGE(E192:AE192)</f>
        <v>15.111111111111111</v>
      </c>
      <c r="C192" s="2">
        <f>MIN(E192:AE192)</f>
        <v>7</v>
      </c>
      <c r="D192" s="12">
        <f>MAX(E192:AE192)</f>
        <v>22</v>
      </c>
      <c r="E192" s="13">
        <v>13</v>
      </c>
      <c r="F192" s="13">
        <v>20</v>
      </c>
      <c r="G192" s="13">
        <v>10</v>
      </c>
      <c r="H192" s="13">
        <v>13</v>
      </c>
      <c r="I192" s="13">
        <v>17</v>
      </c>
      <c r="J192" s="13">
        <v>20</v>
      </c>
      <c r="K192" s="13">
        <v>14</v>
      </c>
      <c r="L192" s="99">
        <v>15</v>
      </c>
      <c r="M192" s="13">
        <v>18</v>
      </c>
      <c r="N192" s="13">
        <v>19</v>
      </c>
      <c r="O192" s="21">
        <v>21</v>
      </c>
      <c r="P192" s="13">
        <v>11</v>
      </c>
      <c r="Q192" s="21">
        <v>18</v>
      </c>
      <c r="R192" s="21">
        <v>20</v>
      </c>
      <c r="S192" s="13">
        <v>12</v>
      </c>
      <c r="T192" s="13">
        <v>17</v>
      </c>
      <c r="U192" s="13">
        <v>15</v>
      </c>
      <c r="V192" s="13">
        <v>22</v>
      </c>
      <c r="W192" s="13">
        <v>16</v>
      </c>
      <c r="X192" s="13">
        <v>14</v>
      </c>
      <c r="Y192" s="13">
        <v>9</v>
      </c>
      <c r="Z192" s="13">
        <v>11</v>
      </c>
      <c r="AA192" s="13">
        <v>13</v>
      </c>
      <c r="AB192" s="13">
        <v>13</v>
      </c>
      <c r="AC192" s="13">
        <v>14</v>
      </c>
      <c r="AD192" s="98">
        <v>16</v>
      </c>
      <c r="AE192" s="13">
        <v>7</v>
      </c>
      <c r="AF192" s="13">
        <v>12</v>
      </c>
      <c r="AG192" s="13"/>
      <c r="AH192" s="13"/>
      <c r="DK192" s="31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  <c r="EC192" s="3"/>
      <c r="ED192" s="3"/>
      <c r="EE192" s="3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HK192" s="3"/>
      <c r="HL192" s="3"/>
      <c r="HM192" s="3"/>
      <c r="HN192" s="3"/>
      <c r="HO192" s="3"/>
      <c r="HP192" s="3"/>
      <c r="HQ192" s="3"/>
      <c r="HR192" s="3"/>
      <c r="HS192" s="3"/>
      <c r="HT192" s="3"/>
      <c r="HU192" s="3"/>
      <c r="HV192" s="3"/>
      <c r="HW192" s="3"/>
      <c r="HX192" s="3"/>
    </row>
    <row r="193" spans="1:232">
      <c r="A193" s="10" t="s">
        <v>304</v>
      </c>
      <c r="B193" s="11">
        <f>AVERAGE(E193:AE193)</f>
        <v>15.37037037037037</v>
      </c>
      <c r="C193" s="2">
        <f>MIN(E193:AE193)</f>
        <v>8</v>
      </c>
      <c r="D193" s="12">
        <f>MAX(E193:AE193)</f>
        <v>22</v>
      </c>
      <c r="E193" s="13">
        <v>13</v>
      </c>
      <c r="F193" s="13">
        <v>20</v>
      </c>
      <c r="G193" s="47">
        <v>11</v>
      </c>
      <c r="H193" s="13">
        <v>13</v>
      </c>
      <c r="I193" s="13">
        <v>17</v>
      </c>
      <c r="J193" s="13">
        <v>20</v>
      </c>
      <c r="K193" s="21">
        <v>15</v>
      </c>
      <c r="L193" s="13">
        <v>15</v>
      </c>
      <c r="M193" s="13">
        <v>18</v>
      </c>
      <c r="N193" s="13">
        <v>19</v>
      </c>
      <c r="O193" s="13">
        <v>21</v>
      </c>
      <c r="P193" s="13">
        <v>11</v>
      </c>
      <c r="Q193" s="13">
        <v>19</v>
      </c>
      <c r="R193" s="13">
        <v>20</v>
      </c>
      <c r="S193" s="13">
        <v>12</v>
      </c>
      <c r="T193" s="21">
        <v>18</v>
      </c>
      <c r="U193" s="99">
        <v>16</v>
      </c>
      <c r="V193" s="13">
        <v>22</v>
      </c>
      <c r="W193" s="13">
        <v>17</v>
      </c>
      <c r="X193" s="13">
        <v>14</v>
      </c>
      <c r="Y193" s="13">
        <v>9</v>
      </c>
      <c r="Z193" s="13">
        <v>11</v>
      </c>
      <c r="AA193" s="13">
        <v>13</v>
      </c>
      <c r="AB193" s="13">
        <v>13</v>
      </c>
      <c r="AC193" s="13">
        <v>14</v>
      </c>
      <c r="AD193" s="13">
        <v>16</v>
      </c>
      <c r="AE193" s="21">
        <v>8</v>
      </c>
      <c r="AF193" s="13">
        <v>12</v>
      </c>
      <c r="AG193" s="13"/>
      <c r="AH193" s="13"/>
      <c r="DK193" s="31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  <c r="EC193" s="3"/>
      <c r="ED193" s="3"/>
      <c r="EE193" s="3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HK193" s="3"/>
      <c r="HL193" s="3"/>
      <c r="HM193" s="3"/>
      <c r="HN193" s="3"/>
      <c r="HO193" s="3"/>
      <c r="HP193" s="3"/>
      <c r="HQ193" s="3"/>
      <c r="HR193" s="3"/>
      <c r="HS193" s="3"/>
      <c r="HT193" s="3"/>
      <c r="HU193" s="3"/>
      <c r="HV193" s="3"/>
      <c r="HW193" s="3"/>
      <c r="HX193" s="3"/>
    </row>
    <row r="194" spans="1:232">
      <c r="A194" s="10" t="s">
        <v>305</v>
      </c>
      <c r="B194" s="11">
        <f>AVERAGE(E194:AE194)</f>
        <v>15.62962962962963</v>
      </c>
      <c r="C194" s="2">
        <f>MIN(E194:AE194)</f>
        <v>8</v>
      </c>
      <c r="D194" s="12">
        <f>MAX(E194:AE194)</f>
        <v>22</v>
      </c>
      <c r="E194" s="13">
        <v>13</v>
      </c>
      <c r="F194" s="13">
        <v>20</v>
      </c>
      <c r="G194" s="13">
        <v>12</v>
      </c>
      <c r="H194" s="13">
        <v>13</v>
      </c>
      <c r="I194" s="13">
        <v>17</v>
      </c>
      <c r="J194" s="47">
        <v>21</v>
      </c>
      <c r="K194" s="13">
        <v>15</v>
      </c>
      <c r="L194" s="21">
        <v>16</v>
      </c>
      <c r="M194" s="13">
        <v>18</v>
      </c>
      <c r="N194" s="13">
        <v>19</v>
      </c>
      <c r="O194" s="13">
        <v>21</v>
      </c>
      <c r="P194" s="13">
        <v>11</v>
      </c>
      <c r="Q194" s="13">
        <v>20</v>
      </c>
      <c r="R194" s="13">
        <v>20</v>
      </c>
      <c r="S194" s="13">
        <v>12</v>
      </c>
      <c r="T194" s="13">
        <v>19</v>
      </c>
      <c r="U194" s="47">
        <v>17</v>
      </c>
      <c r="V194" s="13">
        <v>22</v>
      </c>
      <c r="W194" s="13">
        <v>17</v>
      </c>
      <c r="X194" s="13">
        <v>14</v>
      </c>
      <c r="Y194" s="13">
        <v>9</v>
      </c>
      <c r="Z194" s="13">
        <v>11</v>
      </c>
      <c r="AA194" s="13">
        <v>14</v>
      </c>
      <c r="AB194" s="13">
        <v>13</v>
      </c>
      <c r="AC194" s="13">
        <v>14</v>
      </c>
      <c r="AD194" s="13">
        <v>16</v>
      </c>
      <c r="AE194" s="13">
        <v>8</v>
      </c>
      <c r="AF194" s="13">
        <v>12</v>
      </c>
      <c r="AG194" s="13"/>
      <c r="AH194" s="13"/>
      <c r="DK194" s="32"/>
    </row>
    <row r="195" spans="1:232">
      <c r="A195" s="10" t="s">
        <v>306</v>
      </c>
      <c r="B195" s="11">
        <f>AVERAGE(E195:AE195)</f>
        <v>15.74074074074074</v>
      </c>
      <c r="C195" s="2">
        <f>MIN(E195:AE195)</f>
        <v>8</v>
      </c>
      <c r="D195" s="12">
        <f>MAX(E195:AE195)</f>
        <v>22</v>
      </c>
      <c r="E195" s="13">
        <v>13</v>
      </c>
      <c r="F195" s="13">
        <v>20</v>
      </c>
      <c r="G195" s="13">
        <v>12</v>
      </c>
      <c r="H195" s="13">
        <v>13</v>
      </c>
      <c r="I195" s="13">
        <v>17</v>
      </c>
      <c r="J195" s="13">
        <v>21</v>
      </c>
      <c r="K195" s="13">
        <v>15</v>
      </c>
      <c r="L195" s="13">
        <v>16</v>
      </c>
      <c r="M195" s="13">
        <v>19</v>
      </c>
      <c r="N195" s="13">
        <v>19</v>
      </c>
      <c r="O195" s="13">
        <v>21</v>
      </c>
      <c r="P195" s="13">
        <v>11</v>
      </c>
      <c r="Q195" s="13">
        <v>20</v>
      </c>
      <c r="R195" s="13">
        <v>20</v>
      </c>
      <c r="S195" s="13">
        <v>12</v>
      </c>
      <c r="T195" s="13">
        <v>19</v>
      </c>
      <c r="U195" s="13">
        <v>17</v>
      </c>
      <c r="V195" s="13">
        <v>22</v>
      </c>
      <c r="W195" s="99">
        <v>18</v>
      </c>
      <c r="X195" s="13">
        <v>14</v>
      </c>
      <c r="Y195" s="13">
        <v>9</v>
      </c>
      <c r="Z195" s="13">
        <v>11</v>
      </c>
      <c r="AA195" s="13">
        <v>15</v>
      </c>
      <c r="AB195" s="13">
        <v>13</v>
      </c>
      <c r="AC195" s="13">
        <v>14</v>
      </c>
      <c r="AD195" s="13">
        <v>16</v>
      </c>
      <c r="AE195" s="13">
        <v>8</v>
      </c>
      <c r="AF195" s="13">
        <v>12</v>
      </c>
      <c r="AG195" s="13"/>
      <c r="AH195" s="13"/>
      <c r="DK195" s="32"/>
    </row>
    <row r="196" spans="1:232">
      <c r="A196" s="10" t="s">
        <v>307</v>
      </c>
      <c r="B196" s="11">
        <f>AVERAGE(E196:AE196)</f>
        <v>15.962962962962964</v>
      </c>
      <c r="C196" s="2">
        <f>MIN(E196:AE196)</f>
        <v>8</v>
      </c>
      <c r="D196" s="12">
        <f>MAX(E196:AE196)</f>
        <v>22</v>
      </c>
      <c r="E196" s="13">
        <v>13</v>
      </c>
      <c r="F196" s="13">
        <v>20</v>
      </c>
      <c r="G196" s="13">
        <v>12</v>
      </c>
      <c r="H196" s="47">
        <v>14</v>
      </c>
      <c r="I196" s="13">
        <v>17</v>
      </c>
      <c r="J196" s="13">
        <v>21</v>
      </c>
      <c r="K196" s="13">
        <v>16</v>
      </c>
      <c r="L196" s="13">
        <v>16</v>
      </c>
      <c r="M196" s="13">
        <v>19</v>
      </c>
      <c r="N196" s="13">
        <v>19</v>
      </c>
      <c r="O196" s="13">
        <v>21</v>
      </c>
      <c r="P196" s="13">
        <v>11</v>
      </c>
      <c r="Q196" s="13">
        <v>21</v>
      </c>
      <c r="R196" s="13">
        <v>21</v>
      </c>
      <c r="S196" s="13">
        <v>12</v>
      </c>
      <c r="T196" s="13">
        <v>19</v>
      </c>
      <c r="U196" s="13">
        <v>17</v>
      </c>
      <c r="V196" s="13">
        <v>22</v>
      </c>
      <c r="W196" s="13">
        <v>18</v>
      </c>
      <c r="X196" s="13">
        <v>14</v>
      </c>
      <c r="Y196" s="13">
        <v>9</v>
      </c>
      <c r="Z196" s="13">
        <v>11</v>
      </c>
      <c r="AA196" s="13">
        <v>15</v>
      </c>
      <c r="AB196" s="13">
        <v>13</v>
      </c>
      <c r="AC196" s="13">
        <v>15</v>
      </c>
      <c r="AD196" s="98">
        <v>17</v>
      </c>
      <c r="AE196" s="13">
        <v>8</v>
      </c>
      <c r="AF196" s="13">
        <v>12</v>
      </c>
      <c r="AG196" s="13"/>
      <c r="AH196" s="13"/>
      <c r="DK196" s="32"/>
    </row>
    <row r="197" spans="1:232">
      <c r="A197" s="10" t="s">
        <v>308</v>
      </c>
      <c r="B197" s="11">
        <f>AVERAGE(E197:AE197)</f>
        <v>16.333333333333332</v>
      </c>
      <c r="C197" s="2">
        <f>MIN(E197:AE197)</f>
        <v>8</v>
      </c>
      <c r="D197" s="12">
        <f>MAX(E197:AE197)</f>
        <v>22</v>
      </c>
      <c r="E197" s="13">
        <v>13</v>
      </c>
      <c r="F197" s="13">
        <v>20</v>
      </c>
      <c r="G197" s="13">
        <v>12</v>
      </c>
      <c r="H197" s="13">
        <v>14</v>
      </c>
      <c r="I197" s="13">
        <v>17</v>
      </c>
      <c r="J197" s="21">
        <v>22</v>
      </c>
      <c r="K197" s="13">
        <v>16</v>
      </c>
      <c r="L197" s="21">
        <v>17</v>
      </c>
      <c r="M197" s="13">
        <v>20</v>
      </c>
      <c r="N197" s="13">
        <v>20</v>
      </c>
      <c r="O197" s="13">
        <v>21</v>
      </c>
      <c r="P197" s="13">
        <v>11</v>
      </c>
      <c r="Q197" s="13">
        <v>22</v>
      </c>
      <c r="R197" s="13">
        <v>21</v>
      </c>
      <c r="S197" s="13">
        <v>12</v>
      </c>
      <c r="T197" s="13">
        <v>20</v>
      </c>
      <c r="U197" s="13">
        <v>17</v>
      </c>
      <c r="V197" s="13">
        <v>22</v>
      </c>
      <c r="W197" s="21">
        <v>19</v>
      </c>
      <c r="X197" s="21">
        <v>15</v>
      </c>
      <c r="Y197" s="13">
        <v>9</v>
      </c>
      <c r="Z197" s="13">
        <v>11</v>
      </c>
      <c r="AA197" s="13">
        <v>16</v>
      </c>
      <c r="AB197" s="13">
        <v>13</v>
      </c>
      <c r="AC197" s="13">
        <v>15</v>
      </c>
      <c r="AD197" s="98">
        <v>18</v>
      </c>
      <c r="AE197" s="13">
        <v>8</v>
      </c>
      <c r="AF197" s="13">
        <v>12</v>
      </c>
      <c r="AG197" s="13"/>
      <c r="AH197" s="13"/>
      <c r="DK197" s="32"/>
    </row>
    <row r="198" spans="1:232">
      <c r="A198" s="10" t="s">
        <v>309</v>
      </c>
      <c r="B198" s="11">
        <f>AVERAGE(E198:AE198)</f>
        <v>16.518518518518519</v>
      </c>
      <c r="C198" s="2">
        <f>MIN(E198:AE198)</f>
        <v>8</v>
      </c>
      <c r="D198" s="12">
        <f>MAX(E198:AE198)</f>
        <v>22</v>
      </c>
      <c r="E198" s="13">
        <v>13</v>
      </c>
      <c r="F198" s="13">
        <v>20</v>
      </c>
      <c r="G198" s="13">
        <v>12</v>
      </c>
      <c r="H198" s="13">
        <v>14</v>
      </c>
      <c r="I198" s="13">
        <v>17</v>
      </c>
      <c r="J198" s="13">
        <v>22</v>
      </c>
      <c r="K198" s="13">
        <v>16</v>
      </c>
      <c r="L198" s="13">
        <v>18</v>
      </c>
      <c r="M198" s="13">
        <v>20</v>
      </c>
      <c r="N198" s="13">
        <v>20</v>
      </c>
      <c r="O198" s="13">
        <v>21</v>
      </c>
      <c r="P198" s="13">
        <v>11</v>
      </c>
      <c r="Q198" s="13">
        <v>22</v>
      </c>
      <c r="R198" s="13">
        <v>22</v>
      </c>
      <c r="S198" s="13">
        <v>12</v>
      </c>
      <c r="T198" s="13">
        <v>20</v>
      </c>
      <c r="U198" s="13">
        <v>17</v>
      </c>
      <c r="V198" s="13">
        <v>22</v>
      </c>
      <c r="W198" s="13">
        <v>19</v>
      </c>
      <c r="X198" s="13">
        <v>15</v>
      </c>
      <c r="Y198" s="21">
        <v>10</v>
      </c>
      <c r="Z198" s="13">
        <v>11</v>
      </c>
      <c r="AA198" s="13">
        <v>16</v>
      </c>
      <c r="AB198" s="13">
        <v>13</v>
      </c>
      <c r="AC198" s="21">
        <v>16</v>
      </c>
      <c r="AD198" s="98">
        <v>19</v>
      </c>
      <c r="AE198" s="13">
        <v>8</v>
      </c>
      <c r="AF198" s="13">
        <v>12</v>
      </c>
      <c r="AG198" s="13"/>
      <c r="AH198" s="13"/>
      <c r="DK198" s="32"/>
    </row>
    <row r="199" spans="1:232">
      <c r="A199" s="10" t="s">
        <v>310</v>
      </c>
      <c r="B199" s="11">
        <f>AVERAGE(E199:AE199)</f>
        <v>16.74074074074074</v>
      </c>
      <c r="C199" s="2">
        <f>MIN(E199:AE199)</f>
        <v>8</v>
      </c>
      <c r="D199" s="12">
        <f>MAX(E199:AE199)</f>
        <v>23</v>
      </c>
      <c r="E199" s="21">
        <v>14</v>
      </c>
      <c r="F199" s="13">
        <v>20</v>
      </c>
      <c r="G199" s="13">
        <v>12</v>
      </c>
      <c r="H199" s="13">
        <v>15</v>
      </c>
      <c r="I199" s="13">
        <v>17</v>
      </c>
      <c r="J199" s="13">
        <v>22</v>
      </c>
      <c r="K199" s="13">
        <v>16</v>
      </c>
      <c r="L199" s="13">
        <v>19</v>
      </c>
      <c r="M199" s="13">
        <v>20</v>
      </c>
      <c r="N199" s="13">
        <v>20</v>
      </c>
      <c r="O199" s="13">
        <v>21</v>
      </c>
      <c r="P199" s="13">
        <v>11</v>
      </c>
      <c r="Q199" s="21">
        <v>23</v>
      </c>
      <c r="R199" s="13">
        <v>22</v>
      </c>
      <c r="S199" s="13">
        <v>12</v>
      </c>
      <c r="T199" s="13">
        <v>20</v>
      </c>
      <c r="U199" s="13">
        <v>17</v>
      </c>
      <c r="V199" s="13">
        <v>23</v>
      </c>
      <c r="W199" s="13">
        <v>19</v>
      </c>
      <c r="X199" s="13">
        <v>15</v>
      </c>
      <c r="Y199" s="13">
        <v>10</v>
      </c>
      <c r="Z199" s="13">
        <v>11</v>
      </c>
      <c r="AA199" s="47">
        <v>17</v>
      </c>
      <c r="AB199" s="13">
        <v>13</v>
      </c>
      <c r="AC199" s="13">
        <v>16</v>
      </c>
      <c r="AD199" s="13">
        <v>19</v>
      </c>
      <c r="AE199" s="13">
        <v>8</v>
      </c>
      <c r="AF199" s="13">
        <v>12</v>
      </c>
      <c r="AG199" s="13"/>
      <c r="AH199" s="13"/>
      <c r="DK199" s="32"/>
    </row>
    <row r="200" spans="1:232">
      <c r="A200" s="10" t="s">
        <v>311</v>
      </c>
      <c r="B200" s="11">
        <f>AVERAGE(E200:AE200)</f>
        <v>16.962962962962962</v>
      </c>
      <c r="C200" s="2">
        <f>MIN(E200:AE200)</f>
        <v>8</v>
      </c>
      <c r="D200" s="12">
        <f>MAX(E200:AE200)</f>
        <v>23</v>
      </c>
      <c r="E200" s="13">
        <v>15</v>
      </c>
      <c r="F200" s="21">
        <v>21</v>
      </c>
      <c r="G200" s="13">
        <v>12</v>
      </c>
      <c r="H200" s="13">
        <v>16</v>
      </c>
      <c r="I200" s="13">
        <v>17</v>
      </c>
      <c r="J200" s="13">
        <v>22</v>
      </c>
      <c r="K200" s="13">
        <v>17</v>
      </c>
      <c r="L200" s="13">
        <v>19</v>
      </c>
      <c r="M200" s="13">
        <v>20</v>
      </c>
      <c r="N200" s="13">
        <v>20</v>
      </c>
      <c r="O200" s="13">
        <v>21</v>
      </c>
      <c r="P200" s="13">
        <v>11</v>
      </c>
      <c r="Q200" s="13">
        <v>23</v>
      </c>
      <c r="R200" s="13">
        <v>22</v>
      </c>
      <c r="S200" s="13">
        <v>12</v>
      </c>
      <c r="T200" s="13">
        <v>21</v>
      </c>
      <c r="U200" s="13">
        <v>17</v>
      </c>
      <c r="V200" s="13">
        <v>23</v>
      </c>
      <c r="W200" s="13">
        <v>19</v>
      </c>
      <c r="X200" s="13">
        <v>15</v>
      </c>
      <c r="Y200" s="13">
        <v>10</v>
      </c>
      <c r="Z200" s="13">
        <v>11</v>
      </c>
      <c r="AA200" s="13">
        <v>17</v>
      </c>
      <c r="AB200" s="13">
        <v>14</v>
      </c>
      <c r="AC200" s="13">
        <v>16</v>
      </c>
      <c r="AD200" s="13">
        <v>19</v>
      </c>
      <c r="AE200" s="13">
        <v>8</v>
      </c>
      <c r="AF200" s="13">
        <v>13</v>
      </c>
      <c r="AG200" s="13"/>
      <c r="AH200" s="13"/>
      <c r="DK200" s="32"/>
    </row>
    <row r="201" spans="1:232">
      <c r="A201" s="10" t="s">
        <v>312</v>
      </c>
      <c r="B201" s="11">
        <f>AVERAGE(E201:AE201)</f>
        <v>17.222222222222221</v>
      </c>
      <c r="C201" s="2">
        <f>MIN(E201:AE201)</f>
        <v>9</v>
      </c>
      <c r="D201" s="12">
        <f>MAX(E201:AE201)</f>
        <v>23</v>
      </c>
      <c r="E201" s="13">
        <v>15</v>
      </c>
      <c r="F201" s="13">
        <v>21</v>
      </c>
      <c r="G201" s="47">
        <v>13</v>
      </c>
      <c r="H201" s="13">
        <v>16</v>
      </c>
      <c r="I201" s="13">
        <v>17</v>
      </c>
      <c r="J201" s="13">
        <v>22</v>
      </c>
      <c r="K201" s="13">
        <v>18</v>
      </c>
      <c r="L201" s="13">
        <v>19</v>
      </c>
      <c r="M201" s="13">
        <v>20</v>
      </c>
      <c r="N201" s="13">
        <v>20</v>
      </c>
      <c r="O201" s="13">
        <v>21</v>
      </c>
      <c r="P201" s="13">
        <v>12</v>
      </c>
      <c r="Q201" s="13">
        <v>23</v>
      </c>
      <c r="R201" s="13">
        <v>23</v>
      </c>
      <c r="S201" s="13">
        <v>12</v>
      </c>
      <c r="T201" s="13">
        <v>21</v>
      </c>
      <c r="U201" s="13">
        <v>17</v>
      </c>
      <c r="V201" s="13">
        <v>23</v>
      </c>
      <c r="W201" s="13">
        <v>19</v>
      </c>
      <c r="X201" s="13">
        <v>16</v>
      </c>
      <c r="Y201" s="13">
        <v>10</v>
      </c>
      <c r="Z201" s="13">
        <v>11</v>
      </c>
      <c r="AA201" s="13">
        <v>18</v>
      </c>
      <c r="AB201" s="13">
        <v>14</v>
      </c>
      <c r="AC201" s="13">
        <v>16</v>
      </c>
      <c r="AD201" s="13">
        <v>19</v>
      </c>
      <c r="AE201" s="13">
        <v>9</v>
      </c>
      <c r="AF201" s="13">
        <v>13</v>
      </c>
      <c r="AG201" s="13"/>
      <c r="AH201" s="13"/>
      <c r="DK201" s="32"/>
    </row>
    <row r="202" spans="1:232">
      <c r="A202" s="10" t="s">
        <v>313</v>
      </c>
      <c r="B202" s="11">
        <f>AVERAGE(E202:AE202)</f>
        <v>17.37037037037037</v>
      </c>
      <c r="C202" s="2">
        <f>MIN(E202:AE202)</f>
        <v>10</v>
      </c>
      <c r="D202" s="12">
        <f>MAX(E202:AE202)</f>
        <v>23</v>
      </c>
      <c r="E202" s="13">
        <v>15</v>
      </c>
      <c r="F202" s="13">
        <v>21</v>
      </c>
      <c r="G202" s="13">
        <v>13</v>
      </c>
      <c r="H202" s="99">
        <v>17</v>
      </c>
      <c r="I202" s="13">
        <v>17</v>
      </c>
      <c r="J202" s="13">
        <v>22</v>
      </c>
      <c r="K202" s="21">
        <v>19</v>
      </c>
      <c r="L202" s="13">
        <v>19</v>
      </c>
      <c r="M202" s="13">
        <v>20</v>
      </c>
      <c r="N202" s="13">
        <v>20</v>
      </c>
      <c r="O202" s="13">
        <v>21</v>
      </c>
      <c r="P202" s="13">
        <v>12</v>
      </c>
      <c r="Q202" s="13">
        <v>23</v>
      </c>
      <c r="R202" s="13">
        <v>23</v>
      </c>
      <c r="S202" s="13">
        <v>12</v>
      </c>
      <c r="T202" s="13">
        <v>21</v>
      </c>
      <c r="U202" s="13">
        <v>17</v>
      </c>
      <c r="V202" s="13">
        <v>23</v>
      </c>
      <c r="W202" s="13">
        <v>19</v>
      </c>
      <c r="X202" s="13">
        <v>16</v>
      </c>
      <c r="Y202" s="13">
        <v>10</v>
      </c>
      <c r="Z202" s="21">
        <v>12</v>
      </c>
      <c r="AA202" s="13">
        <v>18</v>
      </c>
      <c r="AB202" s="13">
        <v>14</v>
      </c>
      <c r="AC202" s="13">
        <v>16</v>
      </c>
      <c r="AD202" s="13">
        <v>19</v>
      </c>
      <c r="AE202" s="21">
        <v>10</v>
      </c>
      <c r="AF202" s="13">
        <v>13</v>
      </c>
      <c r="AG202" s="13"/>
      <c r="AH202" s="13"/>
      <c r="DK202" s="32"/>
    </row>
    <row r="203" spans="1:232">
      <c r="A203" s="10" t="s">
        <v>314</v>
      </c>
      <c r="B203" s="11">
        <f>AVERAGE(E203:AE203)</f>
        <v>17.592592592592592</v>
      </c>
      <c r="C203" s="2">
        <f>MIN(E203:AE203)</f>
        <v>10</v>
      </c>
      <c r="D203" s="12">
        <f>MAX(E203:AE203)</f>
        <v>24</v>
      </c>
      <c r="E203" s="13">
        <v>15</v>
      </c>
      <c r="F203" s="13">
        <v>21</v>
      </c>
      <c r="G203" s="13">
        <v>13</v>
      </c>
      <c r="H203" s="13">
        <v>17</v>
      </c>
      <c r="I203" s="99">
        <v>18</v>
      </c>
      <c r="J203" s="13">
        <v>22</v>
      </c>
      <c r="K203" s="13">
        <v>19</v>
      </c>
      <c r="L203" s="13">
        <v>19</v>
      </c>
      <c r="M203" s="13">
        <v>20</v>
      </c>
      <c r="N203" s="13">
        <v>20</v>
      </c>
      <c r="O203" s="13">
        <v>22</v>
      </c>
      <c r="P203" s="13">
        <v>13</v>
      </c>
      <c r="Q203" s="13">
        <v>23</v>
      </c>
      <c r="R203" s="13">
        <v>23</v>
      </c>
      <c r="S203" s="13">
        <v>12</v>
      </c>
      <c r="T203" s="13">
        <v>22</v>
      </c>
      <c r="U203" s="13">
        <v>17</v>
      </c>
      <c r="V203" s="13">
        <v>24</v>
      </c>
      <c r="W203" s="21">
        <v>20</v>
      </c>
      <c r="X203" s="13">
        <v>16</v>
      </c>
      <c r="Y203" s="13">
        <v>10</v>
      </c>
      <c r="Z203" s="13">
        <v>12</v>
      </c>
      <c r="AA203" s="13">
        <v>18</v>
      </c>
      <c r="AB203" s="13">
        <v>14</v>
      </c>
      <c r="AC203" s="13">
        <v>16</v>
      </c>
      <c r="AD203" s="13">
        <v>19</v>
      </c>
      <c r="AE203" s="13">
        <v>10</v>
      </c>
      <c r="AF203" s="13">
        <v>13</v>
      </c>
      <c r="AG203" s="13"/>
      <c r="AH203" s="13"/>
      <c r="DK203" s="32"/>
    </row>
    <row r="204" spans="1:232">
      <c r="A204" s="10" t="s">
        <v>315</v>
      </c>
      <c r="B204" s="11">
        <f>AVERAGE(E204:AE204)</f>
        <v>17.666666666666668</v>
      </c>
      <c r="C204" s="2">
        <f>MIN(E204:AE204)</f>
        <v>10</v>
      </c>
      <c r="D204" s="12">
        <f>MAX(E204:AE204)</f>
        <v>24</v>
      </c>
      <c r="E204" s="13">
        <v>15</v>
      </c>
      <c r="F204" s="13">
        <v>21</v>
      </c>
      <c r="G204" s="13">
        <v>13</v>
      </c>
      <c r="H204" s="13">
        <v>17</v>
      </c>
      <c r="I204" s="13">
        <v>18</v>
      </c>
      <c r="J204" s="13">
        <v>22</v>
      </c>
      <c r="K204" s="13">
        <v>19</v>
      </c>
      <c r="L204" s="13">
        <v>19</v>
      </c>
      <c r="M204" s="13">
        <v>20</v>
      </c>
      <c r="N204" s="13">
        <v>20</v>
      </c>
      <c r="O204" s="13">
        <v>23</v>
      </c>
      <c r="P204" s="13">
        <v>13</v>
      </c>
      <c r="Q204" s="13">
        <v>23</v>
      </c>
      <c r="R204" s="13">
        <v>23</v>
      </c>
      <c r="S204" s="13">
        <v>12</v>
      </c>
      <c r="T204" s="13">
        <v>22</v>
      </c>
      <c r="U204" s="13">
        <v>18</v>
      </c>
      <c r="V204" s="13">
        <v>24</v>
      </c>
      <c r="W204" s="13">
        <v>20</v>
      </c>
      <c r="X204" s="13">
        <v>16</v>
      </c>
      <c r="Y204" s="13">
        <v>10</v>
      </c>
      <c r="Z204" s="13">
        <v>12</v>
      </c>
      <c r="AA204" s="13">
        <v>18</v>
      </c>
      <c r="AB204" s="13">
        <v>14</v>
      </c>
      <c r="AC204" s="13">
        <v>16</v>
      </c>
      <c r="AD204" s="13">
        <v>19</v>
      </c>
      <c r="AE204" s="13">
        <v>10</v>
      </c>
      <c r="AF204" s="13">
        <v>13</v>
      </c>
      <c r="AG204" s="13"/>
      <c r="AH204" s="13"/>
      <c r="DK204" s="32"/>
    </row>
    <row r="205" spans="1:232">
      <c r="A205" s="10" t="s">
        <v>316</v>
      </c>
      <c r="B205" s="11">
        <f>AVERAGE(E205:AE205)</f>
        <v>17.814814814814813</v>
      </c>
      <c r="C205" s="2">
        <f>MIN(E205:AE205)</f>
        <v>10</v>
      </c>
      <c r="D205" s="12">
        <f>MAX(E205:AE205)</f>
        <v>24</v>
      </c>
      <c r="E205" s="13">
        <v>15</v>
      </c>
      <c r="F205" s="13">
        <v>21</v>
      </c>
      <c r="G205" s="13">
        <v>13</v>
      </c>
      <c r="H205" s="13">
        <v>17</v>
      </c>
      <c r="I205" s="13">
        <v>18</v>
      </c>
      <c r="J205" s="13">
        <v>22</v>
      </c>
      <c r="K205" s="13">
        <v>20</v>
      </c>
      <c r="L205" s="13">
        <v>19</v>
      </c>
      <c r="M205" s="13">
        <v>21</v>
      </c>
      <c r="N205" s="13">
        <v>20</v>
      </c>
      <c r="O205" s="13">
        <v>23</v>
      </c>
      <c r="P205" s="13">
        <v>13</v>
      </c>
      <c r="Q205" s="13">
        <v>23</v>
      </c>
      <c r="R205" s="13">
        <v>23</v>
      </c>
      <c r="S205" s="13">
        <v>12</v>
      </c>
      <c r="T205" s="13">
        <v>22</v>
      </c>
      <c r="U205" s="13">
        <v>19</v>
      </c>
      <c r="V205" s="13">
        <v>24</v>
      </c>
      <c r="W205" s="13">
        <v>20</v>
      </c>
      <c r="X205" s="13">
        <v>16</v>
      </c>
      <c r="Y205" s="13">
        <v>10</v>
      </c>
      <c r="Z205" s="13">
        <v>13</v>
      </c>
      <c r="AA205" s="13">
        <v>18</v>
      </c>
      <c r="AB205" s="13">
        <v>14</v>
      </c>
      <c r="AC205" s="13">
        <v>16</v>
      </c>
      <c r="AD205" s="13">
        <v>19</v>
      </c>
      <c r="AE205" s="13">
        <v>10</v>
      </c>
      <c r="AF205" s="13">
        <v>13</v>
      </c>
      <c r="AG205" s="13"/>
      <c r="AH205" s="13"/>
      <c r="DK205" s="32"/>
    </row>
    <row r="206" spans="1:232">
      <c r="A206" s="10" t="s">
        <v>317</v>
      </c>
      <c r="B206" s="11">
        <f>AVERAGE(E206:AE206)</f>
        <v>18</v>
      </c>
      <c r="C206" s="2">
        <f>MIN(E206:AE206)</f>
        <v>10</v>
      </c>
      <c r="D206" s="12">
        <f>MAX(E206:AE206)</f>
        <v>24</v>
      </c>
      <c r="E206" s="99">
        <v>16</v>
      </c>
      <c r="F206" s="13">
        <v>21</v>
      </c>
      <c r="G206" s="13">
        <v>13</v>
      </c>
      <c r="H206" s="13">
        <v>17</v>
      </c>
      <c r="I206" s="13">
        <v>18</v>
      </c>
      <c r="J206" s="13">
        <v>23</v>
      </c>
      <c r="K206" s="13">
        <v>20</v>
      </c>
      <c r="L206" s="13">
        <v>19</v>
      </c>
      <c r="M206" s="47">
        <v>22</v>
      </c>
      <c r="N206" s="13">
        <v>20</v>
      </c>
      <c r="O206" s="13">
        <v>23</v>
      </c>
      <c r="P206" s="13">
        <v>13</v>
      </c>
      <c r="Q206" s="13">
        <v>24</v>
      </c>
      <c r="R206" s="13">
        <v>23</v>
      </c>
      <c r="S206" s="13">
        <v>12</v>
      </c>
      <c r="T206" s="13">
        <v>22</v>
      </c>
      <c r="U206" s="13">
        <v>19</v>
      </c>
      <c r="V206" s="13">
        <v>24</v>
      </c>
      <c r="W206" s="13">
        <v>21</v>
      </c>
      <c r="X206" s="13">
        <v>16</v>
      </c>
      <c r="Y206" s="13">
        <v>10</v>
      </c>
      <c r="Z206" s="13">
        <v>13</v>
      </c>
      <c r="AA206" s="13">
        <v>18</v>
      </c>
      <c r="AB206" s="13">
        <v>14</v>
      </c>
      <c r="AC206" s="13">
        <v>16</v>
      </c>
      <c r="AD206" s="13">
        <v>19</v>
      </c>
      <c r="AE206" s="13">
        <v>10</v>
      </c>
      <c r="AF206" s="13">
        <v>13</v>
      </c>
      <c r="AG206" s="13"/>
      <c r="AH206" s="13"/>
      <c r="DK206" s="32"/>
    </row>
    <row r="207" spans="1:232">
      <c r="A207" s="10" t="s">
        <v>318</v>
      </c>
      <c r="B207" s="11">
        <f>AVERAGE(E207:AE207)</f>
        <v>18.296296296296298</v>
      </c>
      <c r="C207" s="2">
        <f>MIN(E207:AE207)</f>
        <v>11</v>
      </c>
      <c r="D207" s="12">
        <f>MAX(E207:AE207)</f>
        <v>24</v>
      </c>
      <c r="E207" s="13">
        <v>16</v>
      </c>
      <c r="F207" s="13">
        <v>21</v>
      </c>
      <c r="G207" s="13">
        <v>13</v>
      </c>
      <c r="H207" s="13">
        <v>18</v>
      </c>
      <c r="I207" s="21">
        <v>19</v>
      </c>
      <c r="J207" s="13">
        <v>23</v>
      </c>
      <c r="K207" s="13">
        <v>20</v>
      </c>
      <c r="L207" s="21">
        <v>20</v>
      </c>
      <c r="M207" s="13">
        <v>22</v>
      </c>
      <c r="N207" s="13">
        <v>20</v>
      </c>
      <c r="O207" s="13">
        <v>23</v>
      </c>
      <c r="P207" s="13">
        <v>13</v>
      </c>
      <c r="Q207" s="13">
        <v>24</v>
      </c>
      <c r="R207" s="13">
        <v>24</v>
      </c>
      <c r="S207" s="13">
        <v>12</v>
      </c>
      <c r="T207" s="21">
        <v>23</v>
      </c>
      <c r="U207" s="13">
        <v>19</v>
      </c>
      <c r="V207" s="13">
        <v>24</v>
      </c>
      <c r="W207" s="13">
        <v>21</v>
      </c>
      <c r="X207" s="13">
        <v>16</v>
      </c>
      <c r="Y207" s="21">
        <v>11</v>
      </c>
      <c r="Z207" s="13">
        <v>13</v>
      </c>
      <c r="AA207" s="13">
        <v>18</v>
      </c>
      <c r="AB207" s="13">
        <v>15</v>
      </c>
      <c r="AC207" s="13">
        <v>16</v>
      </c>
      <c r="AD207" s="13">
        <v>19</v>
      </c>
      <c r="AE207" s="13">
        <v>11</v>
      </c>
      <c r="AF207" s="13">
        <v>13</v>
      </c>
      <c r="AG207" s="13"/>
      <c r="AH207" s="13"/>
      <c r="DK207" s="32"/>
    </row>
    <row r="208" spans="1:232">
      <c r="A208" s="10" t="s">
        <v>319</v>
      </c>
      <c r="B208" s="11">
        <f>AVERAGE(E208:AE208)</f>
        <v>18.555555555555557</v>
      </c>
      <c r="C208" s="2">
        <f>MIN(E208:AE208)</f>
        <v>11</v>
      </c>
      <c r="D208" s="12">
        <f>MAX(E208:AE208)</f>
        <v>24</v>
      </c>
      <c r="E208" s="13">
        <v>16</v>
      </c>
      <c r="F208" s="13">
        <v>21</v>
      </c>
      <c r="G208" s="13">
        <v>13</v>
      </c>
      <c r="H208" s="13">
        <v>18</v>
      </c>
      <c r="I208" s="99">
        <v>20</v>
      </c>
      <c r="J208" s="47">
        <v>24</v>
      </c>
      <c r="K208" s="13">
        <v>20</v>
      </c>
      <c r="L208" s="13">
        <v>20</v>
      </c>
      <c r="M208" s="13">
        <v>23</v>
      </c>
      <c r="N208" s="13">
        <v>20</v>
      </c>
      <c r="O208" s="13">
        <v>23</v>
      </c>
      <c r="P208" s="98">
        <v>14</v>
      </c>
      <c r="Q208" s="13">
        <v>24</v>
      </c>
      <c r="R208" s="13">
        <v>24</v>
      </c>
      <c r="S208" s="13">
        <v>12</v>
      </c>
      <c r="T208" s="13">
        <v>23</v>
      </c>
      <c r="U208" s="13">
        <v>20</v>
      </c>
      <c r="V208" s="13">
        <v>24</v>
      </c>
      <c r="W208" s="13">
        <v>22</v>
      </c>
      <c r="X208" s="13">
        <v>16</v>
      </c>
      <c r="Y208" s="13">
        <v>11</v>
      </c>
      <c r="Z208" s="13">
        <v>13</v>
      </c>
      <c r="AA208" s="13">
        <v>18</v>
      </c>
      <c r="AB208" s="13">
        <v>15</v>
      </c>
      <c r="AC208" s="13">
        <v>16</v>
      </c>
      <c r="AD208" s="13">
        <v>19</v>
      </c>
      <c r="AE208" s="2">
        <v>12</v>
      </c>
      <c r="AF208" s="13">
        <v>13</v>
      </c>
      <c r="AG208" s="13"/>
      <c r="AH208" s="13"/>
      <c r="DK208" s="32"/>
    </row>
    <row r="209" spans="1:115">
      <c r="A209" s="10" t="s">
        <v>320</v>
      </c>
      <c r="B209" s="11">
        <f>AVERAGE(E209:AE209)</f>
        <v>18.814814814814813</v>
      </c>
      <c r="C209" s="2">
        <f>MIN(E209:AE209)</f>
        <v>11</v>
      </c>
      <c r="D209" s="12">
        <f>MAX(E209:AE209)</f>
        <v>25</v>
      </c>
      <c r="E209" s="13">
        <v>16</v>
      </c>
      <c r="F209" s="13">
        <v>21</v>
      </c>
      <c r="G209" s="13">
        <v>13</v>
      </c>
      <c r="H209" s="13">
        <v>18</v>
      </c>
      <c r="I209" s="13">
        <v>21</v>
      </c>
      <c r="J209" s="13">
        <v>25</v>
      </c>
      <c r="K209" s="13">
        <v>20</v>
      </c>
      <c r="L209" s="13">
        <v>21</v>
      </c>
      <c r="M209" s="13">
        <v>23</v>
      </c>
      <c r="N209" s="13">
        <v>20</v>
      </c>
      <c r="O209" s="47">
        <v>24</v>
      </c>
      <c r="P209" s="13">
        <v>15</v>
      </c>
      <c r="Q209" s="13">
        <v>24</v>
      </c>
      <c r="R209" s="13">
        <v>24</v>
      </c>
      <c r="S209" s="13">
        <v>12</v>
      </c>
      <c r="T209" s="13">
        <v>23</v>
      </c>
      <c r="U209" s="13">
        <v>20</v>
      </c>
      <c r="V209" s="13">
        <v>25</v>
      </c>
      <c r="W209" s="21">
        <v>23</v>
      </c>
      <c r="X209" s="13">
        <v>16</v>
      </c>
      <c r="Y209" s="13">
        <v>11</v>
      </c>
      <c r="Z209" s="13">
        <v>13</v>
      </c>
      <c r="AA209" s="13">
        <v>18</v>
      </c>
      <c r="AB209" s="13">
        <v>15</v>
      </c>
      <c r="AC209" s="13">
        <v>16</v>
      </c>
      <c r="AD209" s="13">
        <v>19</v>
      </c>
      <c r="AE209" s="13">
        <v>12</v>
      </c>
      <c r="AF209" s="13">
        <v>13</v>
      </c>
      <c r="AG209" s="13"/>
      <c r="AH209" s="13"/>
      <c r="DK209" s="32"/>
    </row>
    <row r="210" spans="1:115">
      <c r="A210" s="10" t="s">
        <v>321</v>
      </c>
      <c r="B210" s="11">
        <f>AVERAGE(E210:AE210)</f>
        <v>18.962962962962962</v>
      </c>
      <c r="C210" s="2">
        <f>MIN(E210:AE210)</f>
        <v>11</v>
      </c>
      <c r="D210" s="12">
        <f>MAX(E210:AE210)</f>
        <v>25</v>
      </c>
      <c r="E210" s="13">
        <v>16</v>
      </c>
      <c r="F210" s="13">
        <v>21</v>
      </c>
      <c r="G210" s="13">
        <v>13</v>
      </c>
      <c r="H210" s="13">
        <v>18</v>
      </c>
      <c r="I210" s="13">
        <v>22</v>
      </c>
      <c r="J210" s="13">
        <v>25</v>
      </c>
      <c r="K210" s="13">
        <v>20</v>
      </c>
      <c r="L210" s="13">
        <v>21</v>
      </c>
      <c r="M210" s="13">
        <v>23</v>
      </c>
      <c r="N210" s="13">
        <v>20</v>
      </c>
      <c r="O210" s="13">
        <v>24</v>
      </c>
      <c r="P210" s="13">
        <v>15</v>
      </c>
      <c r="Q210" s="13">
        <v>24</v>
      </c>
      <c r="R210" s="13">
        <v>24</v>
      </c>
      <c r="S210" s="21">
        <v>13</v>
      </c>
      <c r="T210" s="13">
        <v>23</v>
      </c>
      <c r="U210" s="13">
        <v>20</v>
      </c>
      <c r="V210" s="13">
        <v>25</v>
      </c>
      <c r="W210" s="13">
        <v>23</v>
      </c>
      <c r="X210" s="13">
        <v>16</v>
      </c>
      <c r="Y210" s="13">
        <v>11</v>
      </c>
      <c r="Z210" s="13">
        <v>13</v>
      </c>
      <c r="AA210" s="13">
        <v>18</v>
      </c>
      <c r="AB210" s="13">
        <v>15</v>
      </c>
      <c r="AC210" s="98">
        <v>17</v>
      </c>
      <c r="AD210" s="21">
        <v>20</v>
      </c>
      <c r="AE210" s="13">
        <v>12</v>
      </c>
      <c r="AF210" s="13">
        <v>13</v>
      </c>
      <c r="AG210" s="13"/>
      <c r="AH210" s="13"/>
      <c r="DK210" s="32"/>
    </row>
    <row r="211" spans="1:115">
      <c r="A211" s="10" t="s">
        <v>322</v>
      </c>
      <c r="B211" s="11">
        <f>AVERAGE(E211:AE211)</f>
        <v>19.185185185185187</v>
      </c>
      <c r="C211" s="2">
        <f>MIN(E211:AE211)</f>
        <v>11</v>
      </c>
      <c r="D211" s="12">
        <f>MAX(E211:AE211)</f>
        <v>25</v>
      </c>
      <c r="E211" s="13">
        <v>16</v>
      </c>
      <c r="F211" s="13">
        <v>21</v>
      </c>
      <c r="G211" s="13">
        <v>13</v>
      </c>
      <c r="H211" s="13">
        <v>18</v>
      </c>
      <c r="I211" s="13">
        <v>22</v>
      </c>
      <c r="J211" s="13">
        <v>25</v>
      </c>
      <c r="K211" s="13">
        <v>20</v>
      </c>
      <c r="L211" s="13">
        <v>21</v>
      </c>
      <c r="M211" s="13">
        <v>23</v>
      </c>
      <c r="N211" s="13">
        <v>20</v>
      </c>
      <c r="O211" s="13">
        <v>24</v>
      </c>
      <c r="P211" s="13">
        <v>15</v>
      </c>
      <c r="Q211" s="13">
        <v>24</v>
      </c>
      <c r="R211" s="13">
        <v>24</v>
      </c>
      <c r="S211" s="13">
        <v>13</v>
      </c>
      <c r="T211" s="13">
        <v>24</v>
      </c>
      <c r="U211" s="13">
        <v>21</v>
      </c>
      <c r="V211" s="13">
        <v>25</v>
      </c>
      <c r="W211" s="13">
        <v>23</v>
      </c>
      <c r="X211" s="13">
        <v>17</v>
      </c>
      <c r="Y211" s="13">
        <v>11</v>
      </c>
      <c r="Z211" s="13">
        <v>13</v>
      </c>
      <c r="AA211" s="13">
        <v>19</v>
      </c>
      <c r="AB211" s="13">
        <v>15</v>
      </c>
      <c r="AC211" s="21">
        <v>18</v>
      </c>
      <c r="AD211" s="13">
        <v>20</v>
      </c>
      <c r="AE211" s="2">
        <v>13</v>
      </c>
      <c r="AF211" s="13">
        <v>13</v>
      </c>
      <c r="AG211" s="13"/>
      <c r="AH211" s="13"/>
      <c r="DK211" s="32"/>
    </row>
    <row r="212" spans="1:115">
      <c r="A212" s="10" t="s">
        <v>323</v>
      </c>
      <c r="B212" s="11">
        <f>AVERAGE(E212:AE212)</f>
        <v>19.407407407407408</v>
      </c>
      <c r="C212" s="2">
        <f>MIN(E212:AE212)</f>
        <v>11</v>
      </c>
      <c r="D212" s="12">
        <f>MAX(E212:AE212)</f>
        <v>26</v>
      </c>
      <c r="E212" s="13">
        <v>16</v>
      </c>
      <c r="F212" s="21">
        <v>22</v>
      </c>
      <c r="G212" s="13">
        <v>13</v>
      </c>
      <c r="H212" s="13">
        <v>18</v>
      </c>
      <c r="I212" s="13">
        <v>22</v>
      </c>
      <c r="J212" s="13">
        <v>25</v>
      </c>
      <c r="K212" s="13">
        <v>20</v>
      </c>
      <c r="L212" s="13">
        <v>21</v>
      </c>
      <c r="M212" s="13">
        <v>23</v>
      </c>
      <c r="N212" s="21">
        <v>21</v>
      </c>
      <c r="O212" s="13">
        <v>24</v>
      </c>
      <c r="P212" s="13">
        <v>15</v>
      </c>
      <c r="Q212" s="13">
        <v>24</v>
      </c>
      <c r="R212" s="13">
        <v>24</v>
      </c>
      <c r="S212" s="13">
        <v>13</v>
      </c>
      <c r="T212" s="21">
        <v>25</v>
      </c>
      <c r="U212" s="13">
        <v>21</v>
      </c>
      <c r="V212" s="13">
        <v>26</v>
      </c>
      <c r="W212" s="13">
        <v>23</v>
      </c>
      <c r="X212" s="13">
        <v>17</v>
      </c>
      <c r="Y212" s="13">
        <v>11</v>
      </c>
      <c r="Z212" s="21">
        <v>14</v>
      </c>
      <c r="AA212" s="13">
        <v>20</v>
      </c>
      <c r="AB212" s="13">
        <v>15</v>
      </c>
      <c r="AC212" s="13">
        <v>18</v>
      </c>
      <c r="AD212" s="13">
        <v>20</v>
      </c>
      <c r="AE212" s="13">
        <v>13</v>
      </c>
      <c r="AF212" s="13">
        <v>13</v>
      </c>
      <c r="AG212" s="13"/>
      <c r="AH212" s="13"/>
      <c r="DK212" s="32"/>
    </row>
    <row r="213" spans="1:115">
      <c r="A213" s="10" t="s">
        <v>324</v>
      </c>
      <c r="B213" s="11">
        <f>AVERAGE(E213:AE213)</f>
        <v>19.62962962962963</v>
      </c>
      <c r="C213" s="2">
        <f>MIN(E213:AE213)</f>
        <v>12</v>
      </c>
      <c r="D213" s="12">
        <f>MAX(E213:AE213)</f>
        <v>27</v>
      </c>
      <c r="E213" s="13">
        <v>16</v>
      </c>
      <c r="F213" s="13">
        <v>22</v>
      </c>
      <c r="G213" s="13">
        <v>13</v>
      </c>
      <c r="H213" s="13">
        <v>18</v>
      </c>
      <c r="I213" s="21">
        <v>23</v>
      </c>
      <c r="J213" s="13">
        <v>25</v>
      </c>
      <c r="K213" s="13">
        <v>20</v>
      </c>
      <c r="L213" s="21">
        <v>22</v>
      </c>
      <c r="M213" s="13">
        <v>23</v>
      </c>
      <c r="N213" s="13">
        <v>21</v>
      </c>
      <c r="O213" s="13">
        <v>24</v>
      </c>
      <c r="P213" s="13">
        <v>15</v>
      </c>
      <c r="Q213" s="13">
        <v>24</v>
      </c>
      <c r="R213" s="13">
        <v>24</v>
      </c>
      <c r="S213" s="13">
        <v>13</v>
      </c>
      <c r="T213" s="13">
        <v>26</v>
      </c>
      <c r="U213" s="21">
        <v>22</v>
      </c>
      <c r="V213" s="13">
        <v>27</v>
      </c>
      <c r="W213" s="13">
        <v>23</v>
      </c>
      <c r="X213" s="13">
        <v>17</v>
      </c>
      <c r="Y213" s="13">
        <v>12</v>
      </c>
      <c r="Z213" s="13">
        <v>14</v>
      </c>
      <c r="AA213" s="13">
        <v>20</v>
      </c>
      <c r="AB213" s="13">
        <v>15</v>
      </c>
      <c r="AC213" s="13">
        <v>18</v>
      </c>
      <c r="AD213" s="98">
        <v>20</v>
      </c>
      <c r="AE213" s="2">
        <v>13</v>
      </c>
      <c r="AF213" s="13">
        <v>13</v>
      </c>
      <c r="AG213" s="13"/>
      <c r="AH213" s="13"/>
      <c r="DK213" s="32"/>
    </row>
    <row r="214" spans="1:115">
      <c r="A214" s="10" t="s">
        <v>325</v>
      </c>
      <c r="B214" s="11">
        <f>AVERAGE(E214:AE214)</f>
        <v>19.925925925925927</v>
      </c>
      <c r="C214" s="2">
        <f>MIN(E214:AE214)</f>
        <v>12</v>
      </c>
      <c r="D214" s="12">
        <f>MAX(E214:AE214)</f>
        <v>28</v>
      </c>
      <c r="E214" s="13">
        <v>16</v>
      </c>
      <c r="F214" s="21">
        <v>23</v>
      </c>
      <c r="G214" s="13">
        <v>13</v>
      </c>
      <c r="H214" s="13">
        <v>18</v>
      </c>
      <c r="I214" s="21">
        <v>24</v>
      </c>
      <c r="J214" s="13">
        <v>25</v>
      </c>
      <c r="K214" s="13">
        <v>20</v>
      </c>
      <c r="L214" s="13">
        <v>23</v>
      </c>
      <c r="M214" s="13">
        <v>23</v>
      </c>
      <c r="N214" s="13">
        <v>21</v>
      </c>
      <c r="O214" s="13">
        <v>24</v>
      </c>
      <c r="P214" s="13">
        <v>15</v>
      </c>
      <c r="Q214" s="13">
        <v>24</v>
      </c>
      <c r="R214" s="21">
        <v>25</v>
      </c>
      <c r="S214" s="13">
        <v>14</v>
      </c>
      <c r="T214" s="13">
        <v>27</v>
      </c>
      <c r="U214" s="13">
        <v>22</v>
      </c>
      <c r="V214" s="21">
        <v>28</v>
      </c>
      <c r="W214" s="21">
        <v>24</v>
      </c>
      <c r="X214" s="13">
        <v>17</v>
      </c>
      <c r="Y214" s="13">
        <v>12</v>
      </c>
      <c r="Z214" s="13">
        <v>14</v>
      </c>
      <c r="AA214" s="13">
        <v>20</v>
      </c>
      <c r="AB214" s="13">
        <v>15</v>
      </c>
      <c r="AC214" s="13">
        <v>18</v>
      </c>
      <c r="AD214" s="13">
        <v>20</v>
      </c>
      <c r="AE214" s="13">
        <v>13</v>
      </c>
      <c r="AF214" s="13">
        <v>13</v>
      </c>
      <c r="AG214" s="13"/>
      <c r="AH214" s="13"/>
      <c r="DK214" s="32"/>
    </row>
    <row r="215" spans="1:115">
      <c r="A215" s="10" t="s">
        <v>326</v>
      </c>
      <c r="B215" s="11">
        <f>AVERAGE(E215:AE215)</f>
        <v>20.296296296296298</v>
      </c>
      <c r="C215" s="2">
        <f>MIN(E215:AE215)</f>
        <v>13</v>
      </c>
      <c r="D215" s="12">
        <f>MAX(E215:AE215)</f>
        <v>29</v>
      </c>
      <c r="E215" s="13">
        <v>16</v>
      </c>
      <c r="F215" s="13">
        <v>23</v>
      </c>
      <c r="G215" s="21">
        <v>14</v>
      </c>
      <c r="H215" s="13">
        <v>18</v>
      </c>
      <c r="I215" s="13">
        <v>25</v>
      </c>
      <c r="J215" s="13">
        <v>25</v>
      </c>
      <c r="K215" s="47">
        <v>21</v>
      </c>
      <c r="L215" s="21">
        <v>24</v>
      </c>
      <c r="M215" s="13">
        <v>23</v>
      </c>
      <c r="N215" s="13">
        <v>21</v>
      </c>
      <c r="O215" s="13">
        <v>24</v>
      </c>
      <c r="P215" s="21">
        <v>16</v>
      </c>
      <c r="Q215" s="13">
        <v>24</v>
      </c>
      <c r="R215" s="13">
        <v>25</v>
      </c>
      <c r="S215" s="13">
        <v>15</v>
      </c>
      <c r="T215" s="13">
        <v>28</v>
      </c>
      <c r="U215" s="13">
        <v>22</v>
      </c>
      <c r="V215" s="21">
        <v>29</v>
      </c>
      <c r="W215" s="13">
        <v>24</v>
      </c>
      <c r="X215" s="13">
        <v>17</v>
      </c>
      <c r="Y215" s="98">
        <v>13</v>
      </c>
      <c r="Z215" s="13">
        <v>14</v>
      </c>
      <c r="AA215" s="13">
        <v>20</v>
      </c>
      <c r="AB215" s="13">
        <v>15</v>
      </c>
      <c r="AC215" s="13">
        <v>19</v>
      </c>
      <c r="AD215" s="13">
        <v>20</v>
      </c>
      <c r="AE215" s="2">
        <v>13</v>
      </c>
      <c r="AF215" s="13">
        <v>13</v>
      </c>
      <c r="AG215" s="13"/>
      <c r="AH215" s="13"/>
      <c r="DK215" s="32"/>
    </row>
    <row r="216" spans="1:115">
      <c r="A216" s="10" t="s">
        <v>327</v>
      </c>
      <c r="B216" s="11">
        <f>AVERAGE(E216:AE216)</f>
        <v>20.481481481481481</v>
      </c>
      <c r="C216" s="2">
        <f>MIN(E216:AE216)</f>
        <v>14</v>
      </c>
      <c r="D216" s="12">
        <f>MAX(E216:AE216)</f>
        <v>29</v>
      </c>
      <c r="E216" s="13">
        <v>16</v>
      </c>
      <c r="F216" s="13">
        <v>23</v>
      </c>
      <c r="G216" s="13">
        <v>14</v>
      </c>
      <c r="H216" s="13">
        <v>18</v>
      </c>
      <c r="I216" s="13">
        <v>25</v>
      </c>
      <c r="J216" s="13">
        <v>25</v>
      </c>
      <c r="K216" s="13">
        <v>22</v>
      </c>
      <c r="L216" s="13">
        <v>24</v>
      </c>
      <c r="M216" s="13">
        <v>23</v>
      </c>
      <c r="N216" s="13">
        <v>21</v>
      </c>
      <c r="O216" s="13">
        <v>24</v>
      </c>
      <c r="P216" s="13">
        <v>16</v>
      </c>
      <c r="Q216" s="13">
        <v>24</v>
      </c>
      <c r="R216" s="13">
        <v>25</v>
      </c>
      <c r="S216" s="13">
        <v>15</v>
      </c>
      <c r="T216" s="13">
        <v>29</v>
      </c>
      <c r="U216" s="13">
        <v>22</v>
      </c>
      <c r="V216" s="13">
        <v>29</v>
      </c>
      <c r="W216" s="13">
        <v>24</v>
      </c>
      <c r="X216" s="13">
        <v>17</v>
      </c>
      <c r="Y216" s="21">
        <v>14</v>
      </c>
      <c r="Z216" s="13">
        <v>14</v>
      </c>
      <c r="AA216" s="13">
        <v>20</v>
      </c>
      <c r="AB216" s="13">
        <v>15</v>
      </c>
      <c r="AC216" s="13">
        <v>20</v>
      </c>
      <c r="AD216" s="13">
        <v>20</v>
      </c>
      <c r="AE216" s="21">
        <v>14</v>
      </c>
      <c r="AF216" s="13">
        <v>13</v>
      </c>
      <c r="AG216" s="13"/>
      <c r="AH216" s="13"/>
      <c r="DK216" s="32"/>
    </row>
    <row r="217" spans="1:115">
      <c r="A217" s="10" t="s">
        <v>328</v>
      </c>
      <c r="B217" s="11">
        <f>AVERAGE(E217:AE217)</f>
        <v>20.62962962962963</v>
      </c>
      <c r="C217" s="2">
        <f>MIN(E217:AE217)</f>
        <v>14</v>
      </c>
      <c r="D217" s="12">
        <f>MAX(E217:AE217)</f>
        <v>30</v>
      </c>
      <c r="E217" s="13">
        <v>16</v>
      </c>
      <c r="F217" s="13">
        <v>23</v>
      </c>
      <c r="G217" s="13">
        <v>14</v>
      </c>
      <c r="H217" s="21">
        <v>19</v>
      </c>
      <c r="I217" s="13">
        <v>25</v>
      </c>
      <c r="J217" s="13">
        <v>25</v>
      </c>
      <c r="K217" s="13">
        <v>22</v>
      </c>
      <c r="L217" s="13">
        <v>25</v>
      </c>
      <c r="M217" s="13">
        <v>23</v>
      </c>
      <c r="N217" s="13">
        <v>21</v>
      </c>
      <c r="O217" s="13">
        <v>24</v>
      </c>
      <c r="P217" s="13">
        <v>16</v>
      </c>
      <c r="Q217" s="13">
        <v>24</v>
      </c>
      <c r="R217" s="13">
        <v>25</v>
      </c>
      <c r="S217" s="13">
        <v>15</v>
      </c>
      <c r="T217" s="13">
        <v>29</v>
      </c>
      <c r="U217" s="13">
        <v>22</v>
      </c>
      <c r="V217" s="21">
        <v>30</v>
      </c>
      <c r="W217" s="13">
        <v>24</v>
      </c>
      <c r="X217" s="13">
        <v>17</v>
      </c>
      <c r="Y217" s="13">
        <v>15</v>
      </c>
      <c r="Z217" s="13">
        <v>14</v>
      </c>
      <c r="AA217" s="13">
        <v>20</v>
      </c>
      <c r="AB217" s="13">
        <v>15</v>
      </c>
      <c r="AC217" s="13">
        <v>20</v>
      </c>
      <c r="AD217" s="13">
        <v>20</v>
      </c>
      <c r="AE217" s="2">
        <v>14</v>
      </c>
      <c r="AF217" s="21">
        <v>14</v>
      </c>
      <c r="AG217" s="13"/>
      <c r="AH217" s="13"/>
      <c r="DK217" s="32"/>
    </row>
    <row r="218" spans="1:115">
      <c r="A218" s="10" t="s">
        <v>329</v>
      </c>
      <c r="B218" s="11">
        <f>AVERAGE(E218:AE218)</f>
        <v>20.888888888888889</v>
      </c>
      <c r="C218" s="2">
        <f>MIN(E218:AE218)</f>
        <v>14</v>
      </c>
      <c r="D218" s="12">
        <f>MAX(E218:AE218)</f>
        <v>30</v>
      </c>
      <c r="E218" s="13">
        <v>16</v>
      </c>
      <c r="F218" s="13">
        <v>23</v>
      </c>
      <c r="G218" s="13">
        <v>14</v>
      </c>
      <c r="H218" s="13">
        <v>20</v>
      </c>
      <c r="I218" s="13">
        <v>25</v>
      </c>
      <c r="J218" s="21">
        <v>26</v>
      </c>
      <c r="K218" s="13">
        <v>22</v>
      </c>
      <c r="L218" s="13">
        <v>25</v>
      </c>
      <c r="M218" s="13">
        <v>23</v>
      </c>
      <c r="N218" s="13">
        <v>22</v>
      </c>
      <c r="O218" s="13">
        <v>24</v>
      </c>
      <c r="P218" s="13">
        <v>16</v>
      </c>
      <c r="Q218" s="13">
        <v>24</v>
      </c>
      <c r="R218" s="13">
        <v>25</v>
      </c>
      <c r="S218" s="13">
        <v>15</v>
      </c>
      <c r="T218" s="13">
        <v>29</v>
      </c>
      <c r="U218" s="13">
        <v>22</v>
      </c>
      <c r="V218" s="13">
        <v>30</v>
      </c>
      <c r="W218" s="47">
        <v>25</v>
      </c>
      <c r="X218" s="13">
        <v>17</v>
      </c>
      <c r="Y218" s="13">
        <v>15</v>
      </c>
      <c r="Z218" s="13">
        <v>14</v>
      </c>
      <c r="AA218" s="13">
        <v>20</v>
      </c>
      <c r="AB218" s="13">
        <v>15</v>
      </c>
      <c r="AC218" s="21">
        <v>21</v>
      </c>
      <c r="AD218" s="98">
        <v>21</v>
      </c>
      <c r="AE218" s="98">
        <v>15</v>
      </c>
      <c r="AF218" s="13">
        <v>14</v>
      </c>
      <c r="AG218" s="13"/>
      <c r="AH218" s="13"/>
      <c r="DK218" s="32"/>
    </row>
    <row r="219" spans="1:115">
      <c r="A219" s="10" t="s">
        <v>330</v>
      </c>
      <c r="B219" s="11">
        <f>AVERAGE(E219:AE219)</f>
        <v>21.185185185185187</v>
      </c>
      <c r="C219" s="2">
        <f>MIN(E219:AE219)</f>
        <v>14</v>
      </c>
      <c r="D219" s="12">
        <f>MAX(E219:AE219)</f>
        <v>30</v>
      </c>
      <c r="E219" s="13">
        <v>16</v>
      </c>
      <c r="F219" s="13">
        <v>23</v>
      </c>
      <c r="G219" s="13">
        <v>14</v>
      </c>
      <c r="H219" s="13">
        <v>20</v>
      </c>
      <c r="I219" s="21">
        <v>26</v>
      </c>
      <c r="J219" s="13">
        <v>26</v>
      </c>
      <c r="K219" s="13">
        <v>22</v>
      </c>
      <c r="L219" s="13">
        <v>25</v>
      </c>
      <c r="M219" s="13">
        <v>23</v>
      </c>
      <c r="N219" s="13">
        <v>22</v>
      </c>
      <c r="O219" s="98">
        <v>25</v>
      </c>
      <c r="P219" s="13">
        <v>16</v>
      </c>
      <c r="Q219" s="13">
        <v>24</v>
      </c>
      <c r="R219" s="13">
        <v>26</v>
      </c>
      <c r="S219" s="13">
        <v>15</v>
      </c>
      <c r="T219" s="13">
        <v>30</v>
      </c>
      <c r="U219" s="13">
        <v>22</v>
      </c>
      <c r="V219" s="13">
        <v>30</v>
      </c>
      <c r="W219" s="13">
        <v>25</v>
      </c>
      <c r="X219" s="13">
        <v>18</v>
      </c>
      <c r="Y219" s="13">
        <v>16</v>
      </c>
      <c r="Z219" s="13">
        <v>14</v>
      </c>
      <c r="AA219" s="13">
        <v>20</v>
      </c>
      <c r="AB219" s="13">
        <v>15</v>
      </c>
      <c r="AC219" s="21">
        <v>22</v>
      </c>
      <c r="AD219" s="13">
        <v>21</v>
      </c>
      <c r="AE219" s="2">
        <v>16</v>
      </c>
      <c r="AF219" s="13">
        <v>14</v>
      </c>
      <c r="AG219" s="13"/>
      <c r="AH219" s="13"/>
      <c r="DK219" s="32"/>
    </row>
    <row r="220" spans="1:115">
      <c r="A220" s="10" t="s">
        <v>331</v>
      </c>
      <c r="B220" s="11">
        <f>AVERAGE(E220:AE220)</f>
        <v>21.407407407407408</v>
      </c>
      <c r="C220" s="2">
        <f>MIN(E220:AE220)</f>
        <v>14</v>
      </c>
      <c r="D220" s="12">
        <f>MAX(E220:AE220)</f>
        <v>31</v>
      </c>
      <c r="E220" s="13">
        <v>16</v>
      </c>
      <c r="F220" s="13">
        <v>23</v>
      </c>
      <c r="G220" s="13">
        <v>14</v>
      </c>
      <c r="H220" s="13">
        <v>20</v>
      </c>
      <c r="I220" s="13">
        <v>26</v>
      </c>
      <c r="J220" s="13">
        <v>26</v>
      </c>
      <c r="K220" s="13">
        <v>22</v>
      </c>
      <c r="L220" s="13">
        <v>25</v>
      </c>
      <c r="M220" s="13">
        <v>23</v>
      </c>
      <c r="N220" s="13">
        <v>22</v>
      </c>
      <c r="O220" s="13">
        <v>25</v>
      </c>
      <c r="P220" s="13">
        <v>16</v>
      </c>
      <c r="Q220" s="13">
        <v>24</v>
      </c>
      <c r="R220" s="13">
        <v>27</v>
      </c>
      <c r="S220" s="21">
        <v>16</v>
      </c>
      <c r="T220" s="21">
        <v>31</v>
      </c>
      <c r="U220" s="13">
        <v>22</v>
      </c>
      <c r="V220" s="13">
        <v>30</v>
      </c>
      <c r="W220" s="13">
        <v>25</v>
      </c>
      <c r="X220" s="21">
        <v>19</v>
      </c>
      <c r="Y220" s="13">
        <v>17</v>
      </c>
      <c r="Z220" s="13">
        <v>14</v>
      </c>
      <c r="AA220" s="13">
        <v>21</v>
      </c>
      <c r="AB220" s="13">
        <v>15</v>
      </c>
      <c r="AC220" s="13">
        <v>22</v>
      </c>
      <c r="AD220" s="13">
        <v>21</v>
      </c>
      <c r="AE220" s="13">
        <v>16</v>
      </c>
      <c r="AF220" s="13">
        <v>14</v>
      </c>
      <c r="AG220" s="13"/>
      <c r="AH220" s="13"/>
      <c r="DK220" s="32"/>
    </row>
    <row r="221" spans="1:115">
      <c r="A221" s="10" t="s">
        <v>332</v>
      </c>
      <c r="B221" s="11">
        <f>AVERAGE(E221:AE221)</f>
        <v>21.62962962962963</v>
      </c>
      <c r="C221" s="2">
        <f>MIN(E221:AE221)</f>
        <v>14</v>
      </c>
      <c r="D221" s="12">
        <f>MAX(E221:AE221)</f>
        <v>32</v>
      </c>
      <c r="E221" s="13">
        <v>16</v>
      </c>
      <c r="F221" s="13">
        <v>23</v>
      </c>
      <c r="G221" s="13">
        <v>14</v>
      </c>
      <c r="H221" s="13">
        <v>20</v>
      </c>
      <c r="I221" s="13">
        <v>26</v>
      </c>
      <c r="J221" s="13">
        <v>26</v>
      </c>
      <c r="K221" s="13">
        <v>22</v>
      </c>
      <c r="L221" s="13">
        <v>25</v>
      </c>
      <c r="M221" s="13">
        <v>23</v>
      </c>
      <c r="N221" s="13">
        <v>22</v>
      </c>
      <c r="O221" s="13">
        <v>25</v>
      </c>
      <c r="P221" s="13">
        <v>16</v>
      </c>
      <c r="Q221" s="13">
        <v>25</v>
      </c>
      <c r="R221" s="13">
        <v>27</v>
      </c>
      <c r="S221" s="13">
        <v>17</v>
      </c>
      <c r="T221" s="13">
        <v>32</v>
      </c>
      <c r="U221" s="13">
        <v>22</v>
      </c>
      <c r="V221" s="13">
        <v>30</v>
      </c>
      <c r="W221" s="13">
        <v>25</v>
      </c>
      <c r="X221" s="98">
        <v>20</v>
      </c>
      <c r="Y221" s="13">
        <v>18</v>
      </c>
      <c r="Z221" s="13">
        <v>14</v>
      </c>
      <c r="AA221" s="13">
        <v>21</v>
      </c>
      <c r="AB221" s="13">
        <v>15</v>
      </c>
      <c r="AC221" s="13">
        <v>22</v>
      </c>
      <c r="AD221" s="13">
        <v>22</v>
      </c>
      <c r="AE221" s="2">
        <v>16</v>
      </c>
      <c r="AF221" s="13"/>
      <c r="AG221" s="13"/>
      <c r="AH221" s="13"/>
      <c r="DK221" s="32"/>
    </row>
    <row r="222" spans="1:115">
      <c r="A222" s="10" t="s">
        <v>333</v>
      </c>
      <c r="B222" s="11">
        <f>AVERAGE(E222:AE222)</f>
        <v>21.814814814814813</v>
      </c>
      <c r="C222" s="2">
        <f>MIN(E222:AE222)</f>
        <v>14</v>
      </c>
      <c r="D222" s="12">
        <f>MAX(E222:AE222)</f>
        <v>33</v>
      </c>
      <c r="E222" s="13">
        <v>16</v>
      </c>
      <c r="F222" s="13">
        <v>23</v>
      </c>
      <c r="G222" s="13">
        <v>14</v>
      </c>
      <c r="H222" s="13">
        <v>20</v>
      </c>
      <c r="I222" s="13">
        <v>26</v>
      </c>
      <c r="J222" s="13">
        <v>26</v>
      </c>
      <c r="K222" s="13">
        <v>22</v>
      </c>
      <c r="L222" s="13">
        <v>25</v>
      </c>
      <c r="M222" s="13">
        <v>23</v>
      </c>
      <c r="N222" s="13">
        <v>22</v>
      </c>
      <c r="O222" s="13">
        <v>25</v>
      </c>
      <c r="P222" s="13">
        <v>16</v>
      </c>
      <c r="Q222" s="13">
        <v>25</v>
      </c>
      <c r="R222" s="21">
        <v>28</v>
      </c>
      <c r="S222" s="13">
        <v>17</v>
      </c>
      <c r="T222" s="21">
        <v>33</v>
      </c>
      <c r="U222" s="13">
        <v>22</v>
      </c>
      <c r="V222" s="13">
        <v>31</v>
      </c>
      <c r="W222" s="13">
        <v>25</v>
      </c>
      <c r="X222" s="21">
        <v>21</v>
      </c>
      <c r="Y222" s="13">
        <v>18</v>
      </c>
      <c r="Z222" s="13">
        <v>14</v>
      </c>
      <c r="AA222" s="21">
        <v>22</v>
      </c>
      <c r="AB222" s="13">
        <v>15</v>
      </c>
      <c r="AC222" s="13">
        <v>22</v>
      </c>
      <c r="AD222" s="13">
        <v>22</v>
      </c>
      <c r="AE222" s="13">
        <v>16</v>
      </c>
      <c r="AF222" s="13"/>
      <c r="AG222" s="13"/>
      <c r="AH222" s="13"/>
      <c r="DK222" s="32"/>
    </row>
    <row r="223" spans="1:115">
      <c r="A223" s="10" t="s">
        <v>334</v>
      </c>
      <c r="B223" s="11">
        <f>AVERAGE(E223:AE223)</f>
        <v>21.925925925925927</v>
      </c>
      <c r="C223" s="2">
        <f>MIN(E223:AE223)</f>
        <v>14</v>
      </c>
      <c r="D223" s="12">
        <f>MAX(E223:AE223)</f>
        <v>33</v>
      </c>
      <c r="E223" s="13">
        <v>16</v>
      </c>
      <c r="F223" s="13">
        <v>23</v>
      </c>
      <c r="G223" s="13">
        <v>14</v>
      </c>
      <c r="H223" s="13">
        <v>20</v>
      </c>
      <c r="I223" s="13">
        <v>26</v>
      </c>
      <c r="J223" s="13">
        <v>26</v>
      </c>
      <c r="K223" s="13">
        <v>22</v>
      </c>
      <c r="L223" s="13">
        <v>25</v>
      </c>
      <c r="M223" s="13">
        <v>23</v>
      </c>
      <c r="N223" s="13">
        <v>22</v>
      </c>
      <c r="O223" s="13">
        <v>25</v>
      </c>
      <c r="P223" s="13">
        <v>16</v>
      </c>
      <c r="Q223" s="13">
        <v>25</v>
      </c>
      <c r="R223" s="13">
        <v>28</v>
      </c>
      <c r="S223" s="47">
        <v>18</v>
      </c>
      <c r="T223" s="13">
        <v>33</v>
      </c>
      <c r="U223" s="13">
        <v>22</v>
      </c>
      <c r="V223" s="13">
        <v>31</v>
      </c>
      <c r="W223" s="13">
        <v>25</v>
      </c>
      <c r="X223" s="13">
        <v>21</v>
      </c>
      <c r="Y223" s="21">
        <v>19</v>
      </c>
      <c r="Z223" s="13">
        <v>14</v>
      </c>
      <c r="AA223" s="13">
        <v>22</v>
      </c>
      <c r="AB223" s="13">
        <v>16</v>
      </c>
      <c r="AC223" s="13">
        <v>22</v>
      </c>
      <c r="AD223" s="13">
        <v>22</v>
      </c>
      <c r="AE223" s="2">
        <v>16</v>
      </c>
      <c r="AF223" s="13"/>
      <c r="AG223" s="13"/>
      <c r="AH223" s="13"/>
      <c r="DK223" s="32"/>
    </row>
    <row r="224" spans="1:115">
      <c r="A224" s="10" t="s">
        <v>335</v>
      </c>
      <c r="B224" s="11">
        <f>AVERAGE(E224:AE224)</f>
        <v>22.074074074074073</v>
      </c>
      <c r="C224" s="2">
        <f>MIN(E224:AE224)</f>
        <v>14</v>
      </c>
      <c r="D224" s="12">
        <f>MAX(E224:AE224)</f>
        <v>33</v>
      </c>
      <c r="E224" s="13">
        <v>16</v>
      </c>
      <c r="F224" s="13">
        <v>23</v>
      </c>
      <c r="G224" s="13">
        <v>14</v>
      </c>
      <c r="H224" s="13">
        <v>20</v>
      </c>
      <c r="I224" s="13">
        <v>26</v>
      </c>
      <c r="J224" s="13">
        <v>26</v>
      </c>
      <c r="K224" s="13">
        <v>23</v>
      </c>
      <c r="L224" s="13">
        <v>25</v>
      </c>
      <c r="M224" s="13">
        <v>24</v>
      </c>
      <c r="N224" s="13">
        <v>23</v>
      </c>
      <c r="O224" s="13">
        <v>25</v>
      </c>
      <c r="P224" s="13">
        <v>16</v>
      </c>
      <c r="Q224" s="13">
        <v>25</v>
      </c>
      <c r="R224" s="13">
        <v>28</v>
      </c>
      <c r="S224" s="13">
        <v>18</v>
      </c>
      <c r="T224" s="13">
        <v>33</v>
      </c>
      <c r="U224" s="13">
        <v>22</v>
      </c>
      <c r="V224" s="13">
        <v>31</v>
      </c>
      <c r="W224" s="13">
        <v>25</v>
      </c>
      <c r="X224" s="13">
        <v>21</v>
      </c>
      <c r="Y224" s="13">
        <v>20</v>
      </c>
      <c r="Z224" s="13">
        <v>14</v>
      </c>
      <c r="AA224" s="13">
        <v>22</v>
      </c>
      <c r="AB224" s="13">
        <v>16</v>
      </c>
      <c r="AC224" s="13">
        <v>22</v>
      </c>
      <c r="AD224" s="13">
        <v>22</v>
      </c>
      <c r="AE224" s="2">
        <v>16</v>
      </c>
      <c r="AF224" s="13"/>
      <c r="AG224" s="13"/>
      <c r="AH224" s="13"/>
      <c r="DK224" s="32"/>
    </row>
    <row r="225" spans="1:115">
      <c r="A225" s="10" t="s">
        <v>336</v>
      </c>
      <c r="B225" s="11">
        <f>AVERAGE(E225:AE225)</f>
        <v>22.333333333333332</v>
      </c>
      <c r="C225" s="2">
        <f>MIN(E225:AE225)</f>
        <v>14</v>
      </c>
      <c r="D225" s="12">
        <f>MAX(E225:AE225)</f>
        <v>33</v>
      </c>
      <c r="E225" s="13">
        <v>16</v>
      </c>
      <c r="F225" s="13">
        <v>23</v>
      </c>
      <c r="G225" s="13">
        <v>14</v>
      </c>
      <c r="H225" s="13">
        <v>21</v>
      </c>
      <c r="I225" s="13">
        <v>26</v>
      </c>
      <c r="J225" s="13">
        <v>26</v>
      </c>
      <c r="K225" s="21">
        <v>24</v>
      </c>
      <c r="L225" s="13">
        <v>25</v>
      </c>
      <c r="M225" s="13">
        <v>25</v>
      </c>
      <c r="N225" s="13">
        <v>24</v>
      </c>
      <c r="O225" s="13">
        <v>25</v>
      </c>
      <c r="P225" s="13">
        <v>16</v>
      </c>
      <c r="Q225" s="13">
        <v>25</v>
      </c>
      <c r="R225" s="13">
        <v>28</v>
      </c>
      <c r="S225" s="13">
        <v>18</v>
      </c>
      <c r="T225" s="13">
        <v>33</v>
      </c>
      <c r="U225" s="13">
        <v>22</v>
      </c>
      <c r="V225" s="13">
        <v>31</v>
      </c>
      <c r="W225" s="21">
        <v>26</v>
      </c>
      <c r="X225" s="98">
        <v>22</v>
      </c>
      <c r="Y225" s="13">
        <v>20</v>
      </c>
      <c r="Z225" s="13">
        <v>14</v>
      </c>
      <c r="AA225" s="13">
        <v>22</v>
      </c>
      <c r="AB225" s="13">
        <v>16</v>
      </c>
      <c r="AC225" s="13">
        <v>22</v>
      </c>
      <c r="AD225" s="13">
        <v>23</v>
      </c>
      <c r="AE225" s="2">
        <v>16</v>
      </c>
      <c r="AF225" s="13"/>
      <c r="AG225" s="13"/>
      <c r="AH225" s="13"/>
      <c r="DK225" s="32"/>
    </row>
    <row r="226" spans="1:115">
      <c r="A226" s="10" t="s">
        <v>337</v>
      </c>
      <c r="B226" s="11">
        <f>AVERAGE(E226:AE226)</f>
        <v>22.444444444444443</v>
      </c>
      <c r="C226" s="2">
        <f>MIN(E226:AE226)</f>
        <v>14</v>
      </c>
      <c r="D226" s="12">
        <f>MAX(E226:AE226)</f>
        <v>33</v>
      </c>
      <c r="E226" s="13">
        <v>16</v>
      </c>
      <c r="F226" s="13">
        <v>23</v>
      </c>
      <c r="G226" s="13">
        <v>14</v>
      </c>
      <c r="H226" s="13">
        <v>21</v>
      </c>
      <c r="I226" s="13">
        <v>26</v>
      </c>
      <c r="J226" s="13">
        <v>26</v>
      </c>
      <c r="K226" s="13">
        <v>24</v>
      </c>
      <c r="L226" s="13">
        <v>25</v>
      </c>
      <c r="M226" s="99">
        <v>26</v>
      </c>
      <c r="N226" s="13">
        <v>24</v>
      </c>
      <c r="O226" s="13">
        <v>25</v>
      </c>
      <c r="P226" s="13">
        <v>16</v>
      </c>
      <c r="Q226" s="13">
        <v>25</v>
      </c>
      <c r="R226" s="13">
        <v>28</v>
      </c>
      <c r="S226" s="13">
        <v>18</v>
      </c>
      <c r="T226" s="13">
        <v>33</v>
      </c>
      <c r="U226" s="13">
        <v>22</v>
      </c>
      <c r="V226" s="13">
        <v>31</v>
      </c>
      <c r="W226" s="13">
        <v>27</v>
      </c>
      <c r="X226" s="21">
        <v>23</v>
      </c>
      <c r="Y226" s="13">
        <v>20</v>
      </c>
      <c r="Z226" s="13">
        <v>14</v>
      </c>
      <c r="AA226" s="13">
        <v>22</v>
      </c>
      <c r="AB226" s="13">
        <v>16</v>
      </c>
      <c r="AC226" s="13">
        <v>22</v>
      </c>
      <c r="AD226" s="13">
        <v>23</v>
      </c>
      <c r="AE226" s="2">
        <v>16</v>
      </c>
      <c r="AF226" s="13"/>
      <c r="AG226" s="13"/>
      <c r="AH226" s="13"/>
      <c r="DK226" s="32"/>
    </row>
    <row r="227" spans="1:115">
      <c r="A227" s="10" t="s">
        <v>338</v>
      </c>
      <c r="B227" s="11">
        <f>AVERAGE(E227:AE227)</f>
        <v>22.74074074074074</v>
      </c>
      <c r="C227" s="2">
        <f>MIN(E227:AE227)</f>
        <v>14</v>
      </c>
      <c r="D227" s="12">
        <f>MAX(E227:AE227)</f>
        <v>33</v>
      </c>
      <c r="E227" s="21">
        <v>17</v>
      </c>
      <c r="F227" s="13">
        <v>23</v>
      </c>
      <c r="G227" s="13">
        <v>14</v>
      </c>
      <c r="H227" s="13">
        <v>21</v>
      </c>
      <c r="I227" s="13">
        <v>26</v>
      </c>
      <c r="J227" s="13">
        <v>26</v>
      </c>
      <c r="K227" s="13">
        <v>24</v>
      </c>
      <c r="L227" s="13">
        <v>25</v>
      </c>
      <c r="M227" s="21">
        <v>27</v>
      </c>
      <c r="N227" s="13">
        <v>24</v>
      </c>
      <c r="O227" s="13">
        <v>26</v>
      </c>
      <c r="P227" s="13">
        <v>16</v>
      </c>
      <c r="Q227" s="13">
        <v>25</v>
      </c>
      <c r="R227" s="13">
        <v>28</v>
      </c>
      <c r="S227" s="13">
        <v>19</v>
      </c>
      <c r="T227" s="13">
        <v>33</v>
      </c>
      <c r="U227" s="13">
        <v>22</v>
      </c>
      <c r="V227" s="21">
        <v>32</v>
      </c>
      <c r="W227" s="13">
        <v>28</v>
      </c>
      <c r="X227" s="13">
        <v>23</v>
      </c>
      <c r="Y227" s="13">
        <v>20</v>
      </c>
      <c r="Z227" s="98">
        <v>15</v>
      </c>
      <c r="AA227" s="21">
        <v>23</v>
      </c>
      <c r="AB227" s="13">
        <v>16</v>
      </c>
      <c r="AC227" s="13">
        <v>22</v>
      </c>
      <c r="AD227" s="13">
        <v>23</v>
      </c>
      <c r="AE227" s="2">
        <v>16</v>
      </c>
      <c r="AF227" s="13"/>
      <c r="AG227" s="13"/>
      <c r="AH227" s="13"/>
      <c r="DK227" s="32"/>
    </row>
    <row r="228" spans="1:115">
      <c r="A228" s="10" t="s">
        <v>339</v>
      </c>
      <c r="B228" s="11">
        <f>AVERAGE(E228:AE228)</f>
        <v>22.888888888888889</v>
      </c>
      <c r="C228" s="2">
        <f>MIN(E228:AE228)</f>
        <v>14</v>
      </c>
      <c r="D228" s="12">
        <f>MAX(E228:AE228)</f>
        <v>33</v>
      </c>
      <c r="E228" s="13">
        <v>17</v>
      </c>
      <c r="F228" s="13">
        <v>23</v>
      </c>
      <c r="G228" s="13">
        <v>14</v>
      </c>
      <c r="H228" s="13">
        <v>22</v>
      </c>
      <c r="I228" s="13">
        <v>26</v>
      </c>
      <c r="J228" s="13">
        <v>26</v>
      </c>
      <c r="K228" s="13">
        <v>24</v>
      </c>
      <c r="L228" s="13">
        <v>25</v>
      </c>
      <c r="M228" s="13">
        <v>27</v>
      </c>
      <c r="N228" s="13">
        <v>24</v>
      </c>
      <c r="O228" s="13">
        <v>26</v>
      </c>
      <c r="P228" s="13">
        <v>16</v>
      </c>
      <c r="Q228" s="13">
        <v>25</v>
      </c>
      <c r="R228" s="13">
        <v>28</v>
      </c>
      <c r="S228" s="13">
        <v>19</v>
      </c>
      <c r="T228" s="13">
        <v>33</v>
      </c>
      <c r="U228" s="13">
        <v>22</v>
      </c>
      <c r="V228" s="13">
        <v>32</v>
      </c>
      <c r="W228" s="13">
        <v>29</v>
      </c>
      <c r="X228" s="13">
        <v>23</v>
      </c>
      <c r="Y228" s="13">
        <v>21</v>
      </c>
      <c r="Z228" s="21">
        <v>16</v>
      </c>
      <c r="AA228" s="13">
        <v>23</v>
      </c>
      <c r="AB228" s="13">
        <v>16</v>
      </c>
      <c r="AC228" s="13">
        <v>22</v>
      </c>
      <c r="AD228" s="13">
        <v>23</v>
      </c>
      <c r="AE228" s="2">
        <v>16</v>
      </c>
      <c r="AF228" s="13"/>
      <c r="AG228" s="13"/>
      <c r="AH228" s="13"/>
      <c r="DK228" s="32"/>
    </row>
    <row r="229" spans="1:115">
      <c r="A229" s="10" t="s">
        <v>340</v>
      </c>
      <c r="B229" s="11">
        <f>AVERAGE(E229:AE229)</f>
        <v>22.962962962962962</v>
      </c>
      <c r="C229" s="2">
        <f>MIN(E229:AE229)</f>
        <v>14</v>
      </c>
      <c r="D229" s="12">
        <f>MAX(E229:AE229)</f>
        <v>33</v>
      </c>
      <c r="E229" s="13">
        <v>17</v>
      </c>
      <c r="F229" s="13">
        <v>23</v>
      </c>
      <c r="G229" s="13">
        <v>14</v>
      </c>
      <c r="H229" s="13">
        <v>22</v>
      </c>
      <c r="I229" s="13">
        <v>26</v>
      </c>
      <c r="J229" s="13">
        <v>26</v>
      </c>
      <c r="K229" s="13">
        <v>24</v>
      </c>
      <c r="L229" s="13">
        <v>25</v>
      </c>
      <c r="M229" s="13">
        <v>27</v>
      </c>
      <c r="N229" s="13">
        <v>24</v>
      </c>
      <c r="O229" s="13">
        <v>26</v>
      </c>
      <c r="P229" s="13">
        <v>17</v>
      </c>
      <c r="Q229" s="13">
        <v>25</v>
      </c>
      <c r="R229" s="13">
        <v>28</v>
      </c>
      <c r="S229" s="13">
        <v>19</v>
      </c>
      <c r="T229" s="13">
        <v>33</v>
      </c>
      <c r="U229" s="13">
        <v>22</v>
      </c>
      <c r="V229" s="13">
        <v>32</v>
      </c>
      <c r="W229" s="13">
        <v>29</v>
      </c>
      <c r="X229" s="13">
        <v>23</v>
      </c>
      <c r="Y229" s="13">
        <v>22</v>
      </c>
      <c r="Z229" s="13">
        <v>16</v>
      </c>
      <c r="AA229" s="13">
        <v>23</v>
      </c>
      <c r="AB229" s="13">
        <v>16</v>
      </c>
      <c r="AC229" s="13">
        <v>22</v>
      </c>
      <c r="AD229" s="13">
        <v>23</v>
      </c>
      <c r="AE229" s="2">
        <v>16</v>
      </c>
      <c r="AF229" s="13"/>
      <c r="AG229" s="13"/>
      <c r="AH229" s="13"/>
      <c r="DK229" s="32"/>
    </row>
    <row r="230" spans="1:115">
      <c r="A230" s="10" t="s">
        <v>341</v>
      </c>
      <c r="B230" s="11">
        <f>AVERAGE(E230:AE230)</f>
        <v>23.111111111111111</v>
      </c>
      <c r="C230" s="2">
        <f>MIN(E230:AE230)</f>
        <v>14</v>
      </c>
      <c r="D230" s="12">
        <f>MAX(E230:AE230)</f>
        <v>33</v>
      </c>
      <c r="E230" s="13">
        <v>17</v>
      </c>
      <c r="F230" s="13">
        <v>23</v>
      </c>
      <c r="G230" s="13">
        <v>14</v>
      </c>
      <c r="H230" s="13">
        <v>22</v>
      </c>
      <c r="I230" s="99">
        <v>27</v>
      </c>
      <c r="J230" s="47">
        <v>27</v>
      </c>
      <c r="K230" s="13">
        <v>24</v>
      </c>
      <c r="L230" s="21">
        <v>26</v>
      </c>
      <c r="M230" s="13">
        <v>27</v>
      </c>
      <c r="N230" s="13">
        <v>24</v>
      </c>
      <c r="O230" s="13">
        <v>26</v>
      </c>
      <c r="P230" s="13">
        <v>17</v>
      </c>
      <c r="Q230" s="13">
        <v>25</v>
      </c>
      <c r="R230" s="13">
        <v>28</v>
      </c>
      <c r="S230" s="13">
        <v>19</v>
      </c>
      <c r="T230" s="13">
        <v>33</v>
      </c>
      <c r="U230" s="13">
        <v>22</v>
      </c>
      <c r="V230" s="13">
        <v>32</v>
      </c>
      <c r="W230" s="13">
        <v>29</v>
      </c>
      <c r="X230" s="13">
        <v>24</v>
      </c>
      <c r="Y230" s="13">
        <v>22</v>
      </c>
      <c r="Z230" s="13">
        <v>16</v>
      </c>
      <c r="AA230" s="13">
        <v>23</v>
      </c>
      <c r="AB230" s="13">
        <v>16</v>
      </c>
      <c r="AC230" s="13">
        <v>22</v>
      </c>
      <c r="AD230" s="13">
        <v>23</v>
      </c>
      <c r="AE230" s="2">
        <v>16</v>
      </c>
      <c r="AF230" s="13"/>
      <c r="AG230" s="13"/>
      <c r="AH230" s="13"/>
      <c r="DK230" s="32"/>
    </row>
    <row r="231" spans="1:115">
      <c r="A231" s="10" t="s">
        <v>342</v>
      </c>
      <c r="B231" s="11">
        <f>AVERAGE(E231:AE231)</f>
        <v>23.333333333333332</v>
      </c>
      <c r="C231" s="2">
        <f>MIN(E231:AE231)</f>
        <v>14</v>
      </c>
      <c r="D231" s="12">
        <f>MAX(E231:AE231)</f>
        <v>33</v>
      </c>
      <c r="E231" s="13">
        <v>17</v>
      </c>
      <c r="F231" s="13">
        <v>23</v>
      </c>
      <c r="G231" s="13">
        <v>14</v>
      </c>
      <c r="H231" s="13">
        <v>22</v>
      </c>
      <c r="I231" s="99">
        <v>28</v>
      </c>
      <c r="J231" s="21">
        <v>28</v>
      </c>
      <c r="K231" s="13">
        <v>24</v>
      </c>
      <c r="L231" s="13">
        <v>26</v>
      </c>
      <c r="M231" s="13">
        <v>27</v>
      </c>
      <c r="N231" s="13">
        <v>24</v>
      </c>
      <c r="O231" s="13">
        <v>26</v>
      </c>
      <c r="P231" s="13">
        <v>17</v>
      </c>
      <c r="Q231" s="47">
        <v>26</v>
      </c>
      <c r="R231" s="13">
        <v>28</v>
      </c>
      <c r="S231" s="13">
        <v>19</v>
      </c>
      <c r="T231" s="13">
        <v>33</v>
      </c>
      <c r="U231" s="21">
        <v>23</v>
      </c>
      <c r="V231" s="13">
        <v>32</v>
      </c>
      <c r="W231" s="13">
        <v>29</v>
      </c>
      <c r="X231" s="13">
        <v>24</v>
      </c>
      <c r="Y231" s="13">
        <v>22</v>
      </c>
      <c r="Z231" s="13">
        <v>17</v>
      </c>
      <c r="AA231" s="13">
        <v>23</v>
      </c>
      <c r="AB231" s="13">
        <v>16</v>
      </c>
      <c r="AC231" s="13">
        <v>22</v>
      </c>
      <c r="AD231" s="13">
        <v>24</v>
      </c>
      <c r="AE231" s="2">
        <v>16</v>
      </c>
      <c r="AF231" s="13"/>
      <c r="AG231" s="13"/>
      <c r="AH231" s="13"/>
      <c r="DK231" s="32"/>
    </row>
    <row r="232" spans="1:115">
      <c r="A232" s="10" t="s">
        <v>343</v>
      </c>
      <c r="B232" s="11">
        <f>AVERAGE(E232:AE232)</f>
        <v>23.481481481481481</v>
      </c>
      <c r="C232" s="2">
        <f>MIN(E232:AE232)</f>
        <v>14</v>
      </c>
      <c r="D232" s="12">
        <f>MAX(E232:AE232)</f>
        <v>33</v>
      </c>
      <c r="E232" s="13">
        <v>17</v>
      </c>
      <c r="F232" s="13">
        <v>23</v>
      </c>
      <c r="G232" s="13">
        <v>14</v>
      </c>
      <c r="H232" s="13">
        <v>22</v>
      </c>
      <c r="I232" s="13">
        <v>28</v>
      </c>
      <c r="J232" s="13">
        <v>28</v>
      </c>
      <c r="K232" s="13">
        <v>24</v>
      </c>
      <c r="L232" s="13">
        <v>26</v>
      </c>
      <c r="M232" s="13">
        <v>27</v>
      </c>
      <c r="N232" s="13">
        <v>24</v>
      </c>
      <c r="O232" s="13">
        <v>26</v>
      </c>
      <c r="P232" s="98">
        <v>18</v>
      </c>
      <c r="Q232" s="13">
        <v>26</v>
      </c>
      <c r="R232" s="13">
        <v>28</v>
      </c>
      <c r="S232" s="13">
        <v>19</v>
      </c>
      <c r="T232" s="13">
        <v>33</v>
      </c>
      <c r="U232" s="13">
        <v>24</v>
      </c>
      <c r="V232" s="13">
        <v>32</v>
      </c>
      <c r="W232" s="13">
        <v>29</v>
      </c>
      <c r="X232" s="13">
        <v>24</v>
      </c>
      <c r="Y232" s="13">
        <v>22</v>
      </c>
      <c r="Z232" s="13">
        <v>17</v>
      </c>
      <c r="AA232" s="13">
        <v>23</v>
      </c>
      <c r="AB232" s="21">
        <v>17</v>
      </c>
      <c r="AC232" s="13">
        <v>22</v>
      </c>
      <c r="AD232" s="13">
        <v>25</v>
      </c>
      <c r="AE232" s="2">
        <v>16</v>
      </c>
      <c r="AF232" s="13"/>
      <c r="AG232" s="13"/>
      <c r="AH232" s="13"/>
      <c r="DK232" s="32"/>
    </row>
    <row r="233" spans="1:115">
      <c r="A233" s="10" t="s">
        <v>344</v>
      </c>
      <c r="B233" s="11">
        <f>AVERAGE(E233:AE233)</f>
        <v>23.62962962962963</v>
      </c>
      <c r="C233" s="2">
        <f>MIN(E233:AE233)</f>
        <v>15</v>
      </c>
      <c r="D233" s="12">
        <f>MAX(E233:AE233)</f>
        <v>33</v>
      </c>
      <c r="E233" s="13">
        <v>17</v>
      </c>
      <c r="F233" s="13">
        <v>23</v>
      </c>
      <c r="G233" s="13">
        <v>15</v>
      </c>
      <c r="H233" s="13">
        <v>22</v>
      </c>
      <c r="I233" s="13">
        <v>28</v>
      </c>
      <c r="J233" s="13">
        <v>28</v>
      </c>
      <c r="K233" s="13">
        <v>24</v>
      </c>
      <c r="L233" s="13">
        <v>26</v>
      </c>
      <c r="M233" s="13">
        <v>27</v>
      </c>
      <c r="N233" s="13">
        <v>24</v>
      </c>
      <c r="O233" s="13">
        <v>26</v>
      </c>
      <c r="P233" s="13">
        <v>19</v>
      </c>
      <c r="Q233" s="13">
        <v>26</v>
      </c>
      <c r="R233" s="13">
        <v>28</v>
      </c>
      <c r="S233" s="13">
        <v>19</v>
      </c>
      <c r="T233" s="13">
        <v>33</v>
      </c>
      <c r="U233" s="13">
        <v>25</v>
      </c>
      <c r="V233" s="13">
        <v>32</v>
      </c>
      <c r="W233" s="13">
        <v>29</v>
      </c>
      <c r="X233" s="13">
        <v>24</v>
      </c>
      <c r="Y233" s="13">
        <v>22</v>
      </c>
      <c r="Z233" s="13">
        <v>17</v>
      </c>
      <c r="AA233" s="21">
        <v>24</v>
      </c>
      <c r="AB233" s="13">
        <v>17</v>
      </c>
      <c r="AC233" s="13">
        <v>22</v>
      </c>
      <c r="AD233" s="13">
        <v>25</v>
      </c>
      <c r="AE233" s="2">
        <v>16</v>
      </c>
      <c r="AF233" s="13"/>
      <c r="AG233" s="13"/>
      <c r="AH233" s="13"/>
      <c r="DK233" s="32"/>
    </row>
    <row r="234" spans="1:115">
      <c r="A234" s="10" t="s">
        <v>345</v>
      </c>
      <c r="B234" s="11">
        <f>AVERAGE(E234:AE234)</f>
        <v>23.925925925925927</v>
      </c>
      <c r="C234" s="2">
        <f>MIN(E234:AE234)</f>
        <v>16</v>
      </c>
      <c r="D234" s="12">
        <f>MAX(E234:AE234)</f>
        <v>33</v>
      </c>
      <c r="E234" s="13">
        <v>17</v>
      </c>
      <c r="F234" s="13">
        <v>23</v>
      </c>
      <c r="G234" s="21">
        <v>16</v>
      </c>
      <c r="H234" s="13">
        <v>23</v>
      </c>
      <c r="I234" s="13">
        <v>28</v>
      </c>
      <c r="J234" s="21">
        <v>29</v>
      </c>
      <c r="K234" s="13">
        <v>24</v>
      </c>
      <c r="L234" s="13">
        <v>26</v>
      </c>
      <c r="M234" s="13">
        <v>27</v>
      </c>
      <c r="N234" s="13">
        <v>24</v>
      </c>
      <c r="O234" s="47">
        <v>27</v>
      </c>
      <c r="P234" s="13">
        <v>19</v>
      </c>
      <c r="Q234" s="13">
        <v>26</v>
      </c>
      <c r="R234" s="13">
        <v>28</v>
      </c>
      <c r="S234" s="13">
        <v>19</v>
      </c>
      <c r="T234" s="13">
        <v>33</v>
      </c>
      <c r="U234" s="13">
        <v>25</v>
      </c>
      <c r="V234" s="13">
        <v>32</v>
      </c>
      <c r="W234" s="13">
        <v>29</v>
      </c>
      <c r="X234" s="21">
        <v>25</v>
      </c>
      <c r="Y234" s="13">
        <v>22</v>
      </c>
      <c r="Z234" s="21">
        <v>18</v>
      </c>
      <c r="AA234" s="13">
        <v>24</v>
      </c>
      <c r="AB234" s="13">
        <v>17</v>
      </c>
      <c r="AC234" s="13">
        <v>23</v>
      </c>
      <c r="AD234" s="13">
        <v>26</v>
      </c>
      <c r="AE234" s="2">
        <v>16</v>
      </c>
      <c r="AF234" s="13"/>
      <c r="AG234" s="13"/>
      <c r="AH234" s="13"/>
      <c r="DK234" s="32"/>
    </row>
    <row r="235" spans="1:115">
      <c r="A235" s="10" t="s">
        <v>346</v>
      </c>
      <c r="B235" s="11">
        <f>AVERAGE(E235:AE235)</f>
        <v>24.185185185185187</v>
      </c>
      <c r="C235" s="2">
        <f>MIN(E235:AE235)</f>
        <v>16</v>
      </c>
      <c r="D235" s="12">
        <f>MAX(E235:AE235)</f>
        <v>33</v>
      </c>
      <c r="E235" s="13">
        <v>17</v>
      </c>
      <c r="F235" s="21">
        <v>24</v>
      </c>
      <c r="G235" s="13">
        <v>16</v>
      </c>
      <c r="H235" s="13">
        <v>23</v>
      </c>
      <c r="I235" s="13">
        <v>28</v>
      </c>
      <c r="J235" s="13">
        <v>29</v>
      </c>
      <c r="K235" s="13">
        <v>24</v>
      </c>
      <c r="L235" s="13">
        <v>26</v>
      </c>
      <c r="M235" s="13">
        <v>27</v>
      </c>
      <c r="N235" s="13">
        <v>24</v>
      </c>
      <c r="O235" s="13">
        <v>27</v>
      </c>
      <c r="P235" s="13">
        <v>19</v>
      </c>
      <c r="Q235" s="13">
        <v>26</v>
      </c>
      <c r="R235" s="13">
        <v>28</v>
      </c>
      <c r="S235" s="13">
        <v>19</v>
      </c>
      <c r="T235" s="13">
        <v>33</v>
      </c>
      <c r="U235" s="13">
        <v>25</v>
      </c>
      <c r="V235" s="13">
        <v>32</v>
      </c>
      <c r="W235" s="13">
        <v>30</v>
      </c>
      <c r="X235" s="21">
        <v>26</v>
      </c>
      <c r="Y235" s="13">
        <v>22</v>
      </c>
      <c r="Z235" s="13">
        <v>19</v>
      </c>
      <c r="AA235" s="13">
        <v>24</v>
      </c>
      <c r="AB235" s="21">
        <v>18</v>
      </c>
      <c r="AC235" s="13">
        <v>24</v>
      </c>
      <c r="AD235" s="98">
        <v>27</v>
      </c>
      <c r="AE235" s="2">
        <v>16</v>
      </c>
      <c r="AF235" s="13"/>
      <c r="AG235" s="13"/>
      <c r="AH235" s="13"/>
      <c r="DK235" s="32"/>
    </row>
    <row r="236" spans="1:115">
      <c r="A236" s="10" t="s">
        <v>347</v>
      </c>
      <c r="B236" s="11">
        <f>AVERAGE(E236:AE236)</f>
        <v>24.37037037037037</v>
      </c>
      <c r="C236" s="2">
        <f>MIN(E236:AE236)</f>
        <v>16</v>
      </c>
      <c r="D236" s="12">
        <f>MAX(E236:AE236)</f>
        <v>33</v>
      </c>
      <c r="E236" s="13">
        <v>17</v>
      </c>
      <c r="F236" s="21">
        <v>25</v>
      </c>
      <c r="G236" s="13">
        <v>17</v>
      </c>
      <c r="H236" s="13">
        <v>23</v>
      </c>
      <c r="I236" s="13">
        <v>28</v>
      </c>
      <c r="J236" s="13">
        <v>29</v>
      </c>
      <c r="K236" s="13">
        <v>24</v>
      </c>
      <c r="L236" s="13">
        <v>26</v>
      </c>
      <c r="M236" s="21">
        <v>28</v>
      </c>
      <c r="N236" s="13">
        <v>25</v>
      </c>
      <c r="O236" s="13">
        <v>27</v>
      </c>
      <c r="P236" s="13">
        <v>19</v>
      </c>
      <c r="Q236" s="13">
        <v>27</v>
      </c>
      <c r="R236" s="13">
        <v>28</v>
      </c>
      <c r="S236" s="13">
        <v>19</v>
      </c>
      <c r="T236" s="13">
        <v>33</v>
      </c>
      <c r="U236" s="13">
        <v>25</v>
      </c>
      <c r="V236" s="13">
        <v>32</v>
      </c>
      <c r="W236" s="13">
        <v>30</v>
      </c>
      <c r="X236" s="13">
        <v>26</v>
      </c>
      <c r="Y236" s="13">
        <v>22</v>
      </c>
      <c r="Z236" s="13">
        <v>19</v>
      </c>
      <c r="AA236" s="13">
        <v>24</v>
      </c>
      <c r="AB236" s="13">
        <v>18</v>
      </c>
      <c r="AC236" s="13">
        <v>24</v>
      </c>
      <c r="AD236" s="13">
        <v>27</v>
      </c>
      <c r="AE236" s="2">
        <v>16</v>
      </c>
      <c r="AF236" s="13"/>
      <c r="AG236" s="13"/>
      <c r="AH236" s="13"/>
      <c r="DK236" s="32"/>
    </row>
    <row r="237" spans="1:115">
      <c r="A237" s="10" t="s">
        <v>348</v>
      </c>
      <c r="B237" s="11">
        <f>AVERAGE(E237:AE237)</f>
        <v>24.555555555555557</v>
      </c>
      <c r="C237" s="2">
        <f>MIN(E237:AE237)</f>
        <v>16</v>
      </c>
      <c r="D237" s="12">
        <f>MAX(E237:AE237)</f>
        <v>33</v>
      </c>
      <c r="E237" s="13">
        <v>17</v>
      </c>
      <c r="F237" s="13">
        <v>25</v>
      </c>
      <c r="G237" s="13">
        <v>18</v>
      </c>
      <c r="H237" s="13">
        <v>23</v>
      </c>
      <c r="I237" s="13">
        <v>28</v>
      </c>
      <c r="J237" s="13">
        <v>30</v>
      </c>
      <c r="K237" s="13">
        <v>25</v>
      </c>
      <c r="L237" s="13">
        <v>27</v>
      </c>
      <c r="M237" s="13">
        <v>28</v>
      </c>
      <c r="N237" s="13">
        <v>25</v>
      </c>
      <c r="O237" s="13">
        <v>27</v>
      </c>
      <c r="P237" s="13">
        <v>19</v>
      </c>
      <c r="Q237" s="13">
        <v>27</v>
      </c>
      <c r="R237" s="13">
        <v>28</v>
      </c>
      <c r="S237" s="13">
        <v>19</v>
      </c>
      <c r="T237" s="13">
        <v>33</v>
      </c>
      <c r="U237" s="13">
        <v>25</v>
      </c>
      <c r="V237" s="13">
        <v>32</v>
      </c>
      <c r="W237" s="13">
        <v>30</v>
      </c>
      <c r="X237" s="13">
        <v>26</v>
      </c>
      <c r="Y237" s="13">
        <v>22</v>
      </c>
      <c r="Z237" s="13">
        <v>19</v>
      </c>
      <c r="AA237" s="13">
        <v>24</v>
      </c>
      <c r="AB237" s="13">
        <v>18</v>
      </c>
      <c r="AC237" s="21">
        <v>25</v>
      </c>
      <c r="AD237" s="13">
        <v>27</v>
      </c>
      <c r="AE237" s="2">
        <v>16</v>
      </c>
      <c r="AF237" s="13"/>
      <c r="AG237" s="13"/>
      <c r="AH237" s="13"/>
      <c r="DK237" s="32"/>
    </row>
    <row r="238" spans="1:115">
      <c r="A238" s="10" t="s">
        <v>349</v>
      </c>
      <c r="B238" s="11">
        <f>AVERAGE(E238:AE238)</f>
        <v>24.777777777777779</v>
      </c>
      <c r="C238" s="2">
        <f>MIN(E238:AE238)</f>
        <v>16</v>
      </c>
      <c r="D238" s="12">
        <f>MAX(E238:AE238)</f>
        <v>33</v>
      </c>
      <c r="E238" s="13">
        <v>17</v>
      </c>
      <c r="F238" s="13">
        <v>26</v>
      </c>
      <c r="G238" s="13">
        <v>18</v>
      </c>
      <c r="H238" s="21">
        <v>24</v>
      </c>
      <c r="I238" s="13">
        <v>28</v>
      </c>
      <c r="J238" s="21">
        <v>31</v>
      </c>
      <c r="K238" s="13">
        <v>25</v>
      </c>
      <c r="L238" s="13">
        <v>27</v>
      </c>
      <c r="M238" s="21">
        <v>29</v>
      </c>
      <c r="N238" s="13">
        <v>25</v>
      </c>
      <c r="O238" s="13">
        <v>27</v>
      </c>
      <c r="P238" s="13">
        <v>19</v>
      </c>
      <c r="Q238" s="13">
        <v>27</v>
      </c>
      <c r="R238" s="98">
        <v>29</v>
      </c>
      <c r="S238" s="13">
        <v>19</v>
      </c>
      <c r="T238" s="13">
        <v>33</v>
      </c>
      <c r="U238" s="13">
        <v>25</v>
      </c>
      <c r="V238" s="13">
        <v>32</v>
      </c>
      <c r="W238" s="13">
        <v>30</v>
      </c>
      <c r="X238" s="13">
        <v>26</v>
      </c>
      <c r="Y238" s="13">
        <v>22</v>
      </c>
      <c r="Z238" s="13">
        <v>19</v>
      </c>
      <c r="AA238" s="13">
        <v>24</v>
      </c>
      <c r="AB238" s="13">
        <v>18</v>
      </c>
      <c r="AC238" s="13">
        <v>25</v>
      </c>
      <c r="AD238" s="13">
        <v>28</v>
      </c>
      <c r="AE238" s="2">
        <v>16</v>
      </c>
      <c r="AF238" s="13"/>
      <c r="AG238" s="13"/>
      <c r="AH238" s="13"/>
      <c r="DK238" s="32"/>
    </row>
    <row r="239" spans="1:115">
      <c r="A239" s="10" t="s">
        <v>350</v>
      </c>
      <c r="B239" s="11">
        <f>AVERAGE(E239:AE239)</f>
        <v>24.962962962962962</v>
      </c>
      <c r="C239" s="2">
        <f>MIN(E239:AE239)</f>
        <v>16</v>
      </c>
      <c r="D239" s="12">
        <f>MAX(E239:AE239)</f>
        <v>33</v>
      </c>
      <c r="E239" s="13">
        <v>17</v>
      </c>
      <c r="F239" s="13">
        <v>26</v>
      </c>
      <c r="G239" s="13">
        <v>18</v>
      </c>
      <c r="H239" s="13">
        <v>24</v>
      </c>
      <c r="I239" s="13">
        <v>28</v>
      </c>
      <c r="J239" s="13">
        <v>31</v>
      </c>
      <c r="K239" s="13">
        <v>26</v>
      </c>
      <c r="L239" s="13">
        <v>27</v>
      </c>
      <c r="M239" s="99">
        <v>30</v>
      </c>
      <c r="N239" s="13">
        <v>25</v>
      </c>
      <c r="O239" s="13">
        <v>27</v>
      </c>
      <c r="P239" s="13">
        <v>20</v>
      </c>
      <c r="Q239" s="13">
        <v>27</v>
      </c>
      <c r="R239" s="21">
        <v>30</v>
      </c>
      <c r="S239" s="13">
        <v>19</v>
      </c>
      <c r="T239" s="13">
        <v>33</v>
      </c>
      <c r="U239" s="13">
        <v>25</v>
      </c>
      <c r="V239" s="13">
        <v>32</v>
      </c>
      <c r="W239" s="13">
        <v>30</v>
      </c>
      <c r="X239" s="13">
        <v>26</v>
      </c>
      <c r="Y239" s="13">
        <v>22</v>
      </c>
      <c r="Z239" s="13">
        <v>19</v>
      </c>
      <c r="AA239" s="21">
        <v>25</v>
      </c>
      <c r="AB239" s="13">
        <v>18</v>
      </c>
      <c r="AC239" s="13">
        <v>25</v>
      </c>
      <c r="AD239" s="13">
        <v>28</v>
      </c>
      <c r="AE239" s="2">
        <v>16</v>
      </c>
      <c r="AF239" s="13"/>
      <c r="AG239" s="13"/>
      <c r="AH239" s="13"/>
      <c r="DK239" s="32"/>
    </row>
    <row r="240" spans="1:115">
      <c r="A240" s="10" t="s">
        <v>351</v>
      </c>
      <c r="B240" s="11">
        <f>AVERAGE(E240:AE240)</f>
        <v>25.074074074074073</v>
      </c>
      <c r="C240" s="2">
        <f>MIN(E240:AE240)</f>
        <v>16</v>
      </c>
      <c r="D240" s="12">
        <f>MAX(E240:AE240)</f>
        <v>33</v>
      </c>
      <c r="E240" s="13">
        <v>17</v>
      </c>
      <c r="F240" s="13">
        <v>26</v>
      </c>
      <c r="G240" s="13">
        <v>19</v>
      </c>
      <c r="H240" s="13">
        <v>24</v>
      </c>
      <c r="I240" s="13">
        <v>28</v>
      </c>
      <c r="J240" s="13">
        <v>31</v>
      </c>
      <c r="K240" s="13">
        <v>26</v>
      </c>
      <c r="L240" s="13">
        <v>27</v>
      </c>
      <c r="M240" s="13">
        <v>31</v>
      </c>
      <c r="N240" s="13">
        <v>25</v>
      </c>
      <c r="O240" s="13">
        <v>27</v>
      </c>
      <c r="P240" s="13">
        <v>20</v>
      </c>
      <c r="Q240" s="13">
        <v>27</v>
      </c>
      <c r="R240" s="13">
        <v>30</v>
      </c>
      <c r="S240" s="13">
        <v>19</v>
      </c>
      <c r="T240" s="13">
        <v>33</v>
      </c>
      <c r="U240" s="13">
        <v>25</v>
      </c>
      <c r="V240" s="13">
        <v>32</v>
      </c>
      <c r="W240" s="13">
        <v>30</v>
      </c>
      <c r="X240" s="13">
        <v>26</v>
      </c>
      <c r="Y240" s="13">
        <v>22</v>
      </c>
      <c r="Z240" s="13">
        <v>20</v>
      </c>
      <c r="AA240" s="13">
        <v>25</v>
      </c>
      <c r="AB240" s="13">
        <v>18</v>
      </c>
      <c r="AC240" s="13">
        <v>25</v>
      </c>
      <c r="AD240" s="13">
        <v>28</v>
      </c>
      <c r="AE240" s="2">
        <v>16</v>
      </c>
      <c r="AF240" s="13"/>
      <c r="AG240" s="13"/>
      <c r="AH240" s="13"/>
      <c r="DK240" s="32"/>
    </row>
    <row r="241" spans="1:115">
      <c r="A241" s="10" t="s">
        <v>352</v>
      </c>
      <c r="B241" s="11">
        <f>AVERAGE(E241:AE241)</f>
        <v>25.148148148148149</v>
      </c>
      <c r="C241" s="2">
        <f>MIN(E241:AE241)</f>
        <v>16</v>
      </c>
      <c r="D241" s="12">
        <f>MAX(E241:AE241)</f>
        <v>33</v>
      </c>
      <c r="E241" s="13">
        <v>17</v>
      </c>
      <c r="F241" s="13">
        <v>26</v>
      </c>
      <c r="G241" s="13">
        <v>19</v>
      </c>
      <c r="H241" s="13">
        <v>24</v>
      </c>
      <c r="I241" s="13">
        <v>28</v>
      </c>
      <c r="J241" s="13">
        <v>31</v>
      </c>
      <c r="K241" s="13">
        <v>26</v>
      </c>
      <c r="L241" s="13">
        <v>27</v>
      </c>
      <c r="M241" s="13">
        <v>32</v>
      </c>
      <c r="N241" s="13">
        <v>25</v>
      </c>
      <c r="O241" s="13">
        <v>27</v>
      </c>
      <c r="P241" s="13">
        <v>20</v>
      </c>
      <c r="Q241" s="21">
        <v>28</v>
      </c>
      <c r="R241" s="13">
        <v>30</v>
      </c>
      <c r="S241" s="13">
        <v>19</v>
      </c>
      <c r="T241" s="13">
        <v>33</v>
      </c>
      <c r="U241" s="13">
        <v>25</v>
      </c>
      <c r="V241" s="13">
        <v>32</v>
      </c>
      <c r="W241" s="13">
        <v>30</v>
      </c>
      <c r="X241" s="13">
        <v>26</v>
      </c>
      <c r="Y241" s="13">
        <v>22</v>
      </c>
      <c r="Z241" s="13">
        <v>20</v>
      </c>
      <c r="AA241" s="13">
        <v>25</v>
      </c>
      <c r="AB241" s="13">
        <v>18</v>
      </c>
      <c r="AC241" s="13">
        <v>25</v>
      </c>
      <c r="AD241" s="13">
        <v>28</v>
      </c>
      <c r="AE241" s="2">
        <v>16</v>
      </c>
      <c r="AF241" s="13"/>
      <c r="AG241" s="13"/>
      <c r="AH241" s="13"/>
      <c r="DK241" s="32"/>
    </row>
    <row r="242" spans="1:115">
      <c r="A242" s="10" t="s">
        <v>353</v>
      </c>
      <c r="B242" s="11">
        <f>AVERAGE(E242:AE242)</f>
        <v>25.296296296296298</v>
      </c>
      <c r="C242" s="2">
        <f>MIN(E242:AE242)</f>
        <v>16</v>
      </c>
      <c r="D242" s="12">
        <f>MAX(E242:AE242)</f>
        <v>33</v>
      </c>
      <c r="E242" s="13">
        <v>17</v>
      </c>
      <c r="F242" s="13">
        <v>26</v>
      </c>
      <c r="G242" s="21">
        <v>20</v>
      </c>
      <c r="H242" s="13">
        <v>24</v>
      </c>
      <c r="I242" s="13">
        <v>28</v>
      </c>
      <c r="J242" s="13">
        <v>31</v>
      </c>
      <c r="K242" s="13">
        <v>26</v>
      </c>
      <c r="L242" s="13">
        <v>27</v>
      </c>
      <c r="M242" s="13">
        <v>32</v>
      </c>
      <c r="N242" s="13">
        <v>25</v>
      </c>
      <c r="O242" s="21">
        <v>28</v>
      </c>
      <c r="P242" s="13">
        <v>20</v>
      </c>
      <c r="Q242" s="47">
        <v>29</v>
      </c>
      <c r="R242" s="13">
        <v>30</v>
      </c>
      <c r="S242" s="13">
        <v>19</v>
      </c>
      <c r="T242" s="13">
        <v>33</v>
      </c>
      <c r="U242" s="21">
        <v>26</v>
      </c>
      <c r="V242" s="13">
        <v>32</v>
      </c>
      <c r="W242" s="13">
        <v>30</v>
      </c>
      <c r="X242" s="13">
        <v>26</v>
      </c>
      <c r="Y242" s="13">
        <v>22</v>
      </c>
      <c r="Z242" s="13">
        <v>20</v>
      </c>
      <c r="AA242" s="13">
        <v>25</v>
      </c>
      <c r="AB242" s="13">
        <v>18</v>
      </c>
      <c r="AC242" s="13">
        <v>25</v>
      </c>
      <c r="AD242" s="13">
        <v>28</v>
      </c>
      <c r="AE242" s="2">
        <v>16</v>
      </c>
      <c r="AF242" s="13"/>
      <c r="AG242" s="13"/>
      <c r="AH242" s="13"/>
      <c r="DK242" s="32"/>
    </row>
    <row r="243" spans="1:115">
      <c r="A243" s="10" t="s">
        <v>354</v>
      </c>
      <c r="B243" s="11">
        <f>AVERAGE(E243:AE243)</f>
        <v>25.518518518518519</v>
      </c>
      <c r="C243" s="2">
        <f>MIN(E243:AE243)</f>
        <v>16</v>
      </c>
      <c r="D243" s="12">
        <f>MAX(E243:AE243)</f>
        <v>33</v>
      </c>
      <c r="E243" s="13">
        <v>17</v>
      </c>
      <c r="F243" s="13">
        <v>26</v>
      </c>
      <c r="G243" s="21">
        <v>21</v>
      </c>
      <c r="H243" s="13">
        <v>24</v>
      </c>
      <c r="I243" s="13">
        <v>28</v>
      </c>
      <c r="J243" s="13">
        <v>32</v>
      </c>
      <c r="K243" s="13">
        <v>26</v>
      </c>
      <c r="L243" s="13">
        <v>28</v>
      </c>
      <c r="M243" s="13">
        <v>32</v>
      </c>
      <c r="N243" s="13">
        <v>25</v>
      </c>
      <c r="O243" s="21">
        <v>29</v>
      </c>
      <c r="P243" s="13">
        <v>20</v>
      </c>
      <c r="Q243" s="13">
        <v>29</v>
      </c>
      <c r="R243" s="13">
        <v>30</v>
      </c>
      <c r="S243" s="13">
        <v>19</v>
      </c>
      <c r="T243" s="13">
        <v>33</v>
      </c>
      <c r="U243" s="13">
        <v>26</v>
      </c>
      <c r="V243" s="13">
        <v>32</v>
      </c>
      <c r="W243" s="13">
        <v>31</v>
      </c>
      <c r="X243" s="13">
        <v>26</v>
      </c>
      <c r="Y243" s="13">
        <v>22</v>
      </c>
      <c r="Z243" s="13">
        <v>20</v>
      </c>
      <c r="AA243" s="13">
        <v>25</v>
      </c>
      <c r="AB243" s="98">
        <v>19</v>
      </c>
      <c r="AC243" s="13">
        <v>25</v>
      </c>
      <c r="AD243" s="13">
        <v>28</v>
      </c>
      <c r="AE243" s="2">
        <v>16</v>
      </c>
      <c r="AF243" s="13"/>
      <c r="AG243" s="13"/>
      <c r="AH243" s="13"/>
      <c r="DK243" s="32"/>
    </row>
    <row r="244" spans="1:115">
      <c r="A244" s="10" t="s">
        <v>355</v>
      </c>
      <c r="B244" s="11">
        <f>AVERAGE(E244:AE244)</f>
        <v>25.62962962962963</v>
      </c>
      <c r="C244" s="2">
        <f>MIN(E244:AE244)</f>
        <v>16</v>
      </c>
      <c r="D244" s="12">
        <f>MAX(E244:AE244)</f>
        <v>33</v>
      </c>
      <c r="E244" s="13">
        <v>17</v>
      </c>
      <c r="F244" s="13">
        <v>26</v>
      </c>
      <c r="G244" s="98">
        <v>22</v>
      </c>
      <c r="H244" s="13">
        <v>24</v>
      </c>
      <c r="I244" s="13">
        <v>28</v>
      </c>
      <c r="J244" s="13">
        <v>32</v>
      </c>
      <c r="K244" s="13">
        <v>26</v>
      </c>
      <c r="L244" s="13">
        <v>29</v>
      </c>
      <c r="M244" s="13">
        <v>32</v>
      </c>
      <c r="N244" s="13">
        <v>25</v>
      </c>
      <c r="O244" s="13">
        <v>29</v>
      </c>
      <c r="P244" s="13">
        <v>20</v>
      </c>
      <c r="Q244" s="13">
        <v>29</v>
      </c>
      <c r="R244" s="13">
        <v>30</v>
      </c>
      <c r="S244" s="13">
        <v>19</v>
      </c>
      <c r="T244" s="13">
        <v>33</v>
      </c>
      <c r="U244" s="13">
        <v>26</v>
      </c>
      <c r="V244" s="13">
        <v>32</v>
      </c>
      <c r="W244" s="13">
        <v>31</v>
      </c>
      <c r="X244" s="13">
        <v>26</v>
      </c>
      <c r="Y244" s="13">
        <v>22</v>
      </c>
      <c r="Z244" s="13">
        <v>20</v>
      </c>
      <c r="AA244" s="13">
        <v>25</v>
      </c>
      <c r="AB244" s="21">
        <v>20</v>
      </c>
      <c r="AC244" s="13">
        <v>25</v>
      </c>
      <c r="AD244" s="13">
        <v>28</v>
      </c>
      <c r="AE244" s="2">
        <v>16</v>
      </c>
      <c r="AF244" s="13"/>
      <c r="AG244" s="13"/>
      <c r="AH244" s="13"/>
      <c r="DK244" s="32"/>
    </row>
    <row r="245" spans="1:115">
      <c r="A245" s="10" t="s">
        <v>356</v>
      </c>
      <c r="B245" s="11">
        <f>AVERAGE(E245:AE245)</f>
        <v>25.666666666666668</v>
      </c>
      <c r="C245" s="2">
        <f>MIN(E245:AE245)</f>
        <v>16</v>
      </c>
      <c r="D245" s="12">
        <f>MAX(E245:AE245)</f>
        <v>33</v>
      </c>
      <c r="E245" s="13">
        <v>17</v>
      </c>
      <c r="F245" s="13">
        <v>26</v>
      </c>
      <c r="G245" s="13">
        <v>22</v>
      </c>
      <c r="H245" s="13">
        <v>24</v>
      </c>
      <c r="I245" s="13">
        <v>28</v>
      </c>
      <c r="J245" s="13">
        <v>32</v>
      </c>
      <c r="K245" s="13">
        <v>26</v>
      </c>
      <c r="L245" s="13">
        <v>29</v>
      </c>
      <c r="M245" s="13">
        <v>32</v>
      </c>
      <c r="N245" s="13">
        <v>25</v>
      </c>
      <c r="O245" s="13">
        <v>29</v>
      </c>
      <c r="P245" s="13">
        <v>20</v>
      </c>
      <c r="Q245" s="13">
        <v>29</v>
      </c>
      <c r="R245" s="13">
        <v>30</v>
      </c>
      <c r="S245" s="13">
        <v>19</v>
      </c>
      <c r="T245" s="13">
        <v>33</v>
      </c>
      <c r="U245" s="13">
        <v>26</v>
      </c>
      <c r="V245" s="13">
        <v>32</v>
      </c>
      <c r="W245" s="13">
        <v>31</v>
      </c>
      <c r="X245" s="13">
        <v>26</v>
      </c>
      <c r="Y245" s="21">
        <v>23</v>
      </c>
      <c r="Z245" s="13">
        <v>20</v>
      </c>
      <c r="AA245" s="13">
        <v>25</v>
      </c>
      <c r="AB245" s="13">
        <v>20</v>
      </c>
      <c r="AC245" s="13">
        <v>25</v>
      </c>
      <c r="AD245" s="13">
        <v>28</v>
      </c>
      <c r="AE245" s="2">
        <v>16</v>
      </c>
      <c r="AF245" s="13"/>
      <c r="AG245" s="13"/>
      <c r="AH245" s="13"/>
      <c r="DK245" s="32"/>
    </row>
    <row r="246" spans="1:115">
      <c r="A246" s="10" t="s">
        <v>357</v>
      </c>
      <c r="B246" s="11">
        <f>AVERAGE(E246:AE246)</f>
        <v>25.777777777777779</v>
      </c>
      <c r="C246" s="2">
        <f>MIN(E246:AE246)</f>
        <v>16</v>
      </c>
      <c r="D246" s="12">
        <f>MAX(E246:AE246)</f>
        <v>33</v>
      </c>
      <c r="E246" s="13">
        <v>17</v>
      </c>
      <c r="F246" s="13">
        <v>26</v>
      </c>
      <c r="G246" s="13">
        <v>22</v>
      </c>
      <c r="H246" s="21">
        <v>25</v>
      </c>
      <c r="I246" s="13">
        <v>28</v>
      </c>
      <c r="J246" s="13">
        <v>32</v>
      </c>
      <c r="K246" s="13">
        <v>26</v>
      </c>
      <c r="L246" s="13">
        <v>29</v>
      </c>
      <c r="M246" s="13">
        <v>32</v>
      </c>
      <c r="N246" s="13">
        <v>25</v>
      </c>
      <c r="O246" s="13">
        <v>29</v>
      </c>
      <c r="P246" s="13">
        <v>20</v>
      </c>
      <c r="Q246" s="13">
        <v>29</v>
      </c>
      <c r="R246" s="13">
        <v>30</v>
      </c>
      <c r="S246" s="13">
        <v>19</v>
      </c>
      <c r="T246" s="13">
        <v>33</v>
      </c>
      <c r="U246" s="13">
        <v>26</v>
      </c>
      <c r="V246" s="13">
        <v>32</v>
      </c>
      <c r="W246" s="13">
        <v>31</v>
      </c>
      <c r="X246" s="13">
        <v>26</v>
      </c>
      <c r="Y246" s="13">
        <v>24</v>
      </c>
      <c r="Z246" s="13">
        <v>20</v>
      </c>
      <c r="AA246" s="13">
        <v>26</v>
      </c>
      <c r="AB246" s="13">
        <v>20</v>
      </c>
      <c r="AC246" s="13">
        <v>25</v>
      </c>
      <c r="AD246" s="13">
        <v>28</v>
      </c>
      <c r="AE246" s="2">
        <v>16</v>
      </c>
      <c r="AF246" s="13"/>
      <c r="AG246" s="13"/>
      <c r="AH246" s="13"/>
      <c r="DK246" s="32"/>
    </row>
    <row r="247" spans="1:115">
      <c r="A247" s="10" t="s">
        <v>358</v>
      </c>
      <c r="B247" s="11">
        <f>AVERAGE(E247:AE247)</f>
        <v>25.925925925925927</v>
      </c>
      <c r="C247" s="2">
        <f>MIN(E247:AE247)</f>
        <v>16</v>
      </c>
      <c r="D247" s="12">
        <f>MAX(E247:AE247)</f>
        <v>34</v>
      </c>
      <c r="E247" s="13">
        <v>17</v>
      </c>
      <c r="F247" s="13">
        <v>26</v>
      </c>
      <c r="G247" s="13">
        <v>22</v>
      </c>
      <c r="H247" s="13">
        <v>25</v>
      </c>
      <c r="I247" s="13">
        <v>28</v>
      </c>
      <c r="J247" s="21">
        <v>33</v>
      </c>
      <c r="K247" s="13">
        <v>26</v>
      </c>
      <c r="L247" s="13">
        <v>29</v>
      </c>
      <c r="M247" s="13">
        <v>32</v>
      </c>
      <c r="N247" s="13">
        <v>25</v>
      </c>
      <c r="O247" s="13">
        <v>29</v>
      </c>
      <c r="P247" s="13">
        <v>20</v>
      </c>
      <c r="Q247" s="13">
        <v>29</v>
      </c>
      <c r="R247" s="13">
        <v>31</v>
      </c>
      <c r="S247" s="13">
        <v>19</v>
      </c>
      <c r="T247" s="13">
        <v>34</v>
      </c>
      <c r="U247" s="13">
        <v>26</v>
      </c>
      <c r="V247" s="13">
        <v>32</v>
      </c>
      <c r="W247" s="13">
        <v>31</v>
      </c>
      <c r="X247" s="13">
        <v>26</v>
      </c>
      <c r="Y247" s="13">
        <v>24</v>
      </c>
      <c r="Z247" s="13">
        <v>20</v>
      </c>
      <c r="AA247" s="13">
        <v>26</v>
      </c>
      <c r="AB247" s="13">
        <v>20</v>
      </c>
      <c r="AC247" s="13">
        <v>25</v>
      </c>
      <c r="AD247" s="21">
        <v>29</v>
      </c>
      <c r="AE247" s="2">
        <v>16</v>
      </c>
      <c r="AF247" s="13"/>
      <c r="AG247" s="13"/>
      <c r="AH247" s="13"/>
      <c r="DK247" s="32"/>
    </row>
    <row r="248" spans="1:115">
      <c r="A248" s="10" t="s">
        <v>359</v>
      </c>
      <c r="B248" s="11">
        <f>AVERAGE(E248:AE248)</f>
        <v>26</v>
      </c>
      <c r="C248" s="2">
        <f>MIN(E248:AE248)</f>
        <v>16</v>
      </c>
      <c r="D248" s="12">
        <f>MAX(E248:AE248)</f>
        <v>34</v>
      </c>
      <c r="E248" s="13">
        <v>17</v>
      </c>
      <c r="F248" s="13">
        <v>27</v>
      </c>
      <c r="G248" s="13">
        <v>22</v>
      </c>
      <c r="H248" s="13">
        <v>25</v>
      </c>
      <c r="I248" s="13">
        <v>29</v>
      </c>
      <c r="J248" s="13">
        <v>33</v>
      </c>
      <c r="K248" s="13">
        <v>26</v>
      </c>
      <c r="L248" s="13">
        <v>29</v>
      </c>
      <c r="M248" s="13">
        <v>32</v>
      </c>
      <c r="N248" s="13">
        <v>25</v>
      </c>
      <c r="O248" s="13">
        <v>29</v>
      </c>
      <c r="P248" s="13">
        <v>20</v>
      </c>
      <c r="Q248" s="13">
        <v>29</v>
      </c>
      <c r="R248" s="13">
        <v>31</v>
      </c>
      <c r="S248" s="13">
        <v>19</v>
      </c>
      <c r="T248" s="13">
        <v>34</v>
      </c>
      <c r="U248" s="13">
        <v>26</v>
      </c>
      <c r="V248" s="13">
        <v>32</v>
      </c>
      <c r="W248" s="13">
        <v>31</v>
      </c>
      <c r="X248" s="13">
        <v>26</v>
      </c>
      <c r="Y248" s="13">
        <v>24</v>
      </c>
      <c r="Z248" s="13">
        <v>20</v>
      </c>
      <c r="AA248" s="13">
        <v>26</v>
      </c>
      <c r="AB248" s="13">
        <v>20</v>
      </c>
      <c r="AC248" s="13">
        <v>25</v>
      </c>
      <c r="AD248" s="13">
        <v>29</v>
      </c>
      <c r="AE248" s="2">
        <v>16</v>
      </c>
      <c r="AF248" s="13"/>
      <c r="AG248" s="13"/>
      <c r="AH248" s="13"/>
      <c r="DK248" s="32"/>
    </row>
    <row r="249" spans="1:115">
      <c r="A249" s="10" t="s">
        <v>360</v>
      </c>
      <c r="B249" s="11">
        <f>AVERAGE(E249:AE249)</f>
        <v>26.111111111111111</v>
      </c>
      <c r="C249" s="2">
        <f>MIN(E249:AE249)</f>
        <v>16</v>
      </c>
      <c r="D249" s="12">
        <f>MAX(E249:AE249)</f>
        <v>34</v>
      </c>
      <c r="E249" s="13">
        <v>17</v>
      </c>
      <c r="F249" s="13">
        <v>27</v>
      </c>
      <c r="G249" s="13">
        <v>22</v>
      </c>
      <c r="H249" s="21">
        <v>26</v>
      </c>
      <c r="I249" s="13">
        <v>29</v>
      </c>
      <c r="J249" s="13">
        <v>33</v>
      </c>
      <c r="K249" s="13">
        <v>26</v>
      </c>
      <c r="L249" s="13">
        <v>29</v>
      </c>
      <c r="M249" s="13">
        <v>32</v>
      </c>
      <c r="N249" s="13">
        <v>25</v>
      </c>
      <c r="O249" s="13">
        <v>29</v>
      </c>
      <c r="P249" s="13">
        <v>20</v>
      </c>
      <c r="Q249" s="13">
        <v>29</v>
      </c>
      <c r="R249" s="13">
        <v>31</v>
      </c>
      <c r="S249" s="13">
        <v>19</v>
      </c>
      <c r="T249" s="13">
        <v>34</v>
      </c>
      <c r="U249" s="21">
        <v>27</v>
      </c>
      <c r="V249" s="13">
        <v>32</v>
      </c>
      <c r="W249" s="13">
        <v>31</v>
      </c>
      <c r="X249" s="13">
        <v>26</v>
      </c>
      <c r="Y249" s="13">
        <v>25</v>
      </c>
      <c r="Z249" s="13">
        <v>20</v>
      </c>
      <c r="AA249" s="13">
        <v>26</v>
      </c>
      <c r="AB249" s="13">
        <v>20</v>
      </c>
      <c r="AC249" s="13">
        <v>25</v>
      </c>
      <c r="AD249" s="13">
        <v>29</v>
      </c>
      <c r="AE249" s="2">
        <v>16</v>
      </c>
      <c r="AF249" s="13"/>
      <c r="AG249" s="13"/>
      <c r="AH249" s="13"/>
      <c r="DK249" s="32"/>
    </row>
    <row r="250" spans="1:115">
      <c r="A250" s="10" t="s">
        <v>361</v>
      </c>
      <c r="B250" s="11">
        <f>AVERAGE(E250:AE250)</f>
        <v>26.148148148148149</v>
      </c>
      <c r="C250" s="2">
        <f>MIN(E250:AE250)</f>
        <v>17</v>
      </c>
      <c r="D250" s="12">
        <f>MAX(E250:AE250)</f>
        <v>34</v>
      </c>
      <c r="E250" s="13">
        <v>17</v>
      </c>
      <c r="F250" s="13">
        <v>27</v>
      </c>
      <c r="G250" s="13">
        <v>22</v>
      </c>
      <c r="H250" s="13">
        <v>26</v>
      </c>
      <c r="I250" s="13">
        <v>29</v>
      </c>
      <c r="J250" s="13">
        <v>33</v>
      </c>
      <c r="K250" s="13">
        <v>26</v>
      </c>
      <c r="L250" s="13">
        <v>29</v>
      </c>
      <c r="M250" s="13">
        <v>32</v>
      </c>
      <c r="N250" s="13">
        <v>25</v>
      </c>
      <c r="O250" s="13">
        <v>29</v>
      </c>
      <c r="P250" s="13">
        <v>20</v>
      </c>
      <c r="Q250" s="13">
        <v>29</v>
      </c>
      <c r="R250" s="13">
        <v>31</v>
      </c>
      <c r="S250" s="13">
        <v>19</v>
      </c>
      <c r="T250" s="13">
        <v>34</v>
      </c>
      <c r="U250" s="13">
        <v>27</v>
      </c>
      <c r="V250" s="13">
        <v>32</v>
      </c>
      <c r="W250" s="13">
        <v>31</v>
      </c>
      <c r="X250" s="13">
        <v>26</v>
      </c>
      <c r="Y250" s="13">
        <v>25</v>
      </c>
      <c r="Z250" s="13">
        <v>20</v>
      </c>
      <c r="AA250" s="13">
        <v>26</v>
      </c>
      <c r="AB250" s="13">
        <v>20</v>
      </c>
      <c r="AC250" s="13">
        <v>25</v>
      </c>
      <c r="AD250" s="13">
        <v>29</v>
      </c>
      <c r="AE250" s="101">
        <v>17</v>
      </c>
      <c r="AF250" s="13"/>
      <c r="AG250" s="13"/>
      <c r="AH250" s="13"/>
      <c r="DK250" s="32"/>
    </row>
    <row r="251" spans="1:115">
      <c r="A251" s="10" t="s">
        <v>362</v>
      </c>
      <c r="B251" s="11">
        <f>AVERAGE(E251:AE251)</f>
        <v>26.185185185185187</v>
      </c>
      <c r="C251" s="2">
        <f>MIN(E251:AE251)</f>
        <v>17</v>
      </c>
      <c r="D251" s="12">
        <f>MAX(E251:AE251)</f>
        <v>34</v>
      </c>
      <c r="E251" s="13">
        <v>17</v>
      </c>
      <c r="F251" s="13">
        <v>27</v>
      </c>
      <c r="G251" s="13">
        <v>22</v>
      </c>
      <c r="H251" s="13">
        <v>26</v>
      </c>
      <c r="I251" s="13">
        <v>29</v>
      </c>
      <c r="J251" s="13">
        <v>33</v>
      </c>
      <c r="K251" s="13">
        <v>26</v>
      </c>
      <c r="L251" s="13">
        <v>29</v>
      </c>
      <c r="M251" s="13">
        <v>32</v>
      </c>
      <c r="N251" s="13">
        <v>25</v>
      </c>
      <c r="O251" s="13">
        <v>29</v>
      </c>
      <c r="P251" s="13">
        <v>20</v>
      </c>
      <c r="Q251" s="13">
        <v>29</v>
      </c>
      <c r="R251" s="13">
        <v>31</v>
      </c>
      <c r="S251" s="13">
        <v>19</v>
      </c>
      <c r="T251" s="13">
        <v>34</v>
      </c>
      <c r="U251" s="13">
        <v>27</v>
      </c>
      <c r="V251" s="13">
        <v>32</v>
      </c>
      <c r="W251" s="13">
        <v>31</v>
      </c>
      <c r="X251" s="13">
        <v>26</v>
      </c>
      <c r="Y251" s="13">
        <v>25</v>
      </c>
      <c r="Z251" s="13">
        <v>20</v>
      </c>
      <c r="AA251" s="13">
        <v>26</v>
      </c>
      <c r="AB251" s="13">
        <v>20</v>
      </c>
      <c r="AC251" s="13">
        <v>25</v>
      </c>
      <c r="AD251" s="21">
        <v>30</v>
      </c>
      <c r="AE251" s="2">
        <v>17</v>
      </c>
      <c r="AF251" s="13"/>
      <c r="AG251" s="13"/>
      <c r="AH251" s="13"/>
      <c r="DK251" s="32"/>
    </row>
    <row r="252" spans="1:115">
      <c r="A252" s="10" t="s">
        <v>363</v>
      </c>
      <c r="B252" s="11">
        <f>AVERAGE(E252:AE252)</f>
        <v>26.222222222222221</v>
      </c>
      <c r="C252" s="2">
        <f>MIN(E252:AE252)</f>
        <v>17</v>
      </c>
      <c r="D252" s="12">
        <f>MAX(E252:AE252)</f>
        <v>34</v>
      </c>
      <c r="E252" s="13">
        <v>17</v>
      </c>
      <c r="F252" s="13">
        <v>27</v>
      </c>
      <c r="G252" s="13">
        <v>22</v>
      </c>
      <c r="H252" s="13">
        <v>26</v>
      </c>
      <c r="I252" s="13">
        <v>29</v>
      </c>
      <c r="J252" s="13">
        <v>33</v>
      </c>
      <c r="K252" s="13">
        <v>26</v>
      </c>
      <c r="L252" s="13">
        <v>29</v>
      </c>
      <c r="M252" s="13">
        <v>32</v>
      </c>
      <c r="N252" s="13">
        <v>25</v>
      </c>
      <c r="O252" s="13">
        <v>29</v>
      </c>
      <c r="P252" s="13">
        <v>20</v>
      </c>
      <c r="Q252" s="13">
        <v>29</v>
      </c>
      <c r="R252" s="13">
        <v>31</v>
      </c>
      <c r="S252" s="13">
        <v>19</v>
      </c>
      <c r="T252" s="13">
        <v>34</v>
      </c>
      <c r="U252" s="13">
        <v>27</v>
      </c>
      <c r="V252" s="21">
        <v>33</v>
      </c>
      <c r="W252" s="13">
        <v>31</v>
      </c>
      <c r="X252" s="13">
        <v>26</v>
      </c>
      <c r="Y252" s="13">
        <v>25</v>
      </c>
      <c r="Z252" s="13">
        <v>20</v>
      </c>
      <c r="AA252" s="13">
        <v>26</v>
      </c>
      <c r="AB252" s="13">
        <v>20</v>
      </c>
      <c r="AC252" s="13">
        <v>25</v>
      </c>
      <c r="AD252" s="13">
        <v>30</v>
      </c>
      <c r="AE252" s="2">
        <v>17</v>
      </c>
      <c r="AF252" s="13"/>
      <c r="AG252" s="13"/>
      <c r="AH252" s="13"/>
      <c r="DK252" s="32"/>
    </row>
    <row r="253" spans="1:115">
      <c r="A253" s="10" t="s">
        <v>364</v>
      </c>
      <c r="B253" s="11">
        <f>AVERAGE(E253:AE253)</f>
        <v>26.333333333333332</v>
      </c>
      <c r="C253" s="2">
        <f>MIN(E253:AE253)</f>
        <v>17</v>
      </c>
      <c r="D253" s="12">
        <f>MAX(E253:AE253)</f>
        <v>34</v>
      </c>
      <c r="E253" s="13">
        <v>17</v>
      </c>
      <c r="F253" s="13">
        <v>27</v>
      </c>
      <c r="G253" s="13">
        <v>22</v>
      </c>
      <c r="H253" s="13">
        <v>27</v>
      </c>
      <c r="I253" s="13">
        <v>29</v>
      </c>
      <c r="J253" s="13">
        <v>33</v>
      </c>
      <c r="K253" s="13">
        <v>26</v>
      </c>
      <c r="L253" s="13">
        <v>29</v>
      </c>
      <c r="M253" s="13">
        <v>32</v>
      </c>
      <c r="N253" s="13">
        <v>25</v>
      </c>
      <c r="O253" s="13">
        <v>29</v>
      </c>
      <c r="P253" s="13">
        <v>20</v>
      </c>
      <c r="Q253" s="13">
        <v>30</v>
      </c>
      <c r="R253" s="13">
        <v>31</v>
      </c>
      <c r="S253" s="13">
        <v>19</v>
      </c>
      <c r="T253" s="13">
        <v>34</v>
      </c>
      <c r="U253" s="13">
        <v>27</v>
      </c>
      <c r="V253" s="13">
        <v>33</v>
      </c>
      <c r="W253" s="13">
        <v>31</v>
      </c>
      <c r="X253" s="13">
        <v>26</v>
      </c>
      <c r="Y253" s="13">
        <v>25</v>
      </c>
      <c r="Z253" s="13">
        <v>21</v>
      </c>
      <c r="AA253" s="13">
        <v>26</v>
      </c>
      <c r="AB253" s="13">
        <v>20</v>
      </c>
      <c r="AC253" s="13">
        <v>25</v>
      </c>
      <c r="AD253" s="13">
        <v>30</v>
      </c>
      <c r="AE253" s="2">
        <v>17</v>
      </c>
      <c r="AF253" s="13"/>
      <c r="AG253" s="13"/>
      <c r="AH253" s="13"/>
      <c r="DK253" s="32"/>
    </row>
    <row r="254" spans="1:115">
      <c r="A254" s="10" t="s">
        <v>365</v>
      </c>
      <c r="B254" s="11">
        <f>AVERAGE(E254:AE254)</f>
        <v>26.444444444444443</v>
      </c>
      <c r="C254" s="2">
        <f>MIN(E254:AE254)</f>
        <v>17</v>
      </c>
      <c r="D254" s="12">
        <f>MAX(E254:AE254)</f>
        <v>35</v>
      </c>
      <c r="E254" s="13">
        <v>17</v>
      </c>
      <c r="F254" s="13">
        <v>27</v>
      </c>
      <c r="G254" s="13">
        <v>22</v>
      </c>
      <c r="H254" s="21">
        <v>28</v>
      </c>
      <c r="I254" s="13">
        <v>29</v>
      </c>
      <c r="J254" s="13">
        <v>33</v>
      </c>
      <c r="K254" s="13">
        <v>26</v>
      </c>
      <c r="L254" s="13">
        <v>29</v>
      </c>
      <c r="M254" s="13">
        <v>32</v>
      </c>
      <c r="N254" s="13">
        <v>25</v>
      </c>
      <c r="O254" s="13">
        <v>29</v>
      </c>
      <c r="P254" s="13">
        <v>20</v>
      </c>
      <c r="Q254" s="13">
        <v>30</v>
      </c>
      <c r="R254" s="13">
        <v>31</v>
      </c>
      <c r="S254" s="13">
        <v>19</v>
      </c>
      <c r="T254" s="13">
        <v>35</v>
      </c>
      <c r="U254" s="13">
        <v>27</v>
      </c>
      <c r="V254" s="13">
        <v>33</v>
      </c>
      <c r="W254" s="13">
        <v>31</v>
      </c>
      <c r="X254" s="13">
        <v>26</v>
      </c>
      <c r="Y254" s="13">
        <v>25</v>
      </c>
      <c r="Z254" s="13">
        <v>21</v>
      </c>
      <c r="AA254" s="13">
        <v>26</v>
      </c>
      <c r="AB254" s="21">
        <v>21</v>
      </c>
      <c r="AC254" s="13">
        <v>25</v>
      </c>
      <c r="AD254" s="13">
        <v>30</v>
      </c>
      <c r="AE254" s="2">
        <v>17</v>
      </c>
      <c r="AF254" s="13"/>
      <c r="AG254" s="13"/>
      <c r="AH254" s="13"/>
      <c r="DK254" s="32"/>
    </row>
    <row r="255" spans="1:115">
      <c r="A255" s="10" t="s">
        <v>366</v>
      </c>
      <c r="B255" s="11">
        <f>AVERAGE(E255:AE255)</f>
        <v>26.518518518518519</v>
      </c>
      <c r="C255" s="2">
        <f>MIN(E255:AE255)</f>
        <v>17</v>
      </c>
      <c r="D255" s="12">
        <f>MAX(E255:AE255)</f>
        <v>36</v>
      </c>
      <c r="E255" s="13">
        <v>17</v>
      </c>
      <c r="F255" s="13">
        <v>27</v>
      </c>
      <c r="G255" s="13">
        <v>22</v>
      </c>
      <c r="H255" s="13">
        <v>28</v>
      </c>
      <c r="I255" s="13">
        <v>29</v>
      </c>
      <c r="J255" s="13">
        <v>33</v>
      </c>
      <c r="K255" s="13">
        <v>26</v>
      </c>
      <c r="L255" s="13">
        <v>29</v>
      </c>
      <c r="M255" s="13">
        <v>32</v>
      </c>
      <c r="N255" s="13">
        <v>25</v>
      </c>
      <c r="O255" s="13">
        <v>29</v>
      </c>
      <c r="P255" s="13">
        <v>20</v>
      </c>
      <c r="Q255" s="13">
        <v>30</v>
      </c>
      <c r="R255" s="13">
        <v>31</v>
      </c>
      <c r="S255" s="13">
        <v>19</v>
      </c>
      <c r="T255" s="21">
        <v>36</v>
      </c>
      <c r="U255" s="13">
        <v>27</v>
      </c>
      <c r="V255" s="13">
        <v>33</v>
      </c>
      <c r="W255" s="13">
        <v>31</v>
      </c>
      <c r="X255" s="13">
        <v>26</v>
      </c>
      <c r="Y255" s="13">
        <v>25</v>
      </c>
      <c r="Z255" s="13">
        <v>21</v>
      </c>
      <c r="AA255" s="13">
        <v>26</v>
      </c>
      <c r="AB255" s="13">
        <v>22</v>
      </c>
      <c r="AC255" s="13">
        <v>25</v>
      </c>
      <c r="AD255" s="13">
        <v>30</v>
      </c>
      <c r="AE255" s="2">
        <v>17</v>
      </c>
      <c r="AF255" s="13"/>
      <c r="AG255" s="13"/>
      <c r="AH255" s="13"/>
      <c r="DK255" s="32"/>
    </row>
    <row r="256" spans="1:115">
      <c r="A256" s="10" t="s">
        <v>367</v>
      </c>
      <c r="B256" s="11">
        <f>AVERAGE(E256:AE256)</f>
        <v>26.592592592592592</v>
      </c>
      <c r="C256" s="2">
        <f>MIN(E256:AE256)</f>
        <v>17</v>
      </c>
      <c r="D256" s="12">
        <f>MAX(E256:AE256)</f>
        <v>37</v>
      </c>
      <c r="E256" s="13">
        <v>17</v>
      </c>
      <c r="F256" s="13">
        <v>27</v>
      </c>
      <c r="G256" s="13">
        <v>22</v>
      </c>
      <c r="H256" s="13">
        <v>28</v>
      </c>
      <c r="I256" s="13">
        <v>29</v>
      </c>
      <c r="J256" s="13">
        <v>33</v>
      </c>
      <c r="K256" s="13">
        <v>26</v>
      </c>
      <c r="L256" s="13">
        <v>29</v>
      </c>
      <c r="M256" s="13">
        <v>32</v>
      </c>
      <c r="N256" s="13">
        <v>26</v>
      </c>
      <c r="O256" s="13">
        <v>29</v>
      </c>
      <c r="P256" s="13">
        <v>20</v>
      </c>
      <c r="Q256" s="13">
        <v>30</v>
      </c>
      <c r="R256" s="13">
        <v>31</v>
      </c>
      <c r="S256" s="13">
        <v>19</v>
      </c>
      <c r="T256" s="13">
        <v>37</v>
      </c>
      <c r="U256" s="13">
        <v>27</v>
      </c>
      <c r="V256" s="13">
        <v>33</v>
      </c>
      <c r="W256" s="13">
        <v>31</v>
      </c>
      <c r="X256" s="13">
        <v>26</v>
      </c>
      <c r="Y256" s="13">
        <v>25</v>
      </c>
      <c r="Z256" s="13">
        <v>21</v>
      </c>
      <c r="AA256" s="13">
        <v>26</v>
      </c>
      <c r="AB256" s="13">
        <v>22</v>
      </c>
      <c r="AC256" s="13">
        <v>25</v>
      </c>
      <c r="AD256" s="13">
        <v>30</v>
      </c>
      <c r="AE256" s="2">
        <v>17</v>
      </c>
      <c r="AF256" s="13"/>
      <c r="AG256" s="13"/>
      <c r="AH256" s="13"/>
      <c r="DK256" s="32"/>
    </row>
    <row r="257" spans="1:115">
      <c r="A257" s="10" t="s">
        <v>368</v>
      </c>
      <c r="B257" s="11">
        <f>AVERAGE(E257:AE257)</f>
        <v>26.666666666666668</v>
      </c>
      <c r="C257" s="2">
        <f>MIN(E257:AE257)</f>
        <v>17</v>
      </c>
      <c r="D257" s="12">
        <f>MAX(E257:AE257)</f>
        <v>37</v>
      </c>
      <c r="E257" s="13">
        <v>17</v>
      </c>
      <c r="F257" s="13">
        <v>27</v>
      </c>
      <c r="G257" s="13">
        <v>22</v>
      </c>
      <c r="H257" s="13">
        <v>28</v>
      </c>
      <c r="I257" s="13">
        <v>29</v>
      </c>
      <c r="J257" s="13">
        <v>33</v>
      </c>
      <c r="K257" s="13">
        <v>26</v>
      </c>
      <c r="L257" s="13">
        <v>29</v>
      </c>
      <c r="M257" s="13">
        <v>32</v>
      </c>
      <c r="N257" s="13">
        <v>26</v>
      </c>
      <c r="O257" s="13">
        <v>29</v>
      </c>
      <c r="P257" s="13">
        <v>20</v>
      </c>
      <c r="Q257" s="13">
        <v>30</v>
      </c>
      <c r="R257" s="13">
        <v>31</v>
      </c>
      <c r="S257" s="13">
        <v>20</v>
      </c>
      <c r="T257" s="13">
        <v>37</v>
      </c>
      <c r="U257" s="13">
        <v>27</v>
      </c>
      <c r="V257" s="13">
        <v>33</v>
      </c>
      <c r="W257" s="13">
        <v>31</v>
      </c>
      <c r="X257" s="13">
        <v>26</v>
      </c>
      <c r="Y257" s="13">
        <v>25</v>
      </c>
      <c r="Z257" s="13">
        <v>21</v>
      </c>
      <c r="AA257" s="13">
        <v>26</v>
      </c>
      <c r="AB257" s="13">
        <v>23</v>
      </c>
      <c r="AC257" s="13">
        <v>25</v>
      </c>
      <c r="AD257" s="13">
        <v>30</v>
      </c>
      <c r="AE257" s="2">
        <v>17</v>
      </c>
      <c r="AF257" s="13"/>
      <c r="AG257" s="13"/>
      <c r="AH257" s="13"/>
      <c r="DK257" s="32"/>
    </row>
    <row r="258" spans="1:115">
      <c r="A258" s="10" t="s">
        <v>369</v>
      </c>
      <c r="B258" s="11">
        <f>AVERAGE(E258:AE258)</f>
        <v>26.814814814814813</v>
      </c>
      <c r="C258" s="2">
        <f>MIN(E258:AE258)</f>
        <v>17</v>
      </c>
      <c r="D258" s="12">
        <f>MAX(E258:AE258)</f>
        <v>37</v>
      </c>
      <c r="E258" s="13">
        <v>17</v>
      </c>
      <c r="F258" s="13">
        <v>27</v>
      </c>
      <c r="G258" s="13">
        <v>22</v>
      </c>
      <c r="H258" s="13">
        <v>29</v>
      </c>
      <c r="I258" s="13">
        <v>29</v>
      </c>
      <c r="J258" s="13">
        <v>33</v>
      </c>
      <c r="K258" s="13">
        <v>27</v>
      </c>
      <c r="L258" s="13">
        <v>29</v>
      </c>
      <c r="M258" s="13">
        <v>32</v>
      </c>
      <c r="N258" s="13">
        <v>26</v>
      </c>
      <c r="O258" s="13">
        <v>29</v>
      </c>
      <c r="P258" s="13">
        <v>20</v>
      </c>
      <c r="Q258" s="13">
        <v>30</v>
      </c>
      <c r="R258" s="21">
        <v>32</v>
      </c>
      <c r="S258" s="13">
        <v>20</v>
      </c>
      <c r="T258" s="13">
        <v>37</v>
      </c>
      <c r="U258" s="13">
        <v>27</v>
      </c>
      <c r="V258" s="13">
        <v>33</v>
      </c>
      <c r="W258" s="13">
        <v>31</v>
      </c>
      <c r="X258" s="13">
        <v>26</v>
      </c>
      <c r="Y258" s="13">
        <v>25</v>
      </c>
      <c r="Z258" s="13">
        <v>21</v>
      </c>
      <c r="AA258" s="13">
        <v>26</v>
      </c>
      <c r="AB258" s="21">
        <v>24</v>
      </c>
      <c r="AC258" s="13">
        <v>25</v>
      </c>
      <c r="AD258" s="13">
        <v>30</v>
      </c>
      <c r="AE258" s="2">
        <v>17</v>
      </c>
      <c r="AF258" s="13"/>
      <c r="AG258" s="13"/>
      <c r="AH258" s="13"/>
      <c r="DK258" s="32"/>
    </row>
    <row r="259" spans="1:115">
      <c r="A259" s="10" t="s">
        <v>370</v>
      </c>
      <c r="B259" s="11">
        <f>AVERAGE(E259:AE259)</f>
        <v>26.925925925925927</v>
      </c>
      <c r="C259" s="2">
        <f>MIN(E259:AE259)</f>
        <v>17</v>
      </c>
      <c r="D259" s="12">
        <f>MAX(E259:AE259)</f>
        <v>37</v>
      </c>
      <c r="E259" s="13">
        <v>17</v>
      </c>
      <c r="F259" s="13">
        <v>27</v>
      </c>
      <c r="G259" s="13">
        <v>22</v>
      </c>
      <c r="H259" s="13">
        <v>29</v>
      </c>
      <c r="I259" s="13">
        <v>29</v>
      </c>
      <c r="J259" s="13">
        <v>33</v>
      </c>
      <c r="K259" s="13">
        <v>27</v>
      </c>
      <c r="L259" s="13">
        <v>29</v>
      </c>
      <c r="M259" s="13">
        <v>32</v>
      </c>
      <c r="N259" s="13">
        <v>26</v>
      </c>
      <c r="O259" s="13">
        <v>29</v>
      </c>
      <c r="P259" s="13">
        <v>20</v>
      </c>
      <c r="Q259" s="47">
        <v>31</v>
      </c>
      <c r="R259" s="13">
        <v>33</v>
      </c>
      <c r="S259" s="13">
        <v>20</v>
      </c>
      <c r="T259" s="13">
        <v>37</v>
      </c>
      <c r="U259" s="13">
        <v>27</v>
      </c>
      <c r="V259" s="13">
        <v>33</v>
      </c>
      <c r="W259" s="13">
        <v>31</v>
      </c>
      <c r="X259" s="13">
        <v>26</v>
      </c>
      <c r="Y259" s="13">
        <v>25</v>
      </c>
      <c r="Z259" s="13">
        <v>21</v>
      </c>
      <c r="AA259" s="21">
        <v>27</v>
      </c>
      <c r="AB259" s="13">
        <v>24</v>
      </c>
      <c r="AC259" s="13">
        <v>25</v>
      </c>
      <c r="AD259" s="13">
        <v>30</v>
      </c>
      <c r="AE259" s="2">
        <v>17</v>
      </c>
      <c r="AF259" s="13"/>
      <c r="AG259" s="13"/>
      <c r="AH259" s="13"/>
      <c r="DK259" s="32"/>
    </row>
    <row r="260" spans="1:115">
      <c r="A260" s="10" t="s">
        <v>371</v>
      </c>
      <c r="B260" s="11">
        <f>AVERAGE(E260:AE260)</f>
        <v>26.925925925925927</v>
      </c>
      <c r="C260" s="2">
        <f>MIN(E260:AE260)</f>
        <v>17</v>
      </c>
      <c r="D260" s="12">
        <f>MAX(E260:AE260)</f>
        <v>37</v>
      </c>
      <c r="E260" s="13">
        <v>17</v>
      </c>
      <c r="F260" s="13">
        <v>27</v>
      </c>
      <c r="G260" s="13">
        <v>22</v>
      </c>
      <c r="H260" s="13">
        <v>29</v>
      </c>
      <c r="I260" s="13">
        <v>29</v>
      </c>
      <c r="J260" s="13">
        <v>33</v>
      </c>
      <c r="K260" s="13">
        <v>27</v>
      </c>
      <c r="L260" s="13">
        <v>29</v>
      </c>
      <c r="M260" s="13">
        <v>32</v>
      </c>
      <c r="N260" s="13">
        <v>26</v>
      </c>
      <c r="O260" s="13">
        <v>29</v>
      </c>
      <c r="P260" s="13">
        <v>20</v>
      </c>
      <c r="Q260" s="13">
        <v>31</v>
      </c>
      <c r="R260" s="13">
        <v>33</v>
      </c>
      <c r="S260" s="13">
        <v>20</v>
      </c>
      <c r="T260" s="13">
        <v>37</v>
      </c>
      <c r="U260" s="13">
        <v>27</v>
      </c>
      <c r="V260" s="13">
        <v>33</v>
      </c>
      <c r="W260" s="13">
        <v>31</v>
      </c>
      <c r="X260" s="13">
        <v>26</v>
      </c>
      <c r="Y260" s="13">
        <v>25</v>
      </c>
      <c r="Z260" s="13">
        <v>21</v>
      </c>
      <c r="AA260" s="13">
        <v>27</v>
      </c>
      <c r="AB260" s="13">
        <v>24</v>
      </c>
      <c r="AC260" s="13">
        <v>25</v>
      </c>
      <c r="AD260" s="13">
        <v>30</v>
      </c>
      <c r="AE260" s="2">
        <v>17</v>
      </c>
      <c r="AF260" s="13"/>
      <c r="AG260" s="13"/>
      <c r="AH260" s="13"/>
      <c r="DK260" s="32"/>
    </row>
    <row r="261" spans="1:115">
      <c r="A261" s="10" t="s">
        <v>372</v>
      </c>
      <c r="B261" s="11">
        <f>AVERAGE(E261:AE261)</f>
        <v>26.925925925925927</v>
      </c>
      <c r="C261" s="2">
        <f>MIN(E261:AE261)</f>
        <v>17</v>
      </c>
      <c r="D261" s="12">
        <f>MAX(E261:AE261)</f>
        <v>37</v>
      </c>
      <c r="E261" s="13">
        <v>17</v>
      </c>
      <c r="F261" s="13">
        <v>27</v>
      </c>
      <c r="G261" s="13">
        <v>22</v>
      </c>
      <c r="H261" s="13">
        <v>29</v>
      </c>
      <c r="I261" s="13">
        <v>29</v>
      </c>
      <c r="J261" s="13">
        <v>33</v>
      </c>
      <c r="K261" s="13">
        <v>27</v>
      </c>
      <c r="L261" s="13">
        <v>29</v>
      </c>
      <c r="M261" s="13">
        <v>32</v>
      </c>
      <c r="N261" s="13">
        <v>26</v>
      </c>
      <c r="O261" s="13">
        <v>29</v>
      </c>
      <c r="P261" s="13">
        <v>20</v>
      </c>
      <c r="Q261" s="13">
        <v>31</v>
      </c>
      <c r="R261" s="13">
        <v>33</v>
      </c>
      <c r="S261" s="13">
        <v>20</v>
      </c>
      <c r="T261" s="13">
        <v>37</v>
      </c>
      <c r="U261" s="13">
        <v>27</v>
      </c>
      <c r="V261" s="13">
        <v>33</v>
      </c>
      <c r="W261" s="13">
        <v>31</v>
      </c>
      <c r="X261" s="13">
        <v>26</v>
      </c>
      <c r="Y261" s="13">
        <v>25</v>
      </c>
      <c r="Z261" s="13">
        <v>21</v>
      </c>
      <c r="AA261" s="13">
        <v>27</v>
      </c>
      <c r="AB261" s="13">
        <v>24</v>
      </c>
      <c r="AC261" s="13">
        <v>25</v>
      </c>
      <c r="AD261" s="13">
        <v>30</v>
      </c>
      <c r="AE261" s="2">
        <v>17</v>
      </c>
      <c r="AF261" s="13"/>
      <c r="AG261" s="13"/>
      <c r="AH261" s="13"/>
      <c r="DK261" s="32"/>
    </row>
    <row r="262" spans="1:115">
      <c r="A262" s="10" t="s">
        <v>373</v>
      </c>
      <c r="B262" s="11">
        <f>AVERAGE(E262:AE262)</f>
        <v>26.962962962962962</v>
      </c>
      <c r="C262" s="2">
        <f>MIN(E262:AE262)</f>
        <v>17</v>
      </c>
      <c r="D262" s="12">
        <f>MAX(E262:AE262)</f>
        <v>37</v>
      </c>
      <c r="E262" s="13">
        <v>17</v>
      </c>
      <c r="F262" s="13">
        <v>27</v>
      </c>
      <c r="G262" s="13">
        <v>22</v>
      </c>
      <c r="H262" s="13">
        <v>29</v>
      </c>
      <c r="I262" s="13">
        <v>29</v>
      </c>
      <c r="J262" s="13">
        <v>33</v>
      </c>
      <c r="K262" s="13">
        <v>27</v>
      </c>
      <c r="L262" s="13">
        <v>29</v>
      </c>
      <c r="M262" s="13">
        <v>32</v>
      </c>
      <c r="N262" s="13">
        <v>26</v>
      </c>
      <c r="O262" s="13">
        <v>29</v>
      </c>
      <c r="P262" s="13">
        <v>20</v>
      </c>
      <c r="Q262" s="13">
        <v>31</v>
      </c>
      <c r="R262" s="13">
        <v>33</v>
      </c>
      <c r="S262" s="13">
        <v>20</v>
      </c>
      <c r="T262" s="13">
        <v>37</v>
      </c>
      <c r="U262" s="13">
        <v>27</v>
      </c>
      <c r="V262" s="13">
        <v>33</v>
      </c>
      <c r="W262" s="13">
        <v>31</v>
      </c>
      <c r="X262" s="13">
        <v>26</v>
      </c>
      <c r="Y262" s="13">
        <v>25</v>
      </c>
      <c r="Z262" s="13">
        <v>21</v>
      </c>
      <c r="AA262" s="13">
        <v>27</v>
      </c>
      <c r="AB262" s="13">
        <v>24</v>
      </c>
      <c r="AC262" s="13">
        <v>25</v>
      </c>
      <c r="AD262" s="13">
        <v>30</v>
      </c>
      <c r="AE262" s="101">
        <v>18</v>
      </c>
      <c r="AF262" s="13"/>
      <c r="AG262" s="13"/>
      <c r="AH262" s="13"/>
      <c r="DK262" s="32"/>
    </row>
    <row r="263" spans="1:115">
      <c r="A263" s="10" t="s">
        <v>374</v>
      </c>
      <c r="B263" s="11">
        <f>AVERAGE(E263:AE263)</f>
        <v>26.962962962962962</v>
      </c>
      <c r="C263" s="2">
        <f>MIN(E263:AE263)</f>
        <v>17</v>
      </c>
      <c r="D263" s="12">
        <f>MAX(E263:AE263)</f>
        <v>37</v>
      </c>
      <c r="E263" s="13">
        <v>17</v>
      </c>
      <c r="F263" s="13">
        <v>27</v>
      </c>
      <c r="G263" s="13">
        <v>22</v>
      </c>
      <c r="H263" s="13">
        <v>29</v>
      </c>
      <c r="I263" s="13">
        <v>29</v>
      </c>
      <c r="J263" s="13">
        <v>33</v>
      </c>
      <c r="K263" s="13">
        <v>27</v>
      </c>
      <c r="L263" s="13">
        <v>29</v>
      </c>
      <c r="M263" s="13">
        <v>32</v>
      </c>
      <c r="N263" s="13">
        <v>26</v>
      </c>
      <c r="O263" s="13">
        <v>29</v>
      </c>
      <c r="P263" s="13">
        <v>20</v>
      </c>
      <c r="Q263" s="13">
        <v>31</v>
      </c>
      <c r="R263" s="13">
        <v>33</v>
      </c>
      <c r="S263" s="13">
        <v>20</v>
      </c>
      <c r="T263" s="13">
        <v>37</v>
      </c>
      <c r="U263" s="13">
        <v>27</v>
      </c>
      <c r="V263" s="13">
        <v>33</v>
      </c>
      <c r="W263" s="13">
        <v>31</v>
      </c>
      <c r="X263" s="13">
        <v>26</v>
      </c>
      <c r="Y263" s="13">
        <v>25</v>
      </c>
      <c r="Z263" s="13">
        <v>21</v>
      </c>
      <c r="AA263" s="13">
        <v>27</v>
      </c>
      <c r="AB263" s="13">
        <v>24</v>
      </c>
      <c r="AC263" s="13">
        <v>25</v>
      </c>
      <c r="AD263" s="13">
        <v>30</v>
      </c>
      <c r="AE263" s="2">
        <v>18</v>
      </c>
      <c r="AF263" s="13"/>
      <c r="AG263" s="13"/>
      <c r="AH263" s="13"/>
      <c r="DK263" s="32"/>
    </row>
    <row r="264" spans="1:115">
      <c r="A264" s="10" t="s">
        <v>375</v>
      </c>
      <c r="B264" s="11">
        <f>AVERAGE(E264:AE264)</f>
        <v>26.962962962962962</v>
      </c>
      <c r="C264" s="2">
        <f>MIN(E264:AE264)</f>
        <v>17</v>
      </c>
      <c r="D264" s="12">
        <f>MAX(E264:AE264)</f>
        <v>37</v>
      </c>
      <c r="E264" s="13">
        <v>17</v>
      </c>
      <c r="F264" s="13">
        <v>27</v>
      </c>
      <c r="G264" s="13">
        <v>22</v>
      </c>
      <c r="H264" s="13">
        <v>29</v>
      </c>
      <c r="I264" s="13">
        <v>29</v>
      </c>
      <c r="J264" s="13">
        <v>33</v>
      </c>
      <c r="K264" s="13">
        <v>27</v>
      </c>
      <c r="L264" s="13">
        <v>29</v>
      </c>
      <c r="M264" s="13">
        <v>32</v>
      </c>
      <c r="N264" s="13">
        <v>26</v>
      </c>
      <c r="O264" s="13">
        <v>29</v>
      </c>
      <c r="P264" s="13">
        <v>20</v>
      </c>
      <c r="Q264" s="13">
        <v>31</v>
      </c>
      <c r="R264" s="13">
        <v>33</v>
      </c>
      <c r="S264" s="13">
        <v>20</v>
      </c>
      <c r="T264" s="13">
        <v>37</v>
      </c>
      <c r="U264" s="13">
        <v>27</v>
      </c>
      <c r="V264" s="13">
        <v>33</v>
      </c>
      <c r="W264" s="13">
        <v>31</v>
      </c>
      <c r="X264" s="13">
        <v>26</v>
      </c>
      <c r="Y264" s="13">
        <v>25</v>
      </c>
      <c r="Z264" s="13">
        <v>21</v>
      </c>
      <c r="AA264" s="13">
        <v>27</v>
      </c>
      <c r="AB264" s="13">
        <v>24</v>
      </c>
      <c r="AC264" s="13">
        <v>25</v>
      </c>
      <c r="AD264" s="13">
        <v>30</v>
      </c>
      <c r="AE264" s="2">
        <v>18</v>
      </c>
      <c r="AF264" s="13"/>
      <c r="AG264" s="13"/>
      <c r="AH264" s="13"/>
      <c r="DK264" s="32"/>
    </row>
    <row r="265" spans="1:115">
      <c r="A265" s="10" t="s">
        <v>376</v>
      </c>
      <c r="B265" s="11">
        <f>AVERAGE(E265:AE265)</f>
        <v>27.074074074074073</v>
      </c>
      <c r="C265" s="2">
        <f>MIN(E265:AE265)</f>
        <v>18</v>
      </c>
      <c r="D265" s="12">
        <f>MAX(E265:AE265)</f>
        <v>37</v>
      </c>
      <c r="E265" s="21">
        <v>18</v>
      </c>
      <c r="F265" s="13">
        <v>27</v>
      </c>
      <c r="G265" s="13">
        <v>22</v>
      </c>
      <c r="H265" s="13">
        <v>29</v>
      </c>
      <c r="I265" s="13">
        <v>29</v>
      </c>
      <c r="J265" s="13">
        <v>33</v>
      </c>
      <c r="K265" s="13">
        <v>27</v>
      </c>
      <c r="L265" s="13">
        <v>29</v>
      </c>
      <c r="M265" s="13">
        <v>32</v>
      </c>
      <c r="N265" s="13">
        <v>26</v>
      </c>
      <c r="O265" s="13">
        <v>29</v>
      </c>
      <c r="P265" s="13">
        <v>20</v>
      </c>
      <c r="Q265" s="13">
        <v>31</v>
      </c>
      <c r="R265" s="13">
        <v>33</v>
      </c>
      <c r="S265" s="13">
        <v>20</v>
      </c>
      <c r="T265" s="13">
        <v>37</v>
      </c>
      <c r="U265" s="21">
        <v>28</v>
      </c>
      <c r="V265" s="13">
        <v>33</v>
      </c>
      <c r="W265" s="21">
        <v>32</v>
      </c>
      <c r="X265" s="13">
        <v>26</v>
      </c>
      <c r="Y265" s="13">
        <v>25</v>
      </c>
      <c r="Z265" s="13">
        <v>21</v>
      </c>
      <c r="AA265" s="13">
        <v>27</v>
      </c>
      <c r="AB265" s="13">
        <v>24</v>
      </c>
      <c r="AC265" s="13">
        <v>25</v>
      </c>
      <c r="AD265" s="13">
        <v>30</v>
      </c>
      <c r="AE265" s="2">
        <v>18</v>
      </c>
      <c r="AF265" s="13"/>
      <c r="AG265" s="13"/>
      <c r="AH265" s="13"/>
      <c r="DK265" s="32"/>
    </row>
    <row r="266" spans="1:115">
      <c r="A266" s="10" t="s">
        <v>377</v>
      </c>
      <c r="B266" s="11">
        <f>AVERAGE(E266:AE266)</f>
        <v>27.148148148148149</v>
      </c>
      <c r="C266" s="2">
        <f>MIN(E266:AE266)</f>
        <v>18</v>
      </c>
      <c r="D266" s="12">
        <f>MAX(E266:AE266)</f>
        <v>37</v>
      </c>
      <c r="E266" s="13">
        <v>19</v>
      </c>
      <c r="F266" s="13">
        <v>27</v>
      </c>
      <c r="G266" s="13">
        <v>22</v>
      </c>
      <c r="H266" s="13">
        <v>29</v>
      </c>
      <c r="I266" s="13">
        <v>29</v>
      </c>
      <c r="J266" s="13">
        <v>33</v>
      </c>
      <c r="K266" s="13">
        <v>27</v>
      </c>
      <c r="L266" s="13">
        <v>29</v>
      </c>
      <c r="M266" s="13">
        <v>32</v>
      </c>
      <c r="N266" s="13">
        <v>26</v>
      </c>
      <c r="O266" s="13">
        <v>29</v>
      </c>
      <c r="P266" s="13">
        <v>20</v>
      </c>
      <c r="Q266" s="13">
        <v>31</v>
      </c>
      <c r="R266" s="13">
        <v>33</v>
      </c>
      <c r="S266" s="13">
        <v>20</v>
      </c>
      <c r="T266" s="13">
        <v>37</v>
      </c>
      <c r="U266" s="13">
        <v>28</v>
      </c>
      <c r="V266" s="13">
        <v>33</v>
      </c>
      <c r="W266" s="13">
        <v>32</v>
      </c>
      <c r="X266" s="13">
        <v>26</v>
      </c>
      <c r="Y266" s="13">
        <v>25</v>
      </c>
      <c r="Z266" s="13">
        <v>21</v>
      </c>
      <c r="AA266" s="13">
        <v>27</v>
      </c>
      <c r="AB266" s="13">
        <v>24</v>
      </c>
      <c r="AC266" s="98">
        <v>26</v>
      </c>
      <c r="AD266" s="13">
        <v>30</v>
      </c>
      <c r="AE266" s="2">
        <v>18</v>
      </c>
      <c r="AF266" s="13"/>
      <c r="AG266" s="13"/>
      <c r="AH266" s="13"/>
      <c r="DK266" s="32"/>
    </row>
    <row r="267" spans="1:115">
      <c r="A267" s="10" t="s">
        <v>378</v>
      </c>
      <c r="B267" s="11">
        <f>AVERAGE(E267:AE267)</f>
        <v>27.222222222222221</v>
      </c>
      <c r="C267" s="2">
        <f>MIN(E267:AE267)</f>
        <v>18</v>
      </c>
      <c r="D267" s="12">
        <f>MAX(E267:AE267)</f>
        <v>38</v>
      </c>
      <c r="E267" s="13">
        <v>19</v>
      </c>
      <c r="F267" s="13">
        <v>27</v>
      </c>
      <c r="G267" s="13">
        <v>22</v>
      </c>
      <c r="H267" s="13">
        <v>29</v>
      </c>
      <c r="I267" s="13">
        <v>29</v>
      </c>
      <c r="J267" s="13">
        <v>33</v>
      </c>
      <c r="K267" s="13">
        <v>27</v>
      </c>
      <c r="L267" s="13">
        <v>29</v>
      </c>
      <c r="M267" s="13">
        <v>32</v>
      </c>
      <c r="N267" s="13">
        <v>26</v>
      </c>
      <c r="O267" s="13">
        <v>29</v>
      </c>
      <c r="P267" s="13">
        <v>20</v>
      </c>
      <c r="Q267" s="13">
        <v>31</v>
      </c>
      <c r="R267" s="13">
        <v>33</v>
      </c>
      <c r="S267" s="13">
        <v>20</v>
      </c>
      <c r="T267" s="13">
        <v>38</v>
      </c>
      <c r="U267" s="13">
        <v>28</v>
      </c>
      <c r="V267" s="13">
        <v>33</v>
      </c>
      <c r="W267" s="13">
        <v>32</v>
      </c>
      <c r="X267" s="21">
        <v>27</v>
      </c>
      <c r="Y267" s="13">
        <v>25</v>
      </c>
      <c r="Z267" s="13">
        <v>21</v>
      </c>
      <c r="AA267" s="13">
        <v>27</v>
      </c>
      <c r="AB267" s="13">
        <v>24</v>
      </c>
      <c r="AC267" s="13">
        <v>26</v>
      </c>
      <c r="AD267" s="13">
        <v>30</v>
      </c>
      <c r="AE267" s="2">
        <v>18</v>
      </c>
      <c r="AF267" s="13"/>
      <c r="AG267" s="13"/>
      <c r="AH267" s="13"/>
      <c r="DK267" s="32"/>
    </row>
    <row r="268" spans="1:115">
      <c r="A268" s="10" t="s">
        <v>379</v>
      </c>
      <c r="B268" s="11">
        <f>AVERAGE(E268:AE268)</f>
        <v>27.25925925925926</v>
      </c>
      <c r="C268" s="2">
        <f>MIN(E268:AE268)</f>
        <v>18</v>
      </c>
      <c r="D268" s="12">
        <f>MAX(E268:AE268)</f>
        <v>39</v>
      </c>
      <c r="E268" s="13">
        <v>19</v>
      </c>
      <c r="F268" s="13">
        <v>27</v>
      </c>
      <c r="G268" s="13">
        <v>22</v>
      </c>
      <c r="H268" s="13">
        <v>29</v>
      </c>
      <c r="I268" s="13">
        <v>29</v>
      </c>
      <c r="J268" s="13">
        <v>33</v>
      </c>
      <c r="K268" s="13">
        <v>27</v>
      </c>
      <c r="L268" s="13">
        <v>29</v>
      </c>
      <c r="M268" s="13">
        <v>32</v>
      </c>
      <c r="N268" s="13">
        <v>26</v>
      </c>
      <c r="O268" s="13">
        <v>29</v>
      </c>
      <c r="P268" s="13">
        <v>20</v>
      </c>
      <c r="Q268" s="13">
        <v>31</v>
      </c>
      <c r="R268" s="13">
        <v>33</v>
      </c>
      <c r="S268" s="13">
        <v>20</v>
      </c>
      <c r="T268" s="13">
        <v>39</v>
      </c>
      <c r="U268" s="13">
        <v>28</v>
      </c>
      <c r="V268" s="13">
        <v>33</v>
      </c>
      <c r="W268" s="13">
        <v>32</v>
      </c>
      <c r="X268" s="13">
        <v>27</v>
      </c>
      <c r="Y268" s="13">
        <v>25</v>
      </c>
      <c r="Z268" s="13">
        <v>21</v>
      </c>
      <c r="AA268" s="13">
        <v>27</v>
      </c>
      <c r="AB268" s="13">
        <v>24</v>
      </c>
      <c r="AC268" s="13">
        <v>26</v>
      </c>
      <c r="AD268" s="13">
        <v>30</v>
      </c>
      <c r="AE268" s="2">
        <v>18</v>
      </c>
      <c r="AF268" s="13"/>
      <c r="AG268" s="13"/>
      <c r="AH268" s="13"/>
      <c r="DK268" s="32"/>
    </row>
    <row r="269" spans="1:115">
      <c r="A269" s="10" t="s">
        <v>380</v>
      </c>
      <c r="B269" s="11">
        <f>AVERAGE(E269:AE269)</f>
        <v>27.333333333333332</v>
      </c>
      <c r="C269" s="2">
        <f>MIN(E269:AE269)</f>
        <v>19</v>
      </c>
      <c r="D269" s="12">
        <f>MAX(E269:AE269)</f>
        <v>39</v>
      </c>
      <c r="E269" s="13">
        <v>19</v>
      </c>
      <c r="F269" s="13">
        <v>27</v>
      </c>
      <c r="G269" s="13">
        <v>22</v>
      </c>
      <c r="H269" s="13">
        <v>29</v>
      </c>
      <c r="I269" s="13">
        <v>29</v>
      </c>
      <c r="J269" s="13">
        <v>33</v>
      </c>
      <c r="K269" s="13">
        <v>27</v>
      </c>
      <c r="L269" s="13">
        <v>29</v>
      </c>
      <c r="M269" s="13">
        <v>32</v>
      </c>
      <c r="N269" s="13">
        <v>26</v>
      </c>
      <c r="O269" s="13">
        <v>29</v>
      </c>
      <c r="P269" s="13">
        <v>20</v>
      </c>
      <c r="Q269" s="13">
        <v>31</v>
      </c>
      <c r="R269" s="13">
        <v>33</v>
      </c>
      <c r="S269" s="13">
        <v>20</v>
      </c>
      <c r="T269" s="13">
        <v>39</v>
      </c>
      <c r="U269" s="13">
        <v>28</v>
      </c>
      <c r="V269" s="13">
        <v>33</v>
      </c>
      <c r="W269" s="13">
        <v>32</v>
      </c>
      <c r="X269" s="47">
        <v>28</v>
      </c>
      <c r="Y269" s="13">
        <v>25</v>
      </c>
      <c r="Z269" s="13">
        <v>21</v>
      </c>
      <c r="AA269" s="13">
        <v>27</v>
      </c>
      <c r="AB269" s="13">
        <v>24</v>
      </c>
      <c r="AC269" s="13">
        <v>26</v>
      </c>
      <c r="AD269" s="13">
        <v>30</v>
      </c>
      <c r="AE269" s="102">
        <v>19</v>
      </c>
      <c r="AF269" s="13"/>
      <c r="AG269" s="13"/>
      <c r="AH269" s="13"/>
      <c r="DK269" s="32"/>
    </row>
    <row r="270" spans="1:115">
      <c r="A270" s="10" t="s">
        <v>381</v>
      </c>
      <c r="B270" s="11">
        <f>AVERAGE(E270:AE270)</f>
        <v>27.37037037037037</v>
      </c>
      <c r="C270" s="2">
        <f>MIN(E270:AE270)</f>
        <v>19</v>
      </c>
      <c r="D270" s="12">
        <f>MAX(E270:AE270)</f>
        <v>39</v>
      </c>
      <c r="E270" s="13">
        <v>19</v>
      </c>
      <c r="F270" s="13">
        <v>27</v>
      </c>
      <c r="G270" s="13">
        <v>22</v>
      </c>
      <c r="H270" s="21">
        <v>30</v>
      </c>
      <c r="I270" s="13">
        <v>29</v>
      </c>
      <c r="J270" s="13">
        <v>33</v>
      </c>
      <c r="K270" s="13">
        <v>27</v>
      </c>
      <c r="L270" s="13">
        <v>29</v>
      </c>
      <c r="M270" s="13">
        <v>32</v>
      </c>
      <c r="N270" s="13">
        <v>26</v>
      </c>
      <c r="O270" s="13">
        <v>29</v>
      </c>
      <c r="P270" s="13">
        <v>20</v>
      </c>
      <c r="Q270" s="13">
        <v>31</v>
      </c>
      <c r="R270" s="13">
        <v>33</v>
      </c>
      <c r="S270" s="13">
        <v>20</v>
      </c>
      <c r="T270" s="13">
        <v>39</v>
      </c>
      <c r="U270" s="13">
        <v>28</v>
      </c>
      <c r="V270" s="13">
        <v>33</v>
      </c>
      <c r="W270" s="13">
        <v>32</v>
      </c>
      <c r="X270" s="13">
        <v>28</v>
      </c>
      <c r="Y270" s="13">
        <v>25</v>
      </c>
      <c r="Z270" s="13">
        <v>21</v>
      </c>
      <c r="AA270" s="13">
        <v>27</v>
      </c>
      <c r="AB270" s="13">
        <v>24</v>
      </c>
      <c r="AC270" s="13">
        <v>26</v>
      </c>
      <c r="AD270" s="13">
        <v>30</v>
      </c>
      <c r="AE270" s="2">
        <v>19</v>
      </c>
      <c r="AF270" s="13"/>
      <c r="AG270" s="13"/>
      <c r="AH270" s="13"/>
      <c r="DK270" s="32"/>
    </row>
    <row r="271" spans="1:115">
      <c r="A271" s="10" t="s">
        <v>382</v>
      </c>
      <c r="B271" s="11">
        <f>AVERAGE(E271:AE271)</f>
        <v>27.481481481481481</v>
      </c>
      <c r="C271" s="2">
        <f>MIN(E271:AE271)</f>
        <v>19</v>
      </c>
      <c r="D271" s="12">
        <f>MAX(E271:AE271)</f>
        <v>39</v>
      </c>
      <c r="E271" s="13">
        <v>20</v>
      </c>
      <c r="F271" s="13">
        <v>27</v>
      </c>
      <c r="G271" s="13">
        <v>22</v>
      </c>
      <c r="H271" s="13">
        <v>30</v>
      </c>
      <c r="I271" s="13">
        <v>29</v>
      </c>
      <c r="J271" s="13">
        <v>33</v>
      </c>
      <c r="K271" s="13">
        <v>27</v>
      </c>
      <c r="L271" s="13">
        <v>29</v>
      </c>
      <c r="M271" s="13">
        <v>32</v>
      </c>
      <c r="N271" s="13">
        <v>26</v>
      </c>
      <c r="O271" s="13">
        <v>29</v>
      </c>
      <c r="P271" s="13">
        <v>20</v>
      </c>
      <c r="Q271" s="13">
        <v>31</v>
      </c>
      <c r="R271" s="13">
        <v>33</v>
      </c>
      <c r="S271" s="13">
        <v>20</v>
      </c>
      <c r="T271" s="13">
        <v>39</v>
      </c>
      <c r="U271" s="13">
        <v>28</v>
      </c>
      <c r="V271" s="13">
        <v>33</v>
      </c>
      <c r="W271" s="13">
        <v>32</v>
      </c>
      <c r="X271" s="47">
        <v>29</v>
      </c>
      <c r="Y271" s="13">
        <v>25</v>
      </c>
      <c r="Z271" s="21">
        <v>22</v>
      </c>
      <c r="AA271" s="13">
        <v>27</v>
      </c>
      <c r="AB271" s="13">
        <v>24</v>
      </c>
      <c r="AC271" s="13">
        <v>26</v>
      </c>
      <c r="AD271" s="13">
        <v>30</v>
      </c>
      <c r="AE271" s="2">
        <v>19</v>
      </c>
      <c r="AF271" s="13"/>
      <c r="AG271" s="13"/>
      <c r="AH271" s="13"/>
      <c r="DK271" s="32"/>
    </row>
    <row r="272" spans="1:115">
      <c r="A272" s="10" t="s">
        <v>383</v>
      </c>
      <c r="B272" s="11">
        <f>AVERAGE(E272:AE272)</f>
        <v>27.481481481481481</v>
      </c>
      <c r="C272" s="2">
        <f>MIN(E272:AE272)</f>
        <v>19</v>
      </c>
      <c r="D272" s="12">
        <f>MAX(E272:AE272)</f>
        <v>39</v>
      </c>
      <c r="E272" s="13">
        <v>20</v>
      </c>
      <c r="F272" s="13">
        <v>27</v>
      </c>
      <c r="G272" s="13">
        <v>22</v>
      </c>
      <c r="H272" s="13">
        <v>30</v>
      </c>
      <c r="I272" s="13">
        <v>29</v>
      </c>
      <c r="J272" s="13">
        <v>33</v>
      </c>
      <c r="K272" s="13">
        <v>27</v>
      </c>
      <c r="L272" s="13">
        <v>29</v>
      </c>
      <c r="M272" s="13">
        <v>32</v>
      </c>
      <c r="N272" s="13">
        <v>26</v>
      </c>
      <c r="O272" s="13">
        <v>29</v>
      </c>
      <c r="P272" s="13">
        <v>20</v>
      </c>
      <c r="Q272" s="13">
        <v>31</v>
      </c>
      <c r="R272" s="13">
        <v>33</v>
      </c>
      <c r="S272" s="13">
        <v>20</v>
      </c>
      <c r="T272" s="13">
        <v>39</v>
      </c>
      <c r="U272" s="13">
        <v>28</v>
      </c>
      <c r="V272" s="13">
        <v>33</v>
      </c>
      <c r="W272" s="13">
        <v>32</v>
      </c>
      <c r="X272" s="13">
        <v>29</v>
      </c>
      <c r="Y272" s="13">
        <v>25</v>
      </c>
      <c r="Z272" s="13">
        <v>22</v>
      </c>
      <c r="AA272" s="13">
        <v>27</v>
      </c>
      <c r="AB272" s="13">
        <v>24</v>
      </c>
      <c r="AC272" s="13">
        <v>26</v>
      </c>
      <c r="AD272" s="13">
        <v>30</v>
      </c>
      <c r="AE272" s="2">
        <v>19</v>
      </c>
      <c r="AF272" s="13"/>
      <c r="AG272" s="13"/>
      <c r="AH272" s="13"/>
      <c r="DK272" s="32"/>
    </row>
    <row r="273" spans="1:115">
      <c r="A273" s="10" t="s">
        <v>384</v>
      </c>
      <c r="B273" s="11">
        <f>AVERAGE(E273:AE273)</f>
        <v>27.518518518518519</v>
      </c>
      <c r="C273" s="2">
        <f>MIN(E273:AE273)</f>
        <v>19</v>
      </c>
      <c r="D273" s="12">
        <f>MAX(E273:AE273)</f>
        <v>39</v>
      </c>
      <c r="E273" s="13">
        <v>20</v>
      </c>
      <c r="F273" s="13">
        <v>27</v>
      </c>
      <c r="G273" s="13">
        <v>22</v>
      </c>
      <c r="H273" s="13">
        <v>30</v>
      </c>
      <c r="I273" s="13">
        <v>29</v>
      </c>
      <c r="J273" s="13">
        <v>33</v>
      </c>
      <c r="K273" s="13">
        <v>27</v>
      </c>
      <c r="L273" s="13">
        <v>29</v>
      </c>
      <c r="M273" s="13">
        <v>32</v>
      </c>
      <c r="N273" s="13">
        <v>26</v>
      </c>
      <c r="O273" s="13">
        <v>29</v>
      </c>
      <c r="P273" s="13">
        <v>20</v>
      </c>
      <c r="Q273" s="13">
        <v>31</v>
      </c>
      <c r="R273" s="13">
        <v>33</v>
      </c>
      <c r="S273" s="13">
        <v>20</v>
      </c>
      <c r="T273" s="13">
        <v>39</v>
      </c>
      <c r="U273" s="13">
        <v>28</v>
      </c>
      <c r="V273" s="13">
        <v>33</v>
      </c>
      <c r="W273" s="13">
        <v>32</v>
      </c>
      <c r="X273" s="13">
        <v>29</v>
      </c>
      <c r="Y273" s="13">
        <v>25</v>
      </c>
      <c r="Z273" s="13">
        <v>22</v>
      </c>
      <c r="AA273" s="13">
        <v>27</v>
      </c>
      <c r="AB273" s="13">
        <v>25</v>
      </c>
      <c r="AC273" s="13">
        <v>26</v>
      </c>
      <c r="AD273" s="13">
        <v>30</v>
      </c>
      <c r="AE273" s="2">
        <v>19</v>
      </c>
      <c r="AF273" s="13"/>
      <c r="AG273" s="13"/>
      <c r="AH273" s="13"/>
      <c r="DK273" s="32"/>
    </row>
    <row r="274" spans="1:115">
      <c r="A274" s="10" t="s">
        <v>385</v>
      </c>
      <c r="B274" s="11">
        <f>AVERAGE(E274:AE274)</f>
        <v>27.518518518518519</v>
      </c>
      <c r="C274" s="2">
        <f>MIN(E274:AE274)</f>
        <v>19</v>
      </c>
      <c r="D274" s="12">
        <f>MAX(E274:AE274)</f>
        <v>39</v>
      </c>
      <c r="E274" s="13">
        <v>20</v>
      </c>
      <c r="F274" s="13">
        <v>27</v>
      </c>
      <c r="G274" s="13">
        <v>22</v>
      </c>
      <c r="H274" s="13">
        <v>30</v>
      </c>
      <c r="I274" s="13">
        <v>29</v>
      </c>
      <c r="J274" s="13">
        <v>33</v>
      </c>
      <c r="K274" s="13">
        <v>27</v>
      </c>
      <c r="L274" s="13">
        <v>29</v>
      </c>
      <c r="M274" s="13">
        <v>32</v>
      </c>
      <c r="N274" s="13">
        <v>26</v>
      </c>
      <c r="O274" s="13">
        <v>29</v>
      </c>
      <c r="P274" s="13">
        <v>20</v>
      </c>
      <c r="Q274" s="13">
        <v>31</v>
      </c>
      <c r="R274" s="13">
        <v>33</v>
      </c>
      <c r="S274" s="13">
        <v>20</v>
      </c>
      <c r="T274" s="13">
        <v>39</v>
      </c>
      <c r="U274" s="13">
        <v>28</v>
      </c>
      <c r="V274" s="13">
        <v>33</v>
      </c>
      <c r="W274" s="13">
        <v>32</v>
      </c>
      <c r="X274" s="13">
        <v>29</v>
      </c>
      <c r="Y274" s="13">
        <v>25</v>
      </c>
      <c r="Z274" s="13">
        <v>22</v>
      </c>
      <c r="AA274" s="13">
        <v>27</v>
      </c>
      <c r="AB274" s="13">
        <v>25</v>
      </c>
      <c r="AC274" s="13">
        <v>26</v>
      </c>
      <c r="AD274" s="13">
        <v>30</v>
      </c>
      <c r="AE274" s="2">
        <v>19</v>
      </c>
      <c r="AF274" s="13"/>
      <c r="AG274" s="13"/>
      <c r="AH274" s="13"/>
    </row>
    <row r="275" spans="1:115">
      <c r="A275" s="10" t="s">
        <v>386</v>
      </c>
      <c r="B275" s="11">
        <f>AVERAGE(E275:AE275)</f>
        <v>27.592592592592592</v>
      </c>
      <c r="C275" s="2">
        <f>MIN(E275:AE275)</f>
        <v>19</v>
      </c>
      <c r="D275" s="12">
        <f>MAX(E275:AE275)</f>
        <v>39</v>
      </c>
      <c r="E275" s="13">
        <v>20</v>
      </c>
      <c r="F275" s="13">
        <v>27</v>
      </c>
      <c r="G275" s="13">
        <v>22</v>
      </c>
      <c r="H275" s="13">
        <v>30</v>
      </c>
      <c r="I275" s="13">
        <v>29</v>
      </c>
      <c r="J275" s="13">
        <v>33</v>
      </c>
      <c r="K275" s="13">
        <v>27</v>
      </c>
      <c r="L275" s="13">
        <v>29</v>
      </c>
      <c r="M275" s="13">
        <v>32</v>
      </c>
      <c r="N275" s="13">
        <v>26</v>
      </c>
      <c r="O275" s="13">
        <v>29</v>
      </c>
      <c r="P275" s="13">
        <v>20</v>
      </c>
      <c r="Q275" s="13">
        <v>32</v>
      </c>
      <c r="R275" s="13">
        <v>33</v>
      </c>
      <c r="S275" s="13">
        <v>20</v>
      </c>
      <c r="T275" s="13">
        <v>39</v>
      </c>
      <c r="U275" s="13">
        <v>28</v>
      </c>
      <c r="V275" s="13">
        <v>33</v>
      </c>
      <c r="W275" s="13">
        <v>32</v>
      </c>
      <c r="X275" s="13">
        <v>29</v>
      </c>
      <c r="Y275" s="13">
        <v>25</v>
      </c>
      <c r="Z275" s="13">
        <v>22</v>
      </c>
      <c r="AA275" s="21">
        <v>28</v>
      </c>
      <c r="AB275" s="13">
        <v>25</v>
      </c>
      <c r="AC275" s="13">
        <v>26</v>
      </c>
      <c r="AD275" s="13">
        <v>30</v>
      </c>
      <c r="AE275" s="2">
        <v>19</v>
      </c>
      <c r="AF275" s="13"/>
      <c r="AG275" s="13"/>
      <c r="AH275" s="13"/>
    </row>
    <row r="276" spans="1:115">
      <c r="A276" s="10" t="s">
        <v>387</v>
      </c>
      <c r="B276" s="11">
        <f>AVERAGE(E276:AE276)</f>
        <v>27.592592592592592</v>
      </c>
      <c r="C276" s="2">
        <f>MIN(E276:AE276)</f>
        <v>19</v>
      </c>
      <c r="D276" s="12">
        <f>MAX(E276:AE276)</f>
        <v>39</v>
      </c>
      <c r="E276" s="13">
        <v>20</v>
      </c>
      <c r="F276" s="13">
        <v>27</v>
      </c>
      <c r="G276" s="13">
        <v>22</v>
      </c>
      <c r="H276" s="13">
        <v>30</v>
      </c>
      <c r="I276" s="13">
        <v>29</v>
      </c>
      <c r="J276" s="13">
        <v>33</v>
      </c>
      <c r="K276" s="13">
        <v>27</v>
      </c>
      <c r="L276" s="13">
        <v>29</v>
      </c>
      <c r="M276" s="13">
        <v>32</v>
      </c>
      <c r="N276" s="13">
        <v>26</v>
      </c>
      <c r="O276" s="13">
        <v>29</v>
      </c>
      <c r="P276" s="13">
        <v>20</v>
      </c>
      <c r="Q276" s="13">
        <v>32</v>
      </c>
      <c r="R276" s="13">
        <v>33</v>
      </c>
      <c r="S276" s="13">
        <v>20</v>
      </c>
      <c r="T276" s="13">
        <v>39</v>
      </c>
      <c r="U276" s="13">
        <v>28</v>
      </c>
      <c r="V276" s="13">
        <v>33</v>
      </c>
      <c r="W276" s="13">
        <v>32</v>
      </c>
      <c r="X276" s="13">
        <v>29</v>
      </c>
      <c r="Y276" s="13">
        <v>25</v>
      </c>
      <c r="Z276" s="13">
        <v>22</v>
      </c>
      <c r="AA276" s="13">
        <v>28</v>
      </c>
      <c r="AB276" s="13">
        <v>25</v>
      </c>
      <c r="AC276" s="13">
        <v>26</v>
      </c>
      <c r="AD276" s="13">
        <v>30</v>
      </c>
      <c r="AE276" s="2">
        <v>19</v>
      </c>
      <c r="AF276" s="13"/>
      <c r="AG276" s="13"/>
      <c r="AH276" s="13"/>
    </row>
    <row r="277" spans="1:115">
      <c r="A277" s="10" t="s">
        <v>388</v>
      </c>
      <c r="B277" s="11">
        <f>AVERAGE(E277:AE277)</f>
        <v>27.592592592592592</v>
      </c>
      <c r="C277" s="2">
        <f>MIN(E277:AE277)</f>
        <v>19</v>
      </c>
      <c r="D277" s="12">
        <f>MAX(E277:AE277)</f>
        <v>39</v>
      </c>
      <c r="E277" s="13">
        <v>20</v>
      </c>
      <c r="F277" s="13">
        <v>27</v>
      </c>
      <c r="G277" s="13">
        <v>22</v>
      </c>
      <c r="H277" s="13">
        <v>30</v>
      </c>
      <c r="I277" s="13">
        <v>29</v>
      </c>
      <c r="J277" s="13">
        <v>33</v>
      </c>
      <c r="K277" s="13">
        <v>27</v>
      </c>
      <c r="L277" s="13">
        <v>29</v>
      </c>
      <c r="M277" s="13">
        <v>32</v>
      </c>
      <c r="N277" s="13">
        <v>26</v>
      </c>
      <c r="O277" s="13">
        <v>29</v>
      </c>
      <c r="P277" s="13">
        <v>20</v>
      </c>
      <c r="Q277" s="13">
        <v>32</v>
      </c>
      <c r="R277" s="13">
        <v>33</v>
      </c>
      <c r="S277" s="13">
        <v>20</v>
      </c>
      <c r="T277" s="13">
        <v>39</v>
      </c>
      <c r="U277" s="13">
        <v>28</v>
      </c>
      <c r="V277" s="13">
        <v>33</v>
      </c>
      <c r="W277" s="13">
        <v>32</v>
      </c>
      <c r="X277" s="13">
        <v>29</v>
      </c>
      <c r="Y277" s="13">
        <v>25</v>
      </c>
      <c r="Z277" s="13">
        <v>22</v>
      </c>
      <c r="AA277" s="13">
        <v>28</v>
      </c>
      <c r="AB277" s="13">
        <v>25</v>
      </c>
      <c r="AC277" s="13">
        <v>26</v>
      </c>
      <c r="AD277" s="13">
        <v>30</v>
      </c>
      <c r="AE277" s="2">
        <v>19</v>
      </c>
      <c r="AF277" s="13"/>
      <c r="AG277" s="13"/>
      <c r="AH277" s="13"/>
    </row>
    <row r="278" spans="1:115">
      <c r="A278" s="10" t="s">
        <v>389</v>
      </c>
      <c r="B278" s="11">
        <f>AVERAGE(E278:AE278)</f>
        <v>27.592592592592592</v>
      </c>
      <c r="C278" s="2">
        <f>MIN(E278:AE278)</f>
        <v>19</v>
      </c>
      <c r="D278" s="12">
        <f>MAX(E278:AE278)</f>
        <v>39</v>
      </c>
      <c r="E278" s="13">
        <v>20</v>
      </c>
      <c r="F278" s="13">
        <v>27</v>
      </c>
      <c r="G278" s="13">
        <v>22</v>
      </c>
      <c r="H278" s="13">
        <v>30</v>
      </c>
      <c r="I278" s="13">
        <v>29</v>
      </c>
      <c r="J278" s="13">
        <v>33</v>
      </c>
      <c r="K278" s="13">
        <v>27</v>
      </c>
      <c r="L278" s="13">
        <v>29</v>
      </c>
      <c r="M278" s="13">
        <v>32</v>
      </c>
      <c r="N278" s="13">
        <v>26</v>
      </c>
      <c r="O278" s="13">
        <v>29</v>
      </c>
      <c r="P278" s="13">
        <v>20</v>
      </c>
      <c r="Q278" s="13">
        <v>32</v>
      </c>
      <c r="R278" s="13">
        <v>33</v>
      </c>
      <c r="S278" s="13">
        <v>20</v>
      </c>
      <c r="T278" s="13">
        <v>39</v>
      </c>
      <c r="U278" s="13">
        <v>28</v>
      </c>
      <c r="V278" s="13">
        <v>33</v>
      </c>
      <c r="W278" s="13">
        <v>32</v>
      </c>
      <c r="X278" s="13">
        <v>29</v>
      </c>
      <c r="Y278" s="13">
        <v>25</v>
      </c>
      <c r="Z278" s="13">
        <v>22</v>
      </c>
      <c r="AA278" s="13">
        <v>28</v>
      </c>
      <c r="AB278" s="13">
        <v>25</v>
      </c>
      <c r="AC278" s="13">
        <v>26</v>
      </c>
      <c r="AD278" s="13">
        <v>30</v>
      </c>
      <c r="AE278" s="2">
        <v>19</v>
      </c>
      <c r="AF278" s="13"/>
      <c r="AG278" s="13"/>
      <c r="AH278" s="13"/>
    </row>
    <row r="279" spans="1:115">
      <c r="A279" s="10" t="s">
        <v>390</v>
      </c>
      <c r="B279" s="11">
        <f>AVERAGE(E279:AE279)</f>
        <v>27.666666666666668</v>
      </c>
      <c r="C279" s="2">
        <f>MIN(E279:AE279)</f>
        <v>19</v>
      </c>
      <c r="D279" s="12">
        <f>MAX(E279:AE279)</f>
        <v>40</v>
      </c>
      <c r="E279" s="13">
        <v>20</v>
      </c>
      <c r="F279" s="13">
        <v>27</v>
      </c>
      <c r="G279" s="13">
        <v>22</v>
      </c>
      <c r="H279" s="13">
        <v>30</v>
      </c>
      <c r="I279" s="13">
        <v>29</v>
      </c>
      <c r="J279" s="13">
        <v>33</v>
      </c>
      <c r="K279" s="13">
        <v>27</v>
      </c>
      <c r="L279" s="13">
        <v>30</v>
      </c>
      <c r="M279" s="13">
        <v>32</v>
      </c>
      <c r="N279" s="13">
        <v>26</v>
      </c>
      <c r="O279" s="13">
        <v>29</v>
      </c>
      <c r="P279" s="13">
        <v>20</v>
      </c>
      <c r="Q279" s="13">
        <v>32</v>
      </c>
      <c r="R279" s="13">
        <v>33</v>
      </c>
      <c r="S279" s="13">
        <v>20</v>
      </c>
      <c r="T279" s="13">
        <v>40</v>
      </c>
      <c r="U279" s="13">
        <v>28</v>
      </c>
      <c r="V279" s="13">
        <v>33</v>
      </c>
      <c r="W279" s="13">
        <v>32</v>
      </c>
      <c r="X279" s="13">
        <v>29</v>
      </c>
      <c r="Y279" s="13">
        <v>25</v>
      </c>
      <c r="Z279" s="13">
        <v>22</v>
      </c>
      <c r="AA279" s="13">
        <v>28</v>
      </c>
      <c r="AB279" s="13">
        <v>25</v>
      </c>
      <c r="AC279" s="13">
        <v>26</v>
      </c>
      <c r="AD279" s="13">
        <v>30</v>
      </c>
      <c r="AE279" s="2">
        <v>19</v>
      </c>
      <c r="AF279" s="13"/>
      <c r="AG279" s="13"/>
      <c r="AH279" s="13"/>
    </row>
    <row r="280" spans="1:115">
      <c r="A280" s="10" t="s">
        <v>391</v>
      </c>
      <c r="B280" s="11">
        <f>AVERAGE(E280:AE280)</f>
        <v>27.666666666666668</v>
      </c>
      <c r="C280" s="2">
        <f>MIN(E280:AE280)</f>
        <v>19</v>
      </c>
      <c r="D280" s="12">
        <f>MAX(E280:AE280)</f>
        <v>40</v>
      </c>
      <c r="E280" s="13">
        <v>20</v>
      </c>
      <c r="F280" s="13">
        <v>27</v>
      </c>
      <c r="G280" s="13">
        <v>22</v>
      </c>
      <c r="H280" s="13">
        <v>30</v>
      </c>
      <c r="I280" s="13">
        <v>29</v>
      </c>
      <c r="J280" s="13">
        <v>33</v>
      </c>
      <c r="K280" s="13">
        <v>27</v>
      </c>
      <c r="L280" s="13">
        <v>30</v>
      </c>
      <c r="M280" s="13">
        <v>32</v>
      </c>
      <c r="N280" s="13">
        <v>26</v>
      </c>
      <c r="O280" s="13">
        <v>29</v>
      </c>
      <c r="P280" s="13">
        <v>20</v>
      </c>
      <c r="Q280" s="13">
        <v>32</v>
      </c>
      <c r="R280" s="13">
        <v>33</v>
      </c>
      <c r="S280" s="13">
        <v>20</v>
      </c>
      <c r="T280" s="13">
        <v>40</v>
      </c>
      <c r="U280" s="13">
        <v>28</v>
      </c>
      <c r="V280" s="13">
        <v>33</v>
      </c>
      <c r="W280" s="13">
        <v>32</v>
      </c>
      <c r="X280" s="13">
        <v>29</v>
      </c>
      <c r="Y280" s="13">
        <v>25</v>
      </c>
      <c r="Z280" s="13">
        <v>22</v>
      </c>
      <c r="AA280" s="13">
        <v>28</v>
      </c>
      <c r="AB280" s="13">
        <v>25</v>
      </c>
      <c r="AC280" s="13">
        <v>26</v>
      </c>
      <c r="AD280" s="13">
        <v>30</v>
      </c>
      <c r="AE280" s="2">
        <v>19</v>
      </c>
      <c r="AF280" s="13"/>
      <c r="AG280" s="13"/>
      <c r="AH280" s="13"/>
    </row>
    <row r="281" spans="1:115">
      <c r="A281" s="10" t="s">
        <v>392</v>
      </c>
      <c r="B281" s="11">
        <f>AVERAGE(E281:AE281)</f>
        <v>27.703703703703702</v>
      </c>
      <c r="C281" s="2">
        <f>MIN(E281:AE281)</f>
        <v>19</v>
      </c>
      <c r="D281" s="12">
        <f>MAX(E281:AE281)</f>
        <v>40</v>
      </c>
      <c r="E281" s="13">
        <v>20</v>
      </c>
      <c r="F281" s="13">
        <v>27</v>
      </c>
      <c r="G281" s="13">
        <v>22</v>
      </c>
      <c r="H281" s="13">
        <v>30</v>
      </c>
      <c r="I281" s="13">
        <v>29</v>
      </c>
      <c r="J281" s="13">
        <v>33</v>
      </c>
      <c r="K281" s="13">
        <v>27</v>
      </c>
      <c r="L281" s="13">
        <v>30</v>
      </c>
      <c r="M281" s="13">
        <v>32</v>
      </c>
      <c r="N281" s="13">
        <v>26</v>
      </c>
      <c r="O281" s="13">
        <v>29</v>
      </c>
      <c r="P281" s="13">
        <v>20</v>
      </c>
      <c r="Q281" s="13">
        <v>32</v>
      </c>
      <c r="R281" s="13">
        <v>33</v>
      </c>
      <c r="S281" s="13">
        <v>20</v>
      </c>
      <c r="T281" s="13">
        <v>40</v>
      </c>
      <c r="U281" s="13">
        <v>28</v>
      </c>
      <c r="V281" s="13">
        <v>33</v>
      </c>
      <c r="W281" s="13">
        <v>32</v>
      </c>
      <c r="X281" s="13">
        <v>29</v>
      </c>
      <c r="Y281" s="13">
        <v>25</v>
      </c>
      <c r="Z281" s="13">
        <v>22</v>
      </c>
      <c r="AA281" s="13">
        <v>28</v>
      </c>
      <c r="AB281" s="13">
        <v>25</v>
      </c>
      <c r="AC281" s="21">
        <v>27</v>
      </c>
      <c r="AD281" s="13">
        <v>30</v>
      </c>
      <c r="AE281" s="2">
        <v>19</v>
      </c>
      <c r="AF281" s="13"/>
      <c r="AG281" s="13"/>
      <c r="AH281" s="13"/>
    </row>
    <row r="282" spans="1:115">
      <c r="A282" s="10" t="s">
        <v>393</v>
      </c>
      <c r="B282" s="11">
        <f>AVERAGE(E282:AE282)</f>
        <v>27.703703703703702</v>
      </c>
      <c r="C282" s="2">
        <f>MIN(E282:AE282)</f>
        <v>19</v>
      </c>
      <c r="D282" s="12">
        <f>MAX(E282:AE282)</f>
        <v>40</v>
      </c>
      <c r="E282" s="13">
        <v>20</v>
      </c>
      <c r="F282" s="13">
        <v>27</v>
      </c>
      <c r="G282" s="13">
        <v>22</v>
      </c>
      <c r="H282" s="13">
        <v>30</v>
      </c>
      <c r="I282" s="13">
        <v>29</v>
      </c>
      <c r="J282" s="13">
        <v>33</v>
      </c>
      <c r="K282" s="13">
        <v>27</v>
      </c>
      <c r="L282" s="13">
        <v>30</v>
      </c>
      <c r="M282" s="13">
        <v>32</v>
      </c>
      <c r="N282" s="13">
        <v>26</v>
      </c>
      <c r="O282" s="13">
        <v>29</v>
      </c>
      <c r="P282" s="13">
        <v>20</v>
      </c>
      <c r="Q282" s="13">
        <v>32</v>
      </c>
      <c r="R282" s="13">
        <v>33</v>
      </c>
      <c r="S282" s="13">
        <v>20</v>
      </c>
      <c r="T282" s="13">
        <v>40</v>
      </c>
      <c r="U282" s="13">
        <v>28</v>
      </c>
      <c r="V282" s="13">
        <v>33</v>
      </c>
      <c r="W282" s="13">
        <v>32</v>
      </c>
      <c r="X282" s="13">
        <v>29</v>
      </c>
      <c r="Y282" s="13">
        <v>25</v>
      </c>
      <c r="Z282" s="13">
        <v>22</v>
      </c>
      <c r="AA282" s="13">
        <v>28</v>
      </c>
      <c r="AB282" s="13">
        <v>25</v>
      </c>
      <c r="AC282" s="13">
        <v>27</v>
      </c>
      <c r="AD282" s="13">
        <v>30</v>
      </c>
      <c r="AE282" s="2">
        <v>19</v>
      </c>
      <c r="AF282" s="13"/>
      <c r="AG282" s="13"/>
      <c r="AH282" s="13"/>
    </row>
    <row r="283" spans="1:115">
      <c r="A283" s="10" t="s">
        <v>394</v>
      </c>
      <c r="B283" s="11">
        <f>AVERAGE(E283:AE283)</f>
        <v>27.703703703703702</v>
      </c>
      <c r="C283" s="2">
        <f>MIN(E283:AE283)</f>
        <v>19</v>
      </c>
      <c r="D283" s="12">
        <f>MAX(E283:AE283)</f>
        <v>40</v>
      </c>
      <c r="E283" s="13">
        <v>20</v>
      </c>
      <c r="F283" s="13">
        <v>27</v>
      </c>
      <c r="G283" s="13">
        <v>22</v>
      </c>
      <c r="H283" s="13">
        <v>30</v>
      </c>
      <c r="I283" s="13">
        <v>29</v>
      </c>
      <c r="J283" s="13">
        <v>33</v>
      </c>
      <c r="K283" s="13">
        <v>27</v>
      </c>
      <c r="L283" s="13">
        <v>30</v>
      </c>
      <c r="M283" s="13">
        <v>32</v>
      </c>
      <c r="N283" s="13">
        <v>26</v>
      </c>
      <c r="O283" s="13">
        <v>29</v>
      </c>
      <c r="P283" s="13">
        <v>20</v>
      </c>
      <c r="Q283" s="13">
        <v>32</v>
      </c>
      <c r="R283" s="13">
        <v>33</v>
      </c>
      <c r="S283" s="13">
        <v>20</v>
      </c>
      <c r="T283" s="13">
        <v>40</v>
      </c>
      <c r="U283" s="13">
        <v>28</v>
      </c>
      <c r="V283" s="13">
        <v>33</v>
      </c>
      <c r="W283" s="13">
        <v>32</v>
      </c>
      <c r="X283" s="13">
        <v>29</v>
      </c>
      <c r="Y283" s="13">
        <v>25</v>
      </c>
      <c r="Z283" s="13">
        <v>22</v>
      </c>
      <c r="AA283" s="13">
        <v>28</v>
      </c>
      <c r="AB283" s="13">
        <v>25</v>
      </c>
      <c r="AC283" s="13">
        <v>27</v>
      </c>
      <c r="AD283" s="13">
        <v>30</v>
      </c>
      <c r="AE283" s="2">
        <v>19</v>
      </c>
      <c r="AF283" s="13"/>
      <c r="AG283" s="13"/>
      <c r="AH283" s="13"/>
    </row>
    <row r="284" spans="1:115">
      <c r="A284" s="10" t="s">
        <v>395</v>
      </c>
      <c r="B284" s="11">
        <f>AVERAGE(E284:AE284)</f>
        <v>27.703703703703702</v>
      </c>
      <c r="C284" s="2">
        <f>MIN(E284:AE284)</f>
        <v>19</v>
      </c>
      <c r="D284" s="12">
        <f>MAX(E284:AE284)</f>
        <v>40</v>
      </c>
      <c r="E284" s="13">
        <v>20</v>
      </c>
      <c r="F284" s="13">
        <v>27</v>
      </c>
      <c r="G284" s="13">
        <v>22</v>
      </c>
      <c r="H284" s="13">
        <v>30</v>
      </c>
      <c r="I284" s="13">
        <v>29</v>
      </c>
      <c r="J284" s="13">
        <v>33</v>
      </c>
      <c r="K284" s="13">
        <v>27</v>
      </c>
      <c r="L284" s="13">
        <v>30</v>
      </c>
      <c r="M284" s="13">
        <v>32</v>
      </c>
      <c r="N284" s="13">
        <v>26</v>
      </c>
      <c r="O284" s="13">
        <v>29</v>
      </c>
      <c r="P284" s="13">
        <v>20</v>
      </c>
      <c r="Q284" s="13">
        <v>32</v>
      </c>
      <c r="R284" s="13">
        <v>33</v>
      </c>
      <c r="S284" s="13">
        <v>20</v>
      </c>
      <c r="T284" s="13">
        <v>40</v>
      </c>
      <c r="U284" s="13">
        <v>28</v>
      </c>
      <c r="V284" s="13">
        <v>33</v>
      </c>
      <c r="W284" s="13">
        <v>32</v>
      </c>
      <c r="X284" s="13">
        <v>29</v>
      </c>
      <c r="Y284" s="13">
        <v>25</v>
      </c>
      <c r="Z284" s="13">
        <v>22</v>
      </c>
      <c r="AA284" s="13">
        <v>28</v>
      </c>
      <c r="AB284" s="13">
        <v>25</v>
      </c>
      <c r="AC284" s="13">
        <v>27</v>
      </c>
      <c r="AD284" s="13">
        <v>30</v>
      </c>
      <c r="AE284" s="2">
        <v>19</v>
      </c>
      <c r="AF284" s="13"/>
      <c r="AG284" s="13"/>
      <c r="AH284" s="13"/>
    </row>
    <row r="285" spans="1:115">
      <c r="A285" s="10" t="s">
        <v>396</v>
      </c>
      <c r="B285" s="11">
        <f>AVERAGE(E285:AE285)</f>
        <v>27.703703703703702</v>
      </c>
      <c r="C285" s="2">
        <f>MIN(E285:AE285)</f>
        <v>19</v>
      </c>
      <c r="D285" s="12">
        <f>MAX(E285:AE285)</f>
        <v>40</v>
      </c>
      <c r="E285" s="13">
        <v>20</v>
      </c>
      <c r="F285" s="13">
        <v>27</v>
      </c>
      <c r="G285" s="13">
        <v>22</v>
      </c>
      <c r="H285" s="13">
        <v>30</v>
      </c>
      <c r="I285" s="13">
        <v>29</v>
      </c>
      <c r="J285" s="13">
        <v>33</v>
      </c>
      <c r="K285" s="13">
        <v>27</v>
      </c>
      <c r="L285" s="13">
        <v>30</v>
      </c>
      <c r="M285" s="13">
        <v>32</v>
      </c>
      <c r="N285" s="13">
        <v>26</v>
      </c>
      <c r="O285" s="13">
        <v>29</v>
      </c>
      <c r="P285" s="13">
        <v>20</v>
      </c>
      <c r="Q285" s="13">
        <v>32</v>
      </c>
      <c r="R285" s="13">
        <v>33</v>
      </c>
      <c r="S285" s="13">
        <v>20</v>
      </c>
      <c r="T285" s="13">
        <v>40</v>
      </c>
      <c r="U285" s="13">
        <v>28</v>
      </c>
      <c r="V285" s="13">
        <v>33</v>
      </c>
      <c r="W285" s="13">
        <v>32</v>
      </c>
      <c r="X285" s="13">
        <v>29</v>
      </c>
      <c r="Y285" s="13">
        <v>25</v>
      </c>
      <c r="Z285" s="13">
        <v>22</v>
      </c>
      <c r="AA285" s="13">
        <v>28</v>
      </c>
      <c r="AB285" s="13">
        <v>25</v>
      </c>
      <c r="AC285" s="13">
        <v>27</v>
      </c>
      <c r="AD285" s="13">
        <v>30</v>
      </c>
      <c r="AE285" s="2">
        <v>19</v>
      </c>
      <c r="AF285" s="13"/>
      <c r="AG285" s="13"/>
      <c r="AH285" s="13"/>
    </row>
    <row r="286" spans="1:115">
      <c r="A286" s="10" t="s">
        <v>397</v>
      </c>
      <c r="B286" s="11">
        <f>AVERAGE(E286:AE286)</f>
        <v>27.703703703703702</v>
      </c>
      <c r="C286" s="2">
        <f>MIN(E286:AE286)</f>
        <v>19</v>
      </c>
      <c r="D286" s="12">
        <f>MAX(E286:AE286)</f>
        <v>40</v>
      </c>
      <c r="E286" s="13">
        <v>20</v>
      </c>
      <c r="F286" s="13">
        <v>27</v>
      </c>
      <c r="G286" s="13">
        <v>22</v>
      </c>
      <c r="H286" s="13">
        <v>30</v>
      </c>
      <c r="I286" s="13">
        <v>29</v>
      </c>
      <c r="J286" s="13">
        <v>33</v>
      </c>
      <c r="K286" s="13">
        <v>27</v>
      </c>
      <c r="L286" s="13">
        <v>30</v>
      </c>
      <c r="M286" s="13">
        <v>32</v>
      </c>
      <c r="N286" s="13">
        <v>26</v>
      </c>
      <c r="O286" s="13">
        <v>29</v>
      </c>
      <c r="P286" s="13">
        <v>20</v>
      </c>
      <c r="Q286" s="13">
        <v>32</v>
      </c>
      <c r="R286" s="13">
        <v>33</v>
      </c>
      <c r="S286" s="13">
        <v>20</v>
      </c>
      <c r="T286" s="13">
        <v>40</v>
      </c>
      <c r="U286" s="13">
        <v>28</v>
      </c>
      <c r="V286" s="13">
        <v>33</v>
      </c>
      <c r="W286" s="13">
        <v>32</v>
      </c>
      <c r="X286" s="13">
        <v>29</v>
      </c>
      <c r="Y286" s="13">
        <v>25</v>
      </c>
      <c r="Z286" s="13">
        <v>22</v>
      </c>
      <c r="AA286" s="13">
        <v>28</v>
      </c>
      <c r="AB286" s="13">
        <v>25</v>
      </c>
      <c r="AC286" s="13">
        <v>27</v>
      </c>
      <c r="AD286" s="13">
        <v>30</v>
      </c>
      <c r="AE286" s="2">
        <v>19</v>
      </c>
      <c r="AF286" s="13"/>
      <c r="AG286" s="13"/>
      <c r="AH286" s="13"/>
    </row>
    <row r="287" spans="1:115">
      <c r="A287" s="10" t="s">
        <v>398</v>
      </c>
      <c r="B287" s="11">
        <f>AVERAGE(E287:AE287)</f>
        <v>27.703703703703702</v>
      </c>
      <c r="C287" s="2">
        <f>MIN(E287:AE287)</f>
        <v>19</v>
      </c>
      <c r="D287" s="12">
        <f>MAX(E287:AE287)</f>
        <v>40</v>
      </c>
      <c r="E287" s="13">
        <v>20</v>
      </c>
      <c r="F287" s="13">
        <v>27</v>
      </c>
      <c r="G287" s="13">
        <v>22</v>
      </c>
      <c r="H287" s="13">
        <v>30</v>
      </c>
      <c r="I287" s="13">
        <v>29</v>
      </c>
      <c r="J287" s="13">
        <v>33</v>
      </c>
      <c r="K287" s="13">
        <v>27</v>
      </c>
      <c r="L287" s="13">
        <v>30</v>
      </c>
      <c r="M287" s="13">
        <v>32</v>
      </c>
      <c r="N287" s="13">
        <v>26</v>
      </c>
      <c r="O287" s="13">
        <v>29</v>
      </c>
      <c r="P287" s="13">
        <v>20</v>
      </c>
      <c r="Q287" s="13">
        <v>32</v>
      </c>
      <c r="R287" s="13">
        <v>33</v>
      </c>
      <c r="S287" s="13">
        <v>20</v>
      </c>
      <c r="T287" s="13">
        <v>40</v>
      </c>
      <c r="U287" s="13">
        <v>28</v>
      </c>
      <c r="V287" s="13">
        <v>33</v>
      </c>
      <c r="W287" s="13">
        <v>32</v>
      </c>
      <c r="X287" s="13">
        <v>29</v>
      </c>
      <c r="Y287" s="13">
        <v>25</v>
      </c>
      <c r="Z287" s="13">
        <v>22</v>
      </c>
      <c r="AA287" s="13">
        <v>28</v>
      </c>
      <c r="AB287" s="13">
        <v>25</v>
      </c>
      <c r="AC287" s="13">
        <v>27</v>
      </c>
      <c r="AD287" s="13">
        <v>30</v>
      </c>
      <c r="AE287" s="2">
        <v>19</v>
      </c>
      <c r="AF287" s="13"/>
      <c r="AG287" s="13"/>
      <c r="AH287" s="13"/>
    </row>
    <row r="288" spans="1:115">
      <c r="A288" s="10" t="s">
        <v>399</v>
      </c>
      <c r="B288" s="11">
        <f>AVERAGE(E288:AE288)</f>
        <v>27.703703703703702</v>
      </c>
      <c r="C288" s="2">
        <f>MIN(E288:AE288)</f>
        <v>19</v>
      </c>
      <c r="D288" s="12">
        <f>MAX(E288:AE288)</f>
        <v>40</v>
      </c>
      <c r="E288" s="13">
        <v>20</v>
      </c>
      <c r="F288" s="13">
        <v>27</v>
      </c>
      <c r="G288" s="13">
        <v>22</v>
      </c>
      <c r="H288" s="13">
        <v>30</v>
      </c>
      <c r="I288" s="13">
        <v>29</v>
      </c>
      <c r="J288" s="13">
        <v>33</v>
      </c>
      <c r="K288" s="13">
        <v>27</v>
      </c>
      <c r="L288" s="13">
        <v>30</v>
      </c>
      <c r="M288" s="13">
        <v>32</v>
      </c>
      <c r="N288" s="13">
        <v>26</v>
      </c>
      <c r="O288" s="13">
        <v>29</v>
      </c>
      <c r="P288" s="13">
        <v>20</v>
      </c>
      <c r="Q288" s="13">
        <v>32</v>
      </c>
      <c r="R288" s="13">
        <v>33</v>
      </c>
      <c r="S288" s="13">
        <v>20</v>
      </c>
      <c r="T288" s="13">
        <v>40</v>
      </c>
      <c r="U288" s="13">
        <v>28</v>
      </c>
      <c r="V288" s="13">
        <v>33</v>
      </c>
      <c r="W288" s="13">
        <v>32</v>
      </c>
      <c r="X288" s="13">
        <v>29</v>
      </c>
      <c r="Y288" s="13">
        <v>25</v>
      </c>
      <c r="Z288" s="13">
        <v>22</v>
      </c>
      <c r="AA288" s="13">
        <v>28</v>
      </c>
      <c r="AB288" s="13">
        <v>25</v>
      </c>
      <c r="AC288" s="13">
        <v>27</v>
      </c>
      <c r="AD288" s="13">
        <v>30</v>
      </c>
      <c r="AE288" s="2">
        <v>19</v>
      </c>
      <c r="AF288" s="13"/>
      <c r="AG288" s="13"/>
      <c r="AH288" s="13"/>
    </row>
    <row r="289" spans="1:34">
      <c r="A289" s="10" t="s">
        <v>400</v>
      </c>
      <c r="B289" s="11">
        <f>AVERAGE(E289:AE289)</f>
        <v>27.703703703703702</v>
      </c>
      <c r="C289" s="2">
        <f>MIN(E289:AE289)</f>
        <v>19</v>
      </c>
      <c r="D289" s="12">
        <f>MAX(E289:AE289)</f>
        <v>40</v>
      </c>
      <c r="E289" s="13">
        <v>20</v>
      </c>
      <c r="F289" s="13">
        <v>27</v>
      </c>
      <c r="G289" s="13">
        <v>22</v>
      </c>
      <c r="H289" s="13">
        <v>30</v>
      </c>
      <c r="I289" s="13">
        <v>29</v>
      </c>
      <c r="J289" s="13">
        <v>33</v>
      </c>
      <c r="K289" s="13">
        <v>27</v>
      </c>
      <c r="L289" s="13">
        <v>30</v>
      </c>
      <c r="M289" s="13">
        <v>32</v>
      </c>
      <c r="N289" s="13">
        <v>26</v>
      </c>
      <c r="O289" s="13">
        <v>29</v>
      </c>
      <c r="P289" s="13">
        <v>20</v>
      </c>
      <c r="Q289" s="13">
        <v>32</v>
      </c>
      <c r="R289" s="13">
        <v>33</v>
      </c>
      <c r="S289" s="13">
        <v>20</v>
      </c>
      <c r="T289" s="13">
        <v>40</v>
      </c>
      <c r="U289" s="13">
        <v>28</v>
      </c>
      <c r="V289" s="13">
        <v>33</v>
      </c>
      <c r="W289" s="13">
        <v>32</v>
      </c>
      <c r="X289" s="13">
        <v>29</v>
      </c>
      <c r="Y289" s="13">
        <v>25</v>
      </c>
      <c r="Z289" s="13">
        <v>22</v>
      </c>
      <c r="AA289" s="13">
        <v>28</v>
      </c>
      <c r="AB289" s="13">
        <v>25</v>
      </c>
      <c r="AC289" s="13">
        <v>27</v>
      </c>
      <c r="AD289" s="13">
        <v>30</v>
      </c>
      <c r="AE289" s="2">
        <v>19</v>
      </c>
      <c r="AF289" s="13"/>
      <c r="AG289" s="13"/>
      <c r="AH289" s="13"/>
    </row>
    <row r="290" spans="1:34">
      <c r="A290" s="10" t="s">
        <v>401</v>
      </c>
      <c r="B290" s="11">
        <f>AVERAGE(E290:AE290)</f>
        <v>27.703703703703702</v>
      </c>
      <c r="C290" s="2">
        <f>MIN(E290:AE290)</f>
        <v>19</v>
      </c>
      <c r="D290" s="12">
        <f>MAX(E290:AE290)</f>
        <v>40</v>
      </c>
      <c r="E290" s="13">
        <v>20</v>
      </c>
      <c r="F290" s="13">
        <v>27</v>
      </c>
      <c r="G290" s="13">
        <v>22</v>
      </c>
      <c r="H290" s="13">
        <v>30</v>
      </c>
      <c r="I290" s="13">
        <v>29</v>
      </c>
      <c r="J290" s="13">
        <v>33</v>
      </c>
      <c r="K290" s="13">
        <v>27</v>
      </c>
      <c r="L290" s="13">
        <v>30</v>
      </c>
      <c r="M290" s="13">
        <v>32</v>
      </c>
      <c r="N290" s="13">
        <v>26</v>
      </c>
      <c r="O290" s="13">
        <v>29</v>
      </c>
      <c r="P290" s="13">
        <v>20</v>
      </c>
      <c r="Q290" s="13">
        <v>32</v>
      </c>
      <c r="R290" s="13">
        <v>33</v>
      </c>
      <c r="S290" s="13">
        <v>20</v>
      </c>
      <c r="T290" s="13">
        <v>40</v>
      </c>
      <c r="U290" s="13">
        <v>28</v>
      </c>
      <c r="V290" s="13">
        <v>33</v>
      </c>
      <c r="W290" s="13">
        <v>32</v>
      </c>
      <c r="X290" s="13">
        <v>29</v>
      </c>
      <c r="Y290" s="13">
        <v>25</v>
      </c>
      <c r="Z290" s="13">
        <v>22</v>
      </c>
      <c r="AA290" s="13">
        <v>28</v>
      </c>
      <c r="AB290" s="13">
        <v>25</v>
      </c>
      <c r="AC290" s="13">
        <v>27</v>
      </c>
      <c r="AD290" s="13">
        <v>30</v>
      </c>
      <c r="AE290" s="2">
        <v>19</v>
      </c>
      <c r="AF290" s="13"/>
      <c r="AG290" s="13"/>
      <c r="AH290" s="13"/>
    </row>
    <row r="291" spans="1:34">
      <c r="A291" s="10" t="s">
        <v>402</v>
      </c>
      <c r="B291" s="11">
        <f>AVERAGE(E291:AE291)</f>
        <v>27.703703703703702</v>
      </c>
      <c r="C291" s="2">
        <f>MIN(E291:AE291)</f>
        <v>19</v>
      </c>
      <c r="D291" s="12">
        <f>MAX(E291:AE291)</f>
        <v>40</v>
      </c>
      <c r="E291" s="13">
        <v>20</v>
      </c>
      <c r="F291" s="13">
        <v>27</v>
      </c>
      <c r="G291" s="13">
        <v>22</v>
      </c>
      <c r="H291" s="13">
        <v>30</v>
      </c>
      <c r="I291" s="13">
        <v>29</v>
      </c>
      <c r="J291" s="13">
        <v>33</v>
      </c>
      <c r="K291" s="13">
        <v>27</v>
      </c>
      <c r="L291" s="13">
        <v>30</v>
      </c>
      <c r="M291" s="13">
        <v>32</v>
      </c>
      <c r="N291" s="13">
        <v>26</v>
      </c>
      <c r="O291" s="13">
        <v>29</v>
      </c>
      <c r="P291" s="13">
        <v>20</v>
      </c>
      <c r="Q291" s="13">
        <v>32</v>
      </c>
      <c r="R291" s="13">
        <v>33</v>
      </c>
      <c r="S291" s="13">
        <v>20</v>
      </c>
      <c r="T291" s="13">
        <v>40</v>
      </c>
      <c r="U291" s="13">
        <v>28</v>
      </c>
      <c r="V291" s="13">
        <v>33</v>
      </c>
      <c r="W291" s="13">
        <v>32</v>
      </c>
      <c r="X291" s="13">
        <v>29</v>
      </c>
      <c r="Y291" s="13">
        <v>25</v>
      </c>
      <c r="Z291" s="13">
        <v>22</v>
      </c>
      <c r="AA291" s="13">
        <v>28</v>
      </c>
      <c r="AB291" s="13">
        <v>25</v>
      </c>
      <c r="AC291" s="13">
        <v>27</v>
      </c>
      <c r="AD291" s="13">
        <v>30</v>
      </c>
      <c r="AE291" s="2">
        <v>19</v>
      </c>
      <c r="AF291" s="13"/>
      <c r="AG291" s="13"/>
      <c r="AH291" s="13"/>
    </row>
    <row r="292" spans="1:34">
      <c r="A292" s="10" t="s">
        <v>403</v>
      </c>
      <c r="B292" s="11">
        <f>AVERAGE(E292:AE292)</f>
        <v>27.703703703703702</v>
      </c>
      <c r="C292" s="2">
        <f>MIN(E292:AE292)</f>
        <v>19</v>
      </c>
      <c r="D292" s="12">
        <f>MAX(E292:AE292)</f>
        <v>40</v>
      </c>
      <c r="E292" s="13">
        <v>20</v>
      </c>
      <c r="F292" s="13">
        <v>27</v>
      </c>
      <c r="G292" s="13">
        <v>22</v>
      </c>
      <c r="H292" s="13">
        <v>30</v>
      </c>
      <c r="I292" s="13">
        <v>29</v>
      </c>
      <c r="J292" s="13">
        <v>33</v>
      </c>
      <c r="K292" s="13">
        <v>27</v>
      </c>
      <c r="L292" s="13">
        <v>30</v>
      </c>
      <c r="M292" s="13">
        <v>32</v>
      </c>
      <c r="N292" s="13">
        <v>26</v>
      </c>
      <c r="O292" s="13">
        <v>29</v>
      </c>
      <c r="P292" s="13">
        <v>20</v>
      </c>
      <c r="Q292" s="13">
        <v>32</v>
      </c>
      <c r="R292" s="13">
        <v>33</v>
      </c>
      <c r="S292" s="13">
        <v>20</v>
      </c>
      <c r="T292" s="13">
        <v>40</v>
      </c>
      <c r="U292" s="13">
        <v>28</v>
      </c>
      <c r="V292" s="13">
        <v>33</v>
      </c>
      <c r="W292" s="13">
        <v>32</v>
      </c>
      <c r="X292" s="13">
        <v>29</v>
      </c>
      <c r="Y292" s="13">
        <v>25</v>
      </c>
      <c r="Z292" s="13">
        <v>22</v>
      </c>
      <c r="AA292" s="13">
        <v>28</v>
      </c>
      <c r="AB292" s="13">
        <v>25</v>
      </c>
      <c r="AC292" s="13">
        <v>27</v>
      </c>
      <c r="AD292" s="13">
        <v>30</v>
      </c>
      <c r="AE292" s="2">
        <v>19</v>
      </c>
      <c r="AF292" s="13"/>
      <c r="AG292" s="13"/>
      <c r="AH292" s="13"/>
    </row>
    <row r="293" spans="1:34">
      <c r="A293" s="10" t="s">
        <v>404</v>
      </c>
      <c r="B293" s="11">
        <f>AVERAGE(E293:AE293)</f>
        <v>27.703703703703702</v>
      </c>
      <c r="C293" s="2">
        <f>MIN(E293:AE293)</f>
        <v>19</v>
      </c>
      <c r="D293" s="12">
        <f>MAX(E293:AE293)</f>
        <v>40</v>
      </c>
      <c r="E293" s="13">
        <v>20</v>
      </c>
      <c r="F293" s="13">
        <v>27</v>
      </c>
      <c r="G293" s="13">
        <v>22</v>
      </c>
      <c r="H293" s="13">
        <v>30</v>
      </c>
      <c r="I293" s="13">
        <v>29</v>
      </c>
      <c r="J293" s="13">
        <v>33</v>
      </c>
      <c r="K293" s="13">
        <v>27</v>
      </c>
      <c r="L293" s="13">
        <v>30</v>
      </c>
      <c r="M293" s="13">
        <v>32</v>
      </c>
      <c r="N293" s="13">
        <v>26</v>
      </c>
      <c r="O293" s="13">
        <v>29</v>
      </c>
      <c r="P293" s="13">
        <v>20</v>
      </c>
      <c r="Q293" s="13">
        <v>32</v>
      </c>
      <c r="R293" s="13">
        <v>33</v>
      </c>
      <c r="S293" s="13">
        <v>20</v>
      </c>
      <c r="T293" s="13">
        <v>40</v>
      </c>
      <c r="U293" s="13">
        <v>28</v>
      </c>
      <c r="V293" s="13">
        <v>33</v>
      </c>
      <c r="W293" s="13">
        <v>32</v>
      </c>
      <c r="X293" s="13">
        <v>29</v>
      </c>
      <c r="Y293" s="13">
        <v>25</v>
      </c>
      <c r="Z293" s="13">
        <v>22</v>
      </c>
      <c r="AA293" s="13">
        <v>28</v>
      </c>
      <c r="AB293" s="13">
        <v>25</v>
      </c>
      <c r="AC293" s="13">
        <v>27</v>
      </c>
      <c r="AD293" s="13">
        <v>30</v>
      </c>
      <c r="AE293" s="2">
        <v>19</v>
      </c>
      <c r="AF293" s="13"/>
      <c r="AG293" s="13"/>
      <c r="AH293" s="13"/>
    </row>
    <row r="294" spans="1:34">
      <c r="A294" s="10" t="s">
        <v>405</v>
      </c>
      <c r="B294" s="11">
        <f>AVERAGE(E294:AE294)</f>
        <v>27.703703703703702</v>
      </c>
      <c r="C294" s="2">
        <f>MIN(E294:AE294)</f>
        <v>19</v>
      </c>
      <c r="D294" s="12">
        <f>MAX(E294:AE294)</f>
        <v>40</v>
      </c>
      <c r="E294" s="13">
        <v>20</v>
      </c>
      <c r="F294" s="13">
        <v>27</v>
      </c>
      <c r="G294" s="13">
        <v>22</v>
      </c>
      <c r="H294" s="13">
        <v>30</v>
      </c>
      <c r="I294" s="13">
        <v>29</v>
      </c>
      <c r="J294" s="13">
        <v>33</v>
      </c>
      <c r="K294" s="13">
        <v>27</v>
      </c>
      <c r="L294" s="13">
        <v>30</v>
      </c>
      <c r="M294" s="13">
        <v>32</v>
      </c>
      <c r="N294" s="13">
        <v>26</v>
      </c>
      <c r="O294" s="13">
        <v>29</v>
      </c>
      <c r="P294" s="13">
        <v>20</v>
      </c>
      <c r="Q294" s="13">
        <v>32</v>
      </c>
      <c r="R294" s="13">
        <v>33</v>
      </c>
      <c r="S294" s="13">
        <v>20</v>
      </c>
      <c r="T294" s="13">
        <v>40</v>
      </c>
      <c r="U294" s="13">
        <v>28</v>
      </c>
      <c r="V294" s="13">
        <v>33</v>
      </c>
      <c r="W294" s="13">
        <v>32</v>
      </c>
      <c r="X294" s="13">
        <v>29</v>
      </c>
      <c r="Y294" s="13">
        <v>25</v>
      </c>
      <c r="Z294" s="13">
        <v>22</v>
      </c>
      <c r="AA294" s="13">
        <v>28</v>
      </c>
      <c r="AB294" s="13">
        <v>25</v>
      </c>
      <c r="AC294" s="13">
        <v>27</v>
      </c>
      <c r="AD294" s="13">
        <v>30</v>
      </c>
      <c r="AE294" s="2">
        <v>19</v>
      </c>
      <c r="AF294" s="13"/>
      <c r="AG294" s="13"/>
      <c r="AH294" s="13"/>
    </row>
    <row r="295" spans="1:34">
      <c r="A295" s="10" t="s">
        <v>406</v>
      </c>
      <c r="B295" s="11">
        <f>AVERAGE(E295:AE295)</f>
        <v>27.703703703703702</v>
      </c>
      <c r="C295" s="2">
        <f>MIN(E295:AE295)</f>
        <v>19</v>
      </c>
      <c r="D295" s="12">
        <f>MAX(E295:AE295)</f>
        <v>40</v>
      </c>
      <c r="E295" s="13">
        <v>20</v>
      </c>
      <c r="F295" s="13">
        <v>27</v>
      </c>
      <c r="G295" s="13">
        <v>22</v>
      </c>
      <c r="H295" s="13">
        <v>30</v>
      </c>
      <c r="I295" s="13">
        <v>29</v>
      </c>
      <c r="J295" s="13">
        <v>33</v>
      </c>
      <c r="K295" s="13">
        <v>27</v>
      </c>
      <c r="L295" s="13">
        <v>30</v>
      </c>
      <c r="M295" s="13">
        <v>32</v>
      </c>
      <c r="N295" s="13">
        <v>26</v>
      </c>
      <c r="O295" s="13">
        <v>29</v>
      </c>
      <c r="P295" s="13">
        <v>20</v>
      </c>
      <c r="Q295" s="13">
        <v>32</v>
      </c>
      <c r="R295" s="13">
        <v>33</v>
      </c>
      <c r="S295" s="13">
        <v>20</v>
      </c>
      <c r="T295" s="13">
        <v>40</v>
      </c>
      <c r="U295" s="13">
        <v>28</v>
      </c>
      <c r="V295" s="13">
        <v>33</v>
      </c>
      <c r="W295" s="13">
        <v>32</v>
      </c>
      <c r="X295" s="13">
        <v>29</v>
      </c>
      <c r="Y295" s="13">
        <v>25</v>
      </c>
      <c r="Z295" s="13">
        <v>22</v>
      </c>
      <c r="AA295" s="13">
        <v>28</v>
      </c>
      <c r="AB295" s="13">
        <v>25</v>
      </c>
      <c r="AC295" s="13">
        <v>27</v>
      </c>
      <c r="AD295" s="13">
        <v>30</v>
      </c>
      <c r="AE295" s="2">
        <v>19</v>
      </c>
      <c r="AF295" s="13"/>
      <c r="AG295" s="13"/>
      <c r="AH295" s="13"/>
    </row>
    <row r="296" spans="1:34">
      <c r="A296" s="10" t="s">
        <v>407</v>
      </c>
      <c r="B296" s="11">
        <f>AVERAGE(E296:AE296)</f>
        <v>27.703703703703702</v>
      </c>
      <c r="C296" s="2">
        <f>MIN(E296:AE296)</f>
        <v>19</v>
      </c>
      <c r="D296" s="12">
        <f>MAX(E296:AE296)</f>
        <v>40</v>
      </c>
      <c r="E296" s="13">
        <v>20</v>
      </c>
      <c r="F296" s="13">
        <v>27</v>
      </c>
      <c r="G296" s="13">
        <v>22</v>
      </c>
      <c r="H296" s="13">
        <v>30</v>
      </c>
      <c r="I296" s="13">
        <v>29</v>
      </c>
      <c r="J296" s="13">
        <v>33</v>
      </c>
      <c r="K296" s="13">
        <v>27</v>
      </c>
      <c r="L296" s="13">
        <v>30</v>
      </c>
      <c r="M296" s="13">
        <v>32</v>
      </c>
      <c r="N296" s="13">
        <v>26</v>
      </c>
      <c r="O296" s="13">
        <v>29</v>
      </c>
      <c r="P296" s="13">
        <v>20</v>
      </c>
      <c r="Q296" s="13">
        <v>32</v>
      </c>
      <c r="R296" s="13">
        <v>33</v>
      </c>
      <c r="S296" s="13">
        <v>20</v>
      </c>
      <c r="T296" s="13">
        <v>40</v>
      </c>
      <c r="U296" s="13">
        <v>28</v>
      </c>
      <c r="V296" s="13">
        <v>33</v>
      </c>
      <c r="W296" s="13">
        <v>32</v>
      </c>
      <c r="X296" s="13">
        <v>29</v>
      </c>
      <c r="Y296" s="13">
        <v>25</v>
      </c>
      <c r="Z296" s="13">
        <v>22</v>
      </c>
      <c r="AA296" s="13">
        <v>28</v>
      </c>
      <c r="AB296" s="13">
        <v>25</v>
      </c>
      <c r="AC296" s="13">
        <v>27</v>
      </c>
      <c r="AD296" s="13">
        <v>30</v>
      </c>
      <c r="AE296" s="2">
        <v>19</v>
      </c>
      <c r="AF296" s="13"/>
      <c r="AG296" s="13"/>
      <c r="AH296" s="13"/>
    </row>
    <row r="297" spans="1:34">
      <c r="A297" s="10" t="s">
        <v>408</v>
      </c>
      <c r="B297" s="11">
        <f>AVERAGE(E297:AE297)</f>
        <v>27.703703703703702</v>
      </c>
      <c r="C297" s="2">
        <f>MIN(E297:AE297)</f>
        <v>19</v>
      </c>
      <c r="D297" s="12">
        <f>MAX(E297:AE297)</f>
        <v>40</v>
      </c>
      <c r="E297" s="13">
        <v>20</v>
      </c>
      <c r="F297" s="13">
        <v>27</v>
      </c>
      <c r="G297" s="13">
        <v>22</v>
      </c>
      <c r="H297" s="13">
        <v>30</v>
      </c>
      <c r="I297" s="13">
        <v>29</v>
      </c>
      <c r="J297" s="13">
        <v>33</v>
      </c>
      <c r="K297" s="13">
        <v>27</v>
      </c>
      <c r="L297" s="13">
        <v>30</v>
      </c>
      <c r="M297" s="13">
        <v>32</v>
      </c>
      <c r="N297" s="13">
        <v>26</v>
      </c>
      <c r="O297" s="13">
        <v>29</v>
      </c>
      <c r="P297" s="13">
        <v>20</v>
      </c>
      <c r="Q297" s="13">
        <v>32</v>
      </c>
      <c r="R297" s="13">
        <v>33</v>
      </c>
      <c r="S297" s="13">
        <v>20</v>
      </c>
      <c r="T297" s="13">
        <v>40</v>
      </c>
      <c r="U297" s="13">
        <v>28</v>
      </c>
      <c r="V297" s="13">
        <v>33</v>
      </c>
      <c r="W297" s="13">
        <v>32</v>
      </c>
      <c r="X297" s="13">
        <v>29</v>
      </c>
      <c r="Y297" s="13">
        <v>25</v>
      </c>
      <c r="Z297" s="13">
        <v>22</v>
      </c>
      <c r="AA297" s="13">
        <v>28</v>
      </c>
      <c r="AB297" s="13">
        <v>25</v>
      </c>
      <c r="AC297" s="13">
        <v>27</v>
      </c>
      <c r="AD297" s="13">
        <v>30</v>
      </c>
      <c r="AE297" s="2">
        <v>19</v>
      </c>
      <c r="AF297" s="13"/>
      <c r="AG297" s="13"/>
      <c r="AH297" s="13"/>
    </row>
    <row r="298" spans="1:34">
      <c r="A298" s="10" t="s">
        <v>409</v>
      </c>
      <c r="B298" s="11">
        <f>AVERAGE(E298:AE298)</f>
        <v>27.703703703703702</v>
      </c>
      <c r="C298" s="2">
        <f>MIN(E298:AE298)</f>
        <v>19</v>
      </c>
      <c r="D298" s="12">
        <f>MAX(E298:AE298)</f>
        <v>40</v>
      </c>
      <c r="E298" s="13">
        <v>20</v>
      </c>
      <c r="F298" s="13">
        <v>27</v>
      </c>
      <c r="G298" s="13">
        <v>22</v>
      </c>
      <c r="H298" s="13">
        <v>30</v>
      </c>
      <c r="I298" s="13">
        <v>29</v>
      </c>
      <c r="J298" s="13">
        <v>33</v>
      </c>
      <c r="K298" s="13">
        <v>27</v>
      </c>
      <c r="L298" s="13">
        <v>30</v>
      </c>
      <c r="M298" s="13">
        <v>32</v>
      </c>
      <c r="N298" s="13">
        <v>26</v>
      </c>
      <c r="O298" s="13">
        <v>29</v>
      </c>
      <c r="P298" s="13">
        <v>20</v>
      </c>
      <c r="Q298" s="13">
        <v>32</v>
      </c>
      <c r="R298" s="13">
        <v>33</v>
      </c>
      <c r="S298" s="13">
        <v>20</v>
      </c>
      <c r="T298" s="13">
        <v>40</v>
      </c>
      <c r="U298" s="13">
        <v>28</v>
      </c>
      <c r="V298" s="13">
        <v>33</v>
      </c>
      <c r="W298" s="13">
        <v>32</v>
      </c>
      <c r="X298" s="13">
        <v>29</v>
      </c>
      <c r="Y298" s="13">
        <v>25</v>
      </c>
      <c r="Z298" s="13">
        <v>22</v>
      </c>
      <c r="AA298" s="13">
        <v>28</v>
      </c>
      <c r="AB298" s="13">
        <v>25</v>
      </c>
      <c r="AC298" s="13">
        <v>27</v>
      </c>
      <c r="AD298" s="13">
        <v>30</v>
      </c>
      <c r="AE298" s="2">
        <v>19</v>
      </c>
      <c r="AF298" s="13"/>
      <c r="AG298" s="13"/>
      <c r="AH298" s="13"/>
    </row>
    <row r="299" spans="1:34">
      <c r="A299" s="10" t="s">
        <v>410</v>
      </c>
      <c r="B299" s="11">
        <f>AVERAGE(E299:AE299)</f>
        <v>27.703703703703702</v>
      </c>
      <c r="C299" s="2">
        <f>MIN(E299:AE299)</f>
        <v>19</v>
      </c>
      <c r="D299" s="12">
        <f>MAX(E299:AE299)</f>
        <v>40</v>
      </c>
      <c r="E299" s="13">
        <v>20</v>
      </c>
      <c r="F299" s="13">
        <v>27</v>
      </c>
      <c r="G299" s="13">
        <v>22</v>
      </c>
      <c r="H299" s="13">
        <v>30</v>
      </c>
      <c r="I299" s="13">
        <v>29</v>
      </c>
      <c r="J299" s="13">
        <v>33</v>
      </c>
      <c r="K299" s="13">
        <v>27</v>
      </c>
      <c r="L299" s="13">
        <v>30</v>
      </c>
      <c r="M299" s="13">
        <v>32</v>
      </c>
      <c r="N299" s="13">
        <v>26</v>
      </c>
      <c r="O299" s="13">
        <v>29</v>
      </c>
      <c r="P299" s="13">
        <v>20</v>
      </c>
      <c r="Q299" s="13">
        <v>32</v>
      </c>
      <c r="R299" s="13">
        <v>33</v>
      </c>
      <c r="S299" s="13">
        <v>20</v>
      </c>
      <c r="T299" s="13">
        <v>40</v>
      </c>
      <c r="U299" s="13">
        <v>28</v>
      </c>
      <c r="V299" s="13">
        <v>33</v>
      </c>
      <c r="W299" s="13">
        <v>32</v>
      </c>
      <c r="X299" s="13">
        <v>29</v>
      </c>
      <c r="Y299" s="13">
        <v>25</v>
      </c>
      <c r="Z299" s="13">
        <v>22</v>
      </c>
      <c r="AA299" s="13">
        <v>28</v>
      </c>
      <c r="AB299" s="13">
        <v>25</v>
      </c>
      <c r="AC299" s="13">
        <v>27</v>
      </c>
      <c r="AD299" s="13">
        <v>30</v>
      </c>
      <c r="AE299" s="2">
        <v>19</v>
      </c>
      <c r="AF299" s="13"/>
      <c r="AG299" s="13"/>
      <c r="AH299" s="13"/>
    </row>
    <row r="300" spans="1:34">
      <c r="A300" s="10" t="s">
        <v>411</v>
      </c>
      <c r="B300" s="11">
        <f>AVERAGE(E300:AE300)</f>
        <v>27.703703703703702</v>
      </c>
      <c r="C300" s="2">
        <f>MIN(E300:AE300)</f>
        <v>19</v>
      </c>
      <c r="D300" s="12">
        <f>MAX(E300:AE300)</f>
        <v>40</v>
      </c>
      <c r="E300" s="13">
        <v>20</v>
      </c>
      <c r="F300" s="13">
        <v>27</v>
      </c>
      <c r="G300" s="13">
        <v>22</v>
      </c>
      <c r="H300" s="13">
        <v>30</v>
      </c>
      <c r="I300" s="13">
        <v>29</v>
      </c>
      <c r="J300" s="13">
        <v>33</v>
      </c>
      <c r="K300" s="13">
        <v>27</v>
      </c>
      <c r="L300" s="13">
        <v>30</v>
      </c>
      <c r="M300" s="13">
        <v>32</v>
      </c>
      <c r="N300" s="13">
        <v>26</v>
      </c>
      <c r="O300" s="13">
        <v>29</v>
      </c>
      <c r="P300" s="13">
        <v>20</v>
      </c>
      <c r="Q300" s="13">
        <v>32</v>
      </c>
      <c r="R300" s="13">
        <v>33</v>
      </c>
      <c r="S300" s="13">
        <v>20</v>
      </c>
      <c r="T300" s="13">
        <v>40</v>
      </c>
      <c r="U300" s="13">
        <v>28</v>
      </c>
      <c r="V300" s="13">
        <v>33</v>
      </c>
      <c r="W300" s="13">
        <v>32</v>
      </c>
      <c r="X300" s="13">
        <v>29</v>
      </c>
      <c r="Y300" s="13">
        <v>25</v>
      </c>
      <c r="Z300" s="13">
        <v>22</v>
      </c>
      <c r="AA300" s="13">
        <v>28</v>
      </c>
      <c r="AB300" s="13">
        <v>25</v>
      </c>
      <c r="AC300" s="13">
        <v>27</v>
      </c>
      <c r="AD300" s="13">
        <v>30</v>
      </c>
      <c r="AE300" s="2">
        <v>19</v>
      </c>
      <c r="AF300" s="13"/>
      <c r="AG300" s="13"/>
      <c r="AH300" s="13"/>
    </row>
    <row r="301" spans="1:34">
      <c r="A301" s="10" t="s">
        <v>412</v>
      </c>
      <c r="B301" s="11">
        <f>AVERAGE(E301:AE301)</f>
        <v>27.703703703703702</v>
      </c>
      <c r="C301" s="2">
        <f>MIN(E301:AE301)</f>
        <v>19</v>
      </c>
      <c r="D301" s="12">
        <f>MAX(E301:AE301)</f>
        <v>40</v>
      </c>
      <c r="E301" s="13">
        <v>20</v>
      </c>
      <c r="F301" s="13">
        <v>27</v>
      </c>
      <c r="G301" s="13">
        <v>22</v>
      </c>
      <c r="H301" s="13">
        <v>30</v>
      </c>
      <c r="I301" s="13">
        <v>29</v>
      </c>
      <c r="J301" s="13">
        <v>33</v>
      </c>
      <c r="K301" s="13">
        <v>27</v>
      </c>
      <c r="L301" s="13">
        <v>30</v>
      </c>
      <c r="M301" s="13">
        <v>32</v>
      </c>
      <c r="N301" s="13">
        <v>26</v>
      </c>
      <c r="O301" s="13">
        <v>29</v>
      </c>
      <c r="P301" s="13">
        <v>20</v>
      </c>
      <c r="Q301" s="13">
        <v>32</v>
      </c>
      <c r="R301" s="13">
        <v>33</v>
      </c>
      <c r="S301" s="13">
        <v>20</v>
      </c>
      <c r="T301" s="13">
        <v>40</v>
      </c>
      <c r="U301" s="13">
        <v>28</v>
      </c>
      <c r="V301" s="13">
        <v>33</v>
      </c>
      <c r="W301" s="13">
        <v>32</v>
      </c>
      <c r="X301" s="13">
        <v>29</v>
      </c>
      <c r="Y301" s="13">
        <v>25</v>
      </c>
      <c r="Z301" s="13">
        <v>22</v>
      </c>
      <c r="AA301" s="13">
        <v>28</v>
      </c>
      <c r="AB301" s="13">
        <v>25</v>
      </c>
      <c r="AC301" s="13">
        <v>27</v>
      </c>
      <c r="AD301" s="13">
        <v>30</v>
      </c>
      <c r="AE301" s="2">
        <v>19</v>
      </c>
      <c r="AF301" s="13"/>
      <c r="AG301" s="13"/>
      <c r="AH301" s="13"/>
    </row>
    <row r="302" spans="1:34">
      <c r="A302" s="10" t="s">
        <v>413</v>
      </c>
      <c r="B302" s="11">
        <f>AVERAGE(E302:AE302)</f>
        <v>27.74074074074074</v>
      </c>
      <c r="C302" s="2">
        <f>MIN(E302:AE302)</f>
        <v>19</v>
      </c>
      <c r="D302" s="12">
        <f>MAX(E302:AE302)</f>
        <v>40</v>
      </c>
      <c r="E302" s="13">
        <v>20</v>
      </c>
      <c r="F302" s="13">
        <v>27</v>
      </c>
      <c r="G302" s="13">
        <v>22</v>
      </c>
      <c r="H302" s="13">
        <v>30</v>
      </c>
      <c r="I302" s="13">
        <v>29</v>
      </c>
      <c r="J302" s="13">
        <v>33</v>
      </c>
      <c r="K302" s="13">
        <v>27</v>
      </c>
      <c r="L302" s="13">
        <v>30</v>
      </c>
      <c r="M302" s="13">
        <v>32</v>
      </c>
      <c r="N302" s="13">
        <v>26</v>
      </c>
      <c r="O302" s="13">
        <v>29</v>
      </c>
      <c r="P302" s="13">
        <v>20</v>
      </c>
      <c r="Q302" s="13">
        <v>32</v>
      </c>
      <c r="R302" s="13">
        <v>33</v>
      </c>
      <c r="S302" s="13">
        <v>20</v>
      </c>
      <c r="T302" s="13">
        <v>40</v>
      </c>
      <c r="U302" s="13">
        <v>28</v>
      </c>
      <c r="V302" s="13">
        <v>33</v>
      </c>
      <c r="W302" s="13">
        <v>32</v>
      </c>
      <c r="X302" s="13">
        <v>29</v>
      </c>
      <c r="Y302" s="13">
        <v>25</v>
      </c>
      <c r="Z302" s="13">
        <v>22</v>
      </c>
      <c r="AA302" s="13">
        <v>28</v>
      </c>
      <c r="AB302" s="21">
        <v>26</v>
      </c>
      <c r="AC302" s="13">
        <v>27</v>
      </c>
      <c r="AD302" s="13">
        <v>30</v>
      </c>
      <c r="AE302" s="2">
        <v>19</v>
      </c>
      <c r="AF302" s="13"/>
      <c r="AG302" s="13"/>
      <c r="AH302" s="13"/>
    </row>
    <row r="303" spans="1:34">
      <c r="A303" s="10" t="s">
        <v>414</v>
      </c>
      <c r="B303" s="11">
        <f>AVERAGE(E303:AE303)</f>
        <v>27.74074074074074</v>
      </c>
      <c r="C303" s="2">
        <f>MIN(E303:AE303)</f>
        <v>19</v>
      </c>
      <c r="D303" s="12">
        <f>MAX(E303:AE303)</f>
        <v>40</v>
      </c>
      <c r="E303" s="13">
        <v>20</v>
      </c>
      <c r="F303" s="13">
        <v>27</v>
      </c>
      <c r="G303" s="13">
        <v>22</v>
      </c>
      <c r="H303" s="13">
        <v>30</v>
      </c>
      <c r="I303" s="13">
        <v>29</v>
      </c>
      <c r="J303" s="13">
        <v>33</v>
      </c>
      <c r="K303" s="13">
        <v>27</v>
      </c>
      <c r="L303" s="13">
        <v>30</v>
      </c>
      <c r="M303" s="13">
        <v>32</v>
      </c>
      <c r="N303" s="13">
        <v>26</v>
      </c>
      <c r="O303" s="13">
        <v>29</v>
      </c>
      <c r="P303" s="13">
        <v>20</v>
      </c>
      <c r="Q303" s="13">
        <v>32</v>
      </c>
      <c r="R303" s="13">
        <v>33</v>
      </c>
      <c r="S303" s="13">
        <v>20</v>
      </c>
      <c r="T303" s="13">
        <v>40</v>
      </c>
      <c r="U303" s="13">
        <v>28</v>
      </c>
      <c r="V303" s="13">
        <v>33</v>
      </c>
      <c r="W303" s="13">
        <v>32</v>
      </c>
      <c r="X303" s="13">
        <v>29</v>
      </c>
      <c r="Y303" s="13">
        <v>25</v>
      </c>
      <c r="Z303" s="13">
        <v>22</v>
      </c>
      <c r="AA303" s="13">
        <v>28</v>
      </c>
      <c r="AB303" s="13">
        <v>26</v>
      </c>
      <c r="AC303" s="13">
        <v>27</v>
      </c>
      <c r="AD303" s="13">
        <v>30</v>
      </c>
      <c r="AE303" s="2">
        <v>19</v>
      </c>
      <c r="AF303" s="13"/>
      <c r="AG303" s="13"/>
      <c r="AH303" s="13"/>
    </row>
    <row r="304" spans="1:34">
      <c r="A304" s="10" t="s">
        <v>415</v>
      </c>
      <c r="B304" s="11">
        <f>AVERAGE(E304:AE304)</f>
        <v>27.74074074074074</v>
      </c>
      <c r="C304" s="2">
        <f>MIN(E304:AE304)</f>
        <v>19</v>
      </c>
      <c r="D304" s="12">
        <f>MAX(E304:AE304)</f>
        <v>40</v>
      </c>
      <c r="E304" s="13">
        <v>20</v>
      </c>
      <c r="F304" s="13">
        <v>27</v>
      </c>
      <c r="G304" s="13">
        <v>22</v>
      </c>
      <c r="H304" s="13">
        <v>30</v>
      </c>
      <c r="I304" s="13">
        <v>29</v>
      </c>
      <c r="J304" s="13">
        <v>33</v>
      </c>
      <c r="K304" s="13">
        <v>27</v>
      </c>
      <c r="L304" s="13">
        <v>30</v>
      </c>
      <c r="M304" s="13">
        <v>32</v>
      </c>
      <c r="N304" s="13">
        <v>26</v>
      </c>
      <c r="O304" s="13">
        <v>29</v>
      </c>
      <c r="P304" s="13">
        <v>20</v>
      </c>
      <c r="Q304" s="13">
        <v>32</v>
      </c>
      <c r="R304" s="13">
        <v>33</v>
      </c>
      <c r="S304" s="13">
        <v>20</v>
      </c>
      <c r="T304" s="13">
        <v>40</v>
      </c>
      <c r="U304" s="13">
        <v>28</v>
      </c>
      <c r="V304" s="13">
        <v>33</v>
      </c>
      <c r="W304" s="13">
        <v>32</v>
      </c>
      <c r="X304" s="13">
        <v>29</v>
      </c>
      <c r="Y304" s="13">
        <v>25</v>
      </c>
      <c r="Z304" s="13">
        <v>22</v>
      </c>
      <c r="AA304" s="13">
        <v>28</v>
      </c>
      <c r="AB304" s="13">
        <v>26</v>
      </c>
      <c r="AC304" s="13">
        <v>27</v>
      </c>
      <c r="AD304" s="13">
        <v>30</v>
      </c>
      <c r="AE304" s="2">
        <v>19</v>
      </c>
      <c r="AF304" s="13"/>
      <c r="AG304" s="13"/>
      <c r="AH304" s="13"/>
    </row>
    <row r="305" spans="1:34">
      <c r="A305" s="10" t="s">
        <v>416</v>
      </c>
      <c r="B305" s="11">
        <f>AVERAGE(E305:AE305)</f>
        <v>27.74074074074074</v>
      </c>
      <c r="C305" s="2">
        <f>MIN(E305:AE305)</f>
        <v>19</v>
      </c>
      <c r="D305" s="12">
        <f>MAX(E305:AE305)</f>
        <v>40</v>
      </c>
      <c r="E305" s="13">
        <v>20</v>
      </c>
      <c r="F305" s="13">
        <v>27</v>
      </c>
      <c r="G305" s="13">
        <v>22</v>
      </c>
      <c r="H305" s="13">
        <v>30</v>
      </c>
      <c r="I305" s="13">
        <v>29</v>
      </c>
      <c r="J305" s="13">
        <v>33</v>
      </c>
      <c r="K305" s="13">
        <v>27</v>
      </c>
      <c r="L305" s="13">
        <v>30</v>
      </c>
      <c r="M305" s="13">
        <v>32</v>
      </c>
      <c r="N305" s="13">
        <v>26</v>
      </c>
      <c r="O305" s="13">
        <v>29</v>
      </c>
      <c r="P305" s="13">
        <v>20</v>
      </c>
      <c r="Q305" s="13">
        <v>32</v>
      </c>
      <c r="R305" s="13">
        <v>33</v>
      </c>
      <c r="S305" s="13">
        <v>20</v>
      </c>
      <c r="T305" s="13">
        <v>40</v>
      </c>
      <c r="U305" s="13">
        <v>28</v>
      </c>
      <c r="V305" s="13">
        <v>33</v>
      </c>
      <c r="W305" s="13">
        <v>32</v>
      </c>
      <c r="X305" s="13">
        <v>29</v>
      </c>
      <c r="Y305" s="13">
        <v>25</v>
      </c>
      <c r="Z305" s="13">
        <v>22</v>
      </c>
      <c r="AA305" s="13">
        <v>28</v>
      </c>
      <c r="AB305" s="13">
        <v>26</v>
      </c>
      <c r="AC305" s="13">
        <v>27</v>
      </c>
      <c r="AD305" s="13">
        <v>30</v>
      </c>
      <c r="AE305" s="2">
        <v>19</v>
      </c>
      <c r="AF305" s="13"/>
      <c r="AG305" s="13"/>
      <c r="AH305" s="13"/>
    </row>
    <row r="306" spans="1:34">
      <c r="A306" s="10" t="s">
        <v>417</v>
      </c>
      <c r="B306" s="11">
        <f>AVERAGE(E306:AE306)</f>
        <v>27.74074074074074</v>
      </c>
      <c r="C306" s="2">
        <f>MIN(E306:AE306)</f>
        <v>19</v>
      </c>
      <c r="D306" s="12">
        <f>MAX(E306:AE306)</f>
        <v>40</v>
      </c>
      <c r="E306" s="13">
        <v>20</v>
      </c>
      <c r="F306" s="13">
        <v>27</v>
      </c>
      <c r="G306" s="13">
        <v>22</v>
      </c>
      <c r="H306" s="13">
        <v>30</v>
      </c>
      <c r="I306" s="13">
        <v>29</v>
      </c>
      <c r="J306" s="13">
        <v>33</v>
      </c>
      <c r="K306" s="13">
        <v>27</v>
      </c>
      <c r="L306" s="13">
        <v>30</v>
      </c>
      <c r="M306" s="13">
        <v>32</v>
      </c>
      <c r="N306" s="13">
        <v>26</v>
      </c>
      <c r="O306" s="13">
        <v>29</v>
      </c>
      <c r="P306" s="13">
        <v>20</v>
      </c>
      <c r="Q306" s="13">
        <v>32</v>
      </c>
      <c r="R306" s="13">
        <v>33</v>
      </c>
      <c r="S306" s="13">
        <v>20</v>
      </c>
      <c r="T306" s="13">
        <v>40</v>
      </c>
      <c r="U306" s="13">
        <v>28</v>
      </c>
      <c r="V306" s="13">
        <v>33</v>
      </c>
      <c r="W306" s="13">
        <v>32</v>
      </c>
      <c r="X306" s="13">
        <v>29</v>
      </c>
      <c r="Y306" s="13">
        <v>25</v>
      </c>
      <c r="Z306" s="13">
        <v>22</v>
      </c>
      <c r="AA306" s="13">
        <v>28</v>
      </c>
      <c r="AB306" s="13">
        <v>26</v>
      </c>
      <c r="AC306" s="13">
        <v>27</v>
      </c>
      <c r="AD306" s="13">
        <v>30</v>
      </c>
      <c r="AE306" s="2">
        <v>19</v>
      </c>
      <c r="AF306" s="13"/>
      <c r="AG306" s="13"/>
      <c r="AH306" s="13"/>
    </row>
    <row r="307" spans="1:34">
      <c r="A307" s="10" t="s">
        <v>418</v>
      </c>
      <c r="B307" s="11">
        <f>AVERAGE(E307:AE307)</f>
        <v>27.814814814814813</v>
      </c>
      <c r="C307" s="2">
        <f>MIN(E307:AE307)</f>
        <v>19</v>
      </c>
      <c r="D307" s="12">
        <f>MAX(E307:AE307)</f>
        <v>40</v>
      </c>
      <c r="E307" s="13">
        <v>20</v>
      </c>
      <c r="F307" s="13">
        <v>27</v>
      </c>
      <c r="G307" s="13">
        <v>22</v>
      </c>
      <c r="H307" s="13">
        <v>30</v>
      </c>
      <c r="I307" s="13">
        <v>29</v>
      </c>
      <c r="J307" s="13">
        <v>33</v>
      </c>
      <c r="K307" s="13">
        <v>27</v>
      </c>
      <c r="L307" s="21">
        <v>31</v>
      </c>
      <c r="M307" s="13">
        <v>32</v>
      </c>
      <c r="N307" s="13">
        <v>26</v>
      </c>
      <c r="O307" s="13">
        <v>29</v>
      </c>
      <c r="P307" s="13">
        <v>20</v>
      </c>
      <c r="Q307" s="13">
        <v>32</v>
      </c>
      <c r="R307" s="13">
        <v>33</v>
      </c>
      <c r="S307" s="13">
        <v>20</v>
      </c>
      <c r="T307" s="13">
        <v>40</v>
      </c>
      <c r="U307" s="13">
        <v>28</v>
      </c>
      <c r="V307" s="13">
        <v>33</v>
      </c>
      <c r="W307" s="13">
        <v>33</v>
      </c>
      <c r="X307" s="13">
        <v>29</v>
      </c>
      <c r="Y307" s="13">
        <v>25</v>
      </c>
      <c r="Z307" s="13">
        <v>22</v>
      </c>
      <c r="AA307" s="13">
        <v>28</v>
      </c>
      <c r="AB307" s="13">
        <v>26</v>
      </c>
      <c r="AC307" s="13">
        <v>27</v>
      </c>
      <c r="AD307" s="13">
        <v>30</v>
      </c>
      <c r="AE307" s="2">
        <v>19</v>
      </c>
      <c r="AF307" s="13"/>
      <c r="AG307" s="13"/>
      <c r="AH307" s="13"/>
    </row>
    <row r="308" spans="1:34">
      <c r="A308" s="10" t="s">
        <v>419</v>
      </c>
      <c r="B308" s="11">
        <f>AVERAGE(E308:AE308)</f>
        <v>27.851851851851851</v>
      </c>
      <c r="C308" s="2">
        <f>MIN(E308:AE308)</f>
        <v>19</v>
      </c>
      <c r="D308" s="12">
        <f>MAX(E308:AE308)</f>
        <v>40</v>
      </c>
      <c r="E308" s="13">
        <v>20</v>
      </c>
      <c r="F308" s="13">
        <v>27</v>
      </c>
      <c r="G308" s="13">
        <v>22</v>
      </c>
      <c r="H308" s="13">
        <v>30</v>
      </c>
      <c r="I308" s="13">
        <v>29</v>
      </c>
      <c r="J308" s="13">
        <v>34</v>
      </c>
      <c r="K308" s="13">
        <v>27</v>
      </c>
      <c r="L308" s="13">
        <v>31</v>
      </c>
      <c r="M308" s="13">
        <v>32</v>
      </c>
      <c r="N308" s="13">
        <v>26</v>
      </c>
      <c r="O308" s="13">
        <v>29</v>
      </c>
      <c r="P308" s="13">
        <v>20</v>
      </c>
      <c r="Q308" s="13">
        <v>32</v>
      </c>
      <c r="R308" s="13">
        <v>33</v>
      </c>
      <c r="S308" s="13">
        <v>20</v>
      </c>
      <c r="T308" s="13">
        <v>40</v>
      </c>
      <c r="U308" s="13">
        <v>28</v>
      </c>
      <c r="V308" s="13">
        <v>33</v>
      </c>
      <c r="W308" s="13">
        <v>33</v>
      </c>
      <c r="X308" s="13">
        <v>29</v>
      </c>
      <c r="Y308" s="13">
        <v>25</v>
      </c>
      <c r="Z308" s="13">
        <v>22</v>
      </c>
      <c r="AA308" s="13">
        <v>28</v>
      </c>
      <c r="AB308" s="13">
        <v>26</v>
      </c>
      <c r="AC308" s="13">
        <v>27</v>
      </c>
      <c r="AD308" s="13">
        <v>30</v>
      </c>
      <c r="AE308" s="2">
        <v>19</v>
      </c>
      <c r="AF308" s="13"/>
      <c r="AG308" s="13"/>
      <c r="AH308" s="13"/>
    </row>
    <row r="309" spans="1:34">
      <c r="A309" s="10" t="s">
        <v>420</v>
      </c>
      <c r="B309" s="11">
        <f>AVERAGE(E309:AE309)</f>
        <v>27.851851851851851</v>
      </c>
      <c r="C309" s="2">
        <f>MIN(E309:AE309)</f>
        <v>19</v>
      </c>
      <c r="D309" s="12">
        <f>MAX(E309:AE309)</f>
        <v>40</v>
      </c>
      <c r="E309" s="13">
        <v>20</v>
      </c>
      <c r="F309" s="13">
        <v>27</v>
      </c>
      <c r="G309" s="13">
        <v>22</v>
      </c>
      <c r="H309" s="13">
        <v>30</v>
      </c>
      <c r="I309" s="13">
        <v>29</v>
      </c>
      <c r="J309" s="13">
        <v>34</v>
      </c>
      <c r="K309" s="13">
        <v>27</v>
      </c>
      <c r="L309" s="13">
        <v>31</v>
      </c>
      <c r="M309" s="13">
        <v>32</v>
      </c>
      <c r="N309" s="13">
        <v>26</v>
      </c>
      <c r="O309" s="13">
        <v>29</v>
      </c>
      <c r="P309" s="13">
        <v>20</v>
      </c>
      <c r="Q309" s="13">
        <v>32</v>
      </c>
      <c r="R309" s="13">
        <v>33</v>
      </c>
      <c r="S309" s="13">
        <v>20</v>
      </c>
      <c r="T309" s="13">
        <v>40</v>
      </c>
      <c r="U309" s="13">
        <v>28</v>
      </c>
      <c r="V309" s="13">
        <v>33</v>
      </c>
      <c r="W309" s="13">
        <v>33</v>
      </c>
      <c r="X309" s="13">
        <v>29</v>
      </c>
      <c r="Y309" s="13">
        <v>25</v>
      </c>
      <c r="Z309" s="13">
        <v>22</v>
      </c>
      <c r="AA309" s="13">
        <v>28</v>
      </c>
      <c r="AB309" s="13">
        <v>26</v>
      </c>
      <c r="AC309" s="13">
        <v>27</v>
      </c>
      <c r="AD309" s="13">
        <v>30</v>
      </c>
      <c r="AE309" s="2">
        <v>19</v>
      </c>
      <c r="AF309" s="13"/>
      <c r="AG309" s="13"/>
      <c r="AH309" s="13"/>
    </row>
    <row r="310" spans="1:34">
      <c r="A310" s="10" t="s">
        <v>421</v>
      </c>
      <c r="B310" s="11">
        <f>AVERAGE(E310:AE310)</f>
        <v>27.851851851851851</v>
      </c>
      <c r="C310" s="2">
        <f>MIN(E310:AE310)</f>
        <v>19</v>
      </c>
      <c r="D310" s="12">
        <f>MAX(E310:AE310)</f>
        <v>40</v>
      </c>
      <c r="E310" s="13">
        <v>20</v>
      </c>
      <c r="F310" s="13">
        <v>27</v>
      </c>
      <c r="G310" s="13">
        <v>22</v>
      </c>
      <c r="H310" s="13">
        <v>30</v>
      </c>
      <c r="I310" s="13">
        <v>29</v>
      </c>
      <c r="J310" s="13">
        <v>34</v>
      </c>
      <c r="K310" s="13">
        <v>27</v>
      </c>
      <c r="L310" s="13">
        <v>31</v>
      </c>
      <c r="M310" s="13">
        <v>32</v>
      </c>
      <c r="N310" s="13">
        <v>26</v>
      </c>
      <c r="O310" s="13">
        <v>29</v>
      </c>
      <c r="P310" s="13">
        <v>20</v>
      </c>
      <c r="Q310" s="13">
        <v>32</v>
      </c>
      <c r="R310" s="13">
        <v>33</v>
      </c>
      <c r="S310" s="13">
        <v>20</v>
      </c>
      <c r="T310" s="13">
        <v>40</v>
      </c>
      <c r="U310" s="13">
        <v>28</v>
      </c>
      <c r="V310" s="13">
        <v>33</v>
      </c>
      <c r="W310" s="13">
        <v>33</v>
      </c>
      <c r="X310" s="13">
        <v>29</v>
      </c>
      <c r="Y310" s="13">
        <v>25</v>
      </c>
      <c r="Z310" s="13">
        <v>22</v>
      </c>
      <c r="AA310" s="13">
        <v>28</v>
      </c>
      <c r="AB310" s="13">
        <v>26</v>
      </c>
      <c r="AC310" s="13">
        <v>27</v>
      </c>
      <c r="AD310" s="13">
        <v>30</v>
      </c>
      <c r="AE310" s="2">
        <v>19</v>
      </c>
      <c r="AF310" s="13"/>
      <c r="AG310" s="13"/>
      <c r="AH310" s="13"/>
    </row>
    <row r="311" spans="1:34">
      <c r="A311" s="10" t="s">
        <v>422</v>
      </c>
      <c r="B311" s="11">
        <f>AVERAGE(E311:AE311)</f>
        <v>27.851851851851851</v>
      </c>
      <c r="C311" s="2">
        <f>MIN(E311:AE311)</f>
        <v>19</v>
      </c>
      <c r="D311" s="12">
        <f>MAX(E311:AE311)</f>
        <v>40</v>
      </c>
      <c r="E311" s="13">
        <v>20</v>
      </c>
      <c r="F311" s="13">
        <v>27</v>
      </c>
      <c r="G311" s="13">
        <v>22</v>
      </c>
      <c r="H311" s="13">
        <v>30</v>
      </c>
      <c r="I311" s="13">
        <v>29</v>
      </c>
      <c r="J311" s="13">
        <v>34</v>
      </c>
      <c r="K311" s="13">
        <v>27</v>
      </c>
      <c r="L311" s="13">
        <v>31</v>
      </c>
      <c r="M311" s="13">
        <v>32</v>
      </c>
      <c r="N311" s="13">
        <v>26</v>
      </c>
      <c r="O311" s="13">
        <v>29</v>
      </c>
      <c r="P311" s="13">
        <v>20</v>
      </c>
      <c r="Q311" s="13">
        <v>32</v>
      </c>
      <c r="R311" s="13">
        <v>33</v>
      </c>
      <c r="S311" s="13">
        <v>20</v>
      </c>
      <c r="T311" s="13">
        <v>40</v>
      </c>
      <c r="U311" s="13">
        <v>28</v>
      </c>
      <c r="V311" s="13">
        <v>33</v>
      </c>
      <c r="W311" s="13">
        <v>33</v>
      </c>
      <c r="X311" s="13">
        <v>29</v>
      </c>
      <c r="Y311" s="13">
        <v>25</v>
      </c>
      <c r="Z311" s="13">
        <v>22</v>
      </c>
      <c r="AA311" s="13">
        <v>28</v>
      </c>
      <c r="AB311" s="13">
        <v>26</v>
      </c>
      <c r="AC311" s="13">
        <v>27</v>
      </c>
      <c r="AD311" s="13">
        <v>30</v>
      </c>
      <c r="AE311" s="2">
        <v>19</v>
      </c>
      <c r="AF311" s="13"/>
      <c r="AG311" s="13"/>
      <c r="AH311" s="13"/>
    </row>
    <row r="312" spans="1:34">
      <c r="A312" s="10" t="s">
        <v>423</v>
      </c>
      <c r="B312" s="11">
        <f>AVERAGE(E312:AE312)</f>
        <v>27.851851851851851</v>
      </c>
      <c r="C312" s="2">
        <f>MIN(E312:AE312)</f>
        <v>19</v>
      </c>
      <c r="D312" s="12">
        <f>MAX(E312:AE312)</f>
        <v>40</v>
      </c>
      <c r="E312" s="13">
        <v>20</v>
      </c>
      <c r="F312" s="13">
        <v>27</v>
      </c>
      <c r="G312" s="13">
        <v>22</v>
      </c>
      <c r="H312" s="13">
        <v>30</v>
      </c>
      <c r="I312" s="13">
        <v>29</v>
      </c>
      <c r="J312" s="13">
        <v>34</v>
      </c>
      <c r="K312" s="13">
        <v>27</v>
      </c>
      <c r="L312" s="13">
        <v>31</v>
      </c>
      <c r="M312" s="13">
        <v>32</v>
      </c>
      <c r="N312" s="13">
        <v>26</v>
      </c>
      <c r="O312" s="13">
        <v>29</v>
      </c>
      <c r="P312" s="13">
        <v>20</v>
      </c>
      <c r="Q312" s="13">
        <v>32</v>
      </c>
      <c r="R312" s="13">
        <v>33</v>
      </c>
      <c r="S312" s="13">
        <v>20</v>
      </c>
      <c r="T312" s="13">
        <v>40</v>
      </c>
      <c r="U312" s="13">
        <v>28</v>
      </c>
      <c r="V312" s="13">
        <v>33</v>
      </c>
      <c r="W312" s="13">
        <v>33</v>
      </c>
      <c r="X312" s="13">
        <v>29</v>
      </c>
      <c r="Y312" s="13">
        <v>25</v>
      </c>
      <c r="Z312" s="13">
        <v>22</v>
      </c>
      <c r="AA312" s="13">
        <v>28</v>
      </c>
      <c r="AB312" s="13">
        <v>26</v>
      </c>
      <c r="AC312" s="13">
        <v>27</v>
      </c>
      <c r="AD312" s="13">
        <v>30</v>
      </c>
      <c r="AE312" s="2">
        <v>19</v>
      </c>
      <c r="AF312" s="13"/>
      <c r="AG312" s="13"/>
      <c r="AH312" s="13"/>
    </row>
    <row r="313" spans="1:34">
      <c r="A313" s="10" t="s">
        <v>424</v>
      </c>
      <c r="B313" s="11">
        <f>AVERAGE(E313:AE313)</f>
        <v>27.851851851851851</v>
      </c>
      <c r="C313" s="2">
        <f>MIN(E313:AE313)</f>
        <v>19</v>
      </c>
      <c r="D313" s="12">
        <f>MAX(E313:AE313)</f>
        <v>40</v>
      </c>
      <c r="E313" s="13">
        <v>20</v>
      </c>
      <c r="F313" s="13">
        <v>27</v>
      </c>
      <c r="G313" s="13">
        <v>22</v>
      </c>
      <c r="H313" s="13">
        <v>30</v>
      </c>
      <c r="I313" s="13">
        <v>29</v>
      </c>
      <c r="J313" s="13">
        <v>34</v>
      </c>
      <c r="K313" s="13">
        <v>27</v>
      </c>
      <c r="L313" s="13">
        <v>31</v>
      </c>
      <c r="M313" s="13">
        <v>32</v>
      </c>
      <c r="N313" s="13">
        <v>26</v>
      </c>
      <c r="O313" s="13">
        <v>29</v>
      </c>
      <c r="P313" s="13">
        <v>20</v>
      </c>
      <c r="Q313" s="13">
        <v>32</v>
      </c>
      <c r="R313" s="13">
        <v>33</v>
      </c>
      <c r="S313" s="13">
        <v>20</v>
      </c>
      <c r="T313" s="13">
        <v>40</v>
      </c>
      <c r="U313" s="13">
        <v>28</v>
      </c>
      <c r="V313" s="13">
        <v>33</v>
      </c>
      <c r="W313" s="13">
        <v>33</v>
      </c>
      <c r="X313" s="13">
        <v>29</v>
      </c>
      <c r="Y313" s="13">
        <v>25</v>
      </c>
      <c r="Z313" s="13">
        <v>22</v>
      </c>
      <c r="AA313" s="13">
        <v>28</v>
      </c>
      <c r="AB313" s="13">
        <v>26</v>
      </c>
      <c r="AC313" s="13">
        <v>27</v>
      </c>
      <c r="AD313" s="13">
        <v>30</v>
      </c>
      <c r="AE313" s="2">
        <v>19</v>
      </c>
      <c r="AF313" s="13"/>
      <c r="AG313" s="13"/>
      <c r="AH313" s="13"/>
    </row>
    <row r="314" spans="1:34">
      <c r="A314" s="10" t="s">
        <v>425</v>
      </c>
      <c r="B314" s="11">
        <f>AVERAGE(E314:AE314)</f>
        <v>27.851851851851851</v>
      </c>
      <c r="C314" s="2">
        <f>MIN(E314:AE314)</f>
        <v>19</v>
      </c>
      <c r="D314" s="12">
        <f>MAX(E314:AE314)</f>
        <v>40</v>
      </c>
      <c r="E314" s="13">
        <v>20</v>
      </c>
      <c r="F314" s="13">
        <v>27</v>
      </c>
      <c r="G314" s="13">
        <v>22</v>
      </c>
      <c r="H314" s="13">
        <v>30</v>
      </c>
      <c r="I314" s="13">
        <v>29</v>
      </c>
      <c r="J314" s="13">
        <v>34</v>
      </c>
      <c r="K314" s="13">
        <v>27</v>
      </c>
      <c r="L314" s="13">
        <v>31</v>
      </c>
      <c r="M314" s="13">
        <v>32</v>
      </c>
      <c r="N314" s="13">
        <v>26</v>
      </c>
      <c r="O314" s="13">
        <v>29</v>
      </c>
      <c r="P314" s="13">
        <v>20</v>
      </c>
      <c r="Q314" s="13">
        <v>32</v>
      </c>
      <c r="R314" s="13">
        <v>33</v>
      </c>
      <c r="S314" s="13">
        <v>20</v>
      </c>
      <c r="T314" s="13">
        <v>40</v>
      </c>
      <c r="U314" s="13">
        <v>28</v>
      </c>
      <c r="V314" s="13">
        <v>33</v>
      </c>
      <c r="W314" s="13">
        <v>33</v>
      </c>
      <c r="X314" s="13">
        <v>29</v>
      </c>
      <c r="Y314" s="13">
        <v>25</v>
      </c>
      <c r="Z314" s="13">
        <v>22</v>
      </c>
      <c r="AA314" s="13">
        <v>28</v>
      </c>
      <c r="AB314" s="13">
        <v>26</v>
      </c>
      <c r="AC314" s="13">
        <v>27</v>
      </c>
      <c r="AD314" s="13">
        <v>30</v>
      </c>
      <c r="AE314" s="2">
        <v>19</v>
      </c>
      <c r="AF314" s="13"/>
      <c r="AG314" s="13"/>
      <c r="AH314" s="13"/>
    </row>
    <row r="315" spans="1:34">
      <c r="A315" s="10" t="s">
        <v>426</v>
      </c>
      <c r="B315" s="11">
        <f>AVERAGE(E315:AE315)</f>
        <v>27.851851851851851</v>
      </c>
      <c r="C315" s="2">
        <f>MIN(E315:AE315)</f>
        <v>19</v>
      </c>
      <c r="D315" s="12">
        <f>MAX(E315:AE315)</f>
        <v>40</v>
      </c>
      <c r="E315" s="13">
        <v>20</v>
      </c>
      <c r="F315" s="13">
        <v>27</v>
      </c>
      <c r="G315" s="13">
        <v>22</v>
      </c>
      <c r="H315" s="13">
        <v>30</v>
      </c>
      <c r="I315" s="13">
        <v>29</v>
      </c>
      <c r="J315" s="13">
        <v>34</v>
      </c>
      <c r="K315" s="13">
        <v>27</v>
      </c>
      <c r="L315" s="13">
        <v>31</v>
      </c>
      <c r="M315" s="13">
        <v>32</v>
      </c>
      <c r="N315" s="13">
        <v>26</v>
      </c>
      <c r="O315" s="13">
        <v>29</v>
      </c>
      <c r="P315" s="13">
        <v>20</v>
      </c>
      <c r="Q315" s="13">
        <v>32</v>
      </c>
      <c r="R315" s="13">
        <v>33</v>
      </c>
      <c r="S315" s="13">
        <v>20</v>
      </c>
      <c r="T315" s="13">
        <v>40</v>
      </c>
      <c r="U315" s="13">
        <v>28</v>
      </c>
      <c r="V315" s="13">
        <v>33</v>
      </c>
      <c r="W315" s="13">
        <v>33</v>
      </c>
      <c r="X315" s="13">
        <v>29</v>
      </c>
      <c r="Y315" s="13">
        <v>25</v>
      </c>
      <c r="Z315" s="13">
        <v>22</v>
      </c>
      <c r="AA315" s="13">
        <v>28</v>
      </c>
      <c r="AB315" s="13">
        <v>26</v>
      </c>
      <c r="AC315" s="13">
        <v>27</v>
      </c>
      <c r="AD315" s="13">
        <v>30</v>
      </c>
      <c r="AE315" s="2">
        <v>19</v>
      </c>
      <c r="AF315" s="13"/>
      <c r="AG315" s="13"/>
      <c r="AH315" s="13"/>
    </row>
    <row r="316" spans="1:34">
      <c r="A316" s="10" t="s">
        <v>427</v>
      </c>
      <c r="B316" s="11">
        <f>AVERAGE(E316:AE316)</f>
        <v>27.851851851851851</v>
      </c>
      <c r="C316" s="2">
        <f>MIN(E316:AE316)</f>
        <v>19</v>
      </c>
      <c r="D316" s="12">
        <f>MAX(E316:AE316)</f>
        <v>40</v>
      </c>
      <c r="E316" s="13">
        <v>20</v>
      </c>
      <c r="F316" s="13">
        <v>27</v>
      </c>
      <c r="G316" s="13">
        <v>22</v>
      </c>
      <c r="H316" s="13">
        <v>30</v>
      </c>
      <c r="I316" s="13">
        <v>29</v>
      </c>
      <c r="J316" s="13">
        <v>34</v>
      </c>
      <c r="K316" s="13">
        <v>27</v>
      </c>
      <c r="L316" s="13">
        <v>31</v>
      </c>
      <c r="M316" s="13">
        <v>32</v>
      </c>
      <c r="N316" s="13">
        <v>26</v>
      </c>
      <c r="O316" s="13">
        <v>29</v>
      </c>
      <c r="P316" s="13">
        <v>20</v>
      </c>
      <c r="Q316" s="13">
        <v>32</v>
      </c>
      <c r="R316" s="13">
        <v>33</v>
      </c>
      <c r="S316" s="13">
        <v>20</v>
      </c>
      <c r="T316" s="13">
        <v>40</v>
      </c>
      <c r="U316" s="13">
        <v>28</v>
      </c>
      <c r="V316" s="13">
        <v>33</v>
      </c>
      <c r="W316" s="13">
        <v>33</v>
      </c>
      <c r="X316" s="13">
        <v>29</v>
      </c>
      <c r="Y316" s="13">
        <v>25</v>
      </c>
      <c r="Z316" s="13">
        <v>22</v>
      </c>
      <c r="AA316" s="13">
        <v>28</v>
      </c>
      <c r="AB316" s="13">
        <v>26</v>
      </c>
      <c r="AC316" s="13">
        <v>27</v>
      </c>
      <c r="AD316" s="13">
        <v>30</v>
      </c>
      <c r="AE316" s="2">
        <v>19</v>
      </c>
      <c r="AF316" s="13"/>
      <c r="AG316" s="13"/>
      <c r="AH316" s="13"/>
    </row>
    <row r="317" spans="1:34">
      <c r="A317" s="10" t="s">
        <v>428</v>
      </c>
      <c r="B317" s="11">
        <f>AVERAGE(E317:AE317)</f>
        <v>27.888888888888889</v>
      </c>
      <c r="C317" s="2">
        <f>MIN(E317:AE317)</f>
        <v>19</v>
      </c>
      <c r="D317" s="12">
        <f>MAX(E317:AE317)</f>
        <v>40</v>
      </c>
      <c r="E317" s="13">
        <v>20</v>
      </c>
      <c r="F317" s="13">
        <v>28</v>
      </c>
      <c r="G317" s="13">
        <v>22</v>
      </c>
      <c r="H317" s="13">
        <v>30</v>
      </c>
      <c r="I317" s="13">
        <v>29</v>
      </c>
      <c r="J317" s="13">
        <v>34</v>
      </c>
      <c r="K317" s="13">
        <v>27</v>
      </c>
      <c r="L317" s="13">
        <v>31</v>
      </c>
      <c r="M317" s="13">
        <v>32</v>
      </c>
      <c r="N317" s="13">
        <v>26</v>
      </c>
      <c r="O317" s="13">
        <v>29</v>
      </c>
      <c r="P317" s="13">
        <v>20</v>
      </c>
      <c r="Q317" s="13">
        <v>32</v>
      </c>
      <c r="R317" s="13">
        <v>33</v>
      </c>
      <c r="S317" s="13">
        <v>20</v>
      </c>
      <c r="T317" s="13">
        <v>40</v>
      </c>
      <c r="U317" s="13">
        <v>28</v>
      </c>
      <c r="V317" s="13">
        <v>33</v>
      </c>
      <c r="W317" s="13">
        <v>33</v>
      </c>
      <c r="X317" s="13">
        <v>29</v>
      </c>
      <c r="Y317" s="13">
        <v>25</v>
      </c>
      <c r="Z317" s="13">
        <v>22</v>
      </c>
      <c r="AA317" s="13">
        <v>28</v>
      </c>
      <c r="AB317" s="13">
        <v>26</v>
      </c>
      <c r="AC317" s="13">
        <v>27</v>
      </c>
      <c r="AD317" s="13">
        <v>30</v>
      </c>
      <c r="AE317" s="2">
        <v>19</v>
      </c>
      <c r="AF317" s="13"/>
      <c r="AG317" s="13"/>
      <c r="AH317" s="13"/>
    </row>
    <row r="318" spans="1:34">
      <c r="A318" s="10" t="s">
        <v>429</v>
      </c>
      <c r="B318" s="11">
        <f>AVERAGE(E318:AE318)</f>
        <v>27.888888888888889</v>
      </c>
      <c r="C318" s="2">
        <f>MIN(E318:AE318)</f>
        <v>19</v>
      </c>
      <c r="D318" s="12">
        <f>MAX(E318:AE318)</f>
        <v>40</v>
      </c>
      <c r="E318" s="13">
        <v>20</v>
      </c>
      <c r="F318" s="13">
        <v>28</v>
      </c>
      <c r="G318" s="13">
        <v>22</v>
      </c>
      <c r="H318" s="13">
        <v>30</v>
      </c>
      <c r="I318" s="13">
        <v>29</v>
      </c>
      <c r="J318" s="13">
        <v>34</v>
      </c>
      <c r="K318" s="13">
        <v>27</v>
      </c>
      <c r="L318" s="13">
        <v>31</v>
      </c>
      <c r="M318" s="13">
        <v>32</v>
      </c>
      <c r="N318" s="13">
        <v>26</v>
      </c>
      <c r="O318" s="13">
        <v>29</v>
      </c>
      <c r="P318" s="13">
        <v>20</v>
      </c>
      <c r="Q318" s="13">
        <v>32</v>
      </c>
      <c r="R318" s="13">
        <v>33</v>
      </c>
      <c r="S318" s="13">
        <v>20</v>
      </c>
      <c r="T318" s="13">
        <v>40</v>
      </c>
      <c r="U318" s="13">
        <v>28</v>
      </c>
      <c r="V318" s="13">
        <v>33</v>
      </c>
      <c r="W318" s="13">
        <v>33</v>
      </c>
      <c r="X318" s="13">
        <v>29</v>
      </c>
      <c r="Y318" s="13">
        <v>25</v>
      </c>
      <c r="Z318" s="13">
        <v>22</v>
      </c>
      <c r="AA318" s="13">
        <v>28</v>
      </c>
      <c r="AB318" s="13">
        <v>26</v>
      </c>
      <c r="AC318" s="13">
        <v>27</v>
      </c>
      <c r="AD318" s="13">
        <v>30</v>
      </c>
      <c r="AE318" s="2">
        <v>19</v>
      </c>
      <c r="AF318" s="13"/>
      <c r="AG318" s="13"/>
      <c r="AH318" s="13"/>
    </row>
    <row r="319" spans="1:34">
      <c r="A319" s="10" t="s">
        <v>430</v>
      </c>
      <c r="B319" s="11">
        <f>AVERAGE(E319:AE319)</f>
        <v>27.888888888888889</v>
      </c>
      <c r="C319" s="2">
        <f>MIN(E319:AE319)</f>
        <v>19</v>
      </c>
      <c r="D319" s="12">
        <f>MAX(E319:AE319)</f>
        <v>40</v>
      </c>
      <c r="E319" s="13">
        <v>20</v>
      </c>
      <c r="F319" s="13">
        <v>28</v>
      </c>
      <c r="G319" s="13">
        <v>22</v>
      </c>
      <c r="H319" s="13">
        <v>30</v>
      </c>
      <c r="I319" s="13">
        <v>29</v>
      </c>
      <c r="J319" s="13">
        <v>34</v>
      </c>
      <c r="K319" s="13">
        <v>27</v>
      </c>
      <c r="L319" s="13">
        <v>31</v>
      </c>
      <c r="M319" s="13">
        <v>32</v>
      </c>
      <c r="N319" s="13">
        <v>26</v>
      </c>
      <c r="O319" s="13">
        <v>29</v>
      </c>
      <c r="P319" s="13">
        <v>20</v>
      </c>
      <c r="Q319" s="13">
        <v>32</v>
      </c>
      <c r="R319" s="13">
        <v>33</v>
      </c>
      <c r="S319" s="13">
        <v>20</v>
      </c>
      <c r="T319" s="13">
        <v>40</v>
      </c>
      <c r="U319" s="13">
        <v>28</v>
      </c>
      <c r="V319" s="13">
        <v>33</v>
      </c>
      <c r="W319" s="13">
        <v>33</v>
      </c>
      <c r="X319" s="13">
        <v>29</v>
      </c>
      <c r="Y319" s="13">
        <v>25</v>
      </c>
      <c r="Z319" s="13">
        <v>22</v>
      </c>
      <c r="AA319" s="13">
        <v>28</v>
      </c>
      <c r="AB319" s="13">
        <v>26</v>
      </c>
      <c r="AC319" s="13">
        <v>27</v>
      </c>
      <c r="AD319" s="13">
        <v>30</v>
      </c>
      <c r="AE319" s="2">
        <v>19</v>
      </c>
      <c r="AF319" s="13"/>
      <c r="AG319" s="13"/>
      <c r="AH319" s="13"/>
    </row>
    <row r="320" spans="1:34">
      <c r="A320" s="10" t="s">
        <v>431</v>
      </c>
      <c r="B320" s="11">
        <f>AVERAGE(E320:AE320)</f>
        <v>27.888888888888889</v>
      </c>
      <c r="C320" s="2">
        <f>MIN(E320:AE320)</f>
        <v>19</v>
      </c>
      <c r="D320" s="12">
        <f>MAX(E320:AE320)</f>
        <v>40</v>
      </c>
      <c r="E320" s="13">
        <v>20</v>
      </c>
      <c r="F320" s="13">
        <v>28</v>
      </c>
      <c r="G320" s="13">
        <v>22</v>
      </c>
      <c r="H320" s="13">
        <v>30</v>
      </c>
      <c r="I320" s="13">
        <v>29</v>
      </c>
      <c r="J320" s="13">
        <v>34</v>
      </c>
      <c r="K320" s="13">
        <v>27</v>
      </c>
      <c r="L320" s="13">
        <v>31</v>
      </c>
      <c r="M320" s="13">
        <v>32</v>
      </c>
      <c r="N320" s="13">
        <v>26</v>
      </c>
      <c r="O320" s="13">
        <v>29</v>
      </c>
      <c r="P320" s="13">
        <v>20</v>
      </c>
      <c r="Q320" s="13">
        <v>32</v>
      </c>
      <c r="R320" s="13">
        <v>33</v>
      </c>
      <c r="S320" s="13">
        <v>20</v>
      </c>
      <c r="T320" s="13">
        <v>40</v>
      </c>
      <c r="U320" s="13">
        <v>28</v>
      </c>
      <c r="V320" s="13">
        <v>33</v>
      </c>
      <c r="W320" s="13">
        <v>33</v>
      </c>
      <c r="X320" s="13">
        <v>29</v>
      </c>
      <c r="Y320" s="13">
        <v>25</v>
      </c>
      <c r="Z320" s="13">
        <v>22</v>
      </c>
      <c r="AA320" s="13">
        <v>28</v>
      </c>
      <c r="AB320" s="13">
        <v>26</v>
      </c>
      <c r="AC320" s="13">
        <v>27</v>
      </c>
      <c r="AD320" s="13">
        <v>30</v>
      </c>
      <c r="AE320" s="2">
        <v>19</v>
      </c>
      <c r="AF320" s="13"/>
      <c r="AG320" s="13"/>
      <c r="AH320" s="13"/>
    </row>
    <row r="321" spans="1:34">
      <c r="A321" s="10" t="s">
        <v>432</v>
      </c>
      <c r="B321" s="11">
        <f>AVERAGE(E321:AE321)</f>
        <v>27.888888888888889</v>
      </c>
      <c r="C321" s="2">
        <f>MIN(E321:AE321)</f>
        <v>19</v>
      </c>
      <c r="D321" s="12">
        <f>MAX(E321:AE321)</f>
        <v>40</v>
      </c>
      <c r="E321" s="13">
        <v>20</v>
      </c>
      <c r="F321" s="13">
        <v>28</v>
      </c>
      <c r="G321" s="13">
        <v>22</v>
      </c>
      <c r="H321" s="13">
        <v>30</v>
      </c>
      <c r="I321" s="13">
        <v>29</v>
      </c>
      <c r="J321" s="13">
        <v>34</v>
      </c>
      <c r="K321" s="13">
        <v>27</v>
      </c>
      <c r="L321" s="13">
        <v>31</v>
      </c>
      <c r="M321" s="13">
        <v>32</v>
      </c>
      <c r="N321" s="13">
        <v>26</v>
      </c>
      <c r="O321" s="13">
        <v>29</v>
      </c>
      <c r="P321" s="13">
        <v>20</v>
      </c>
      <c r="Q321" s="13">
        <v>32</v>
      </c>
      <c r="R321" s="13">
        <v>33</v>
      </c>
      <c r="S321" s="13">
        <v>20</v>
      </c>
      <c r="T321" s="13">
        <v>40</v>
      </c>
      <c r="U321" s="13">
        <v>28</v>
      </c>
      <c r="V321" s="13">
        <v>33</v>
      </c>
      <c r="W321" s="13">
        <v>33</v>
      </c>
      <c r="X321" s="13">
        <v>29</v>
      </c>
      <c r="Y321" s="13">
        <v>25</v>
      </c>
      <c r="Z321" s="13">
        <v>22</v>
      </c>
      <c r="AA321" s="13">
        <v>28</v>
      </c>
      <c r="AB321" s="13">
        <v>26</v>
      </c>
      <c r="AC321" s="13">
        <v>27</v>
      </c>
      <c r="AD321" s="13">
        <v>30</v>
      </c>
      <c r="AE321" s="2">
        <v>19</v>
      </c>
      <c r="AF321" s="13"/>
      <c r="AG321" s="13"/>
      <c r="AH321" s="13"/>
    </row>
    <row r="322" spans="1:34">
      <c r="A322" s="10" t="s">
        <v>433</v>
      </c>
      <c r="B322" s="11">
        <f>AVERAGE(E322:AE322)</f>
        <v>27.888888888888889</v>
      </c>
      <c r="C322" s="2">
        <f>MIN(E322:AE322)</f>
        <v>19</v>
      </c>
      <c r="D322" s="12">
        <f>MAX(E322:AE322)</f>
        <v>40</v>
      </c>
      <c r="E322" s="13">
        <v>20</v>
      </c>
      <c r="F322" s="13">
        <v>28</v>
      </c>
      <c r="G322" s="13">
        <v>22</v>
      </c>
      <c r="H322" s="13">
        <v>30</v>
      </c>
      <c r="I322" s="13">
        <v>29</v>
      </c>
      <c r="J322" s="13">
        <v>34</v>
      </c>
      <c r="K322" s="13">
        <v>27</v>
      </c>
      <c r="L322" s="13">
        <v>31</v>
      </c>
      <c r="M322" s="13">
        <v>32</v>
      </c>
      <c r="N322" s="13">
        <v>26</v>
      </c>
      <c r="O322" s="13">
        <v>29</v>
      </c>
      <c r="P322" s="13">
        <v>20</v>
      </c>
      <c r="Q322" s="13">
        <v>32</v>
      </c>
      <c r="R322" s="13">
        <v>33</v>
      </c>
      <c r="S322" s="13">
        <v>20</v>
      </c>
      <c r="T322" s="13">
        <v>40</v>
      </c>
      <c r="U322" s="13">
        <v>28</v>
      </c>
      <c r="V322" s="13">
        <v>33</v>
      </c>
      <c r="W322" s="13">
        <v>33</v>
      </c>
      <c r="X322" s="13">
        <v>29</v>
      </c>
      <c r="Y322" s="13">
        <v>25</v>
      </c>
      <c r="Z322" s="13">
        <v>22</v>
      </c>
      <c r="AA322" s="13">
        <v>28</v>
      </c>
      <c r="AB322" s="13">
        <v>26</v>
      </c>
      <c r="AC322" s="13">
        <v>27</v>
      </c>
      <c r="AD322" s="13">
        <v>30</v>
      </c>
      <c r="AE322" s="2">
        <v>19</v>
      </c>
      <c r="AF322" s="13"/>
      <c r="AG322" s="13"/>
      <c r="AH322" s="13"/>
    </row>
    <row r="323" spans="1:34">
      <c r="A323" s="10" t="s">
        <v>434</v>
      </c>
      <c r="B323" s="11">
        <f>AVERAGE(E323:AE323)</f>
        <v>27.888888888888889</v>
      </c>
      <c r="C323" s="2">
        <f>MIN(E323:AE323)</f>
        <v>19</v>
      </c>
      <c r="D323" s="12">
        <f>MAX(E323:AE323)</f>
        <v>40</v>
      </c>
      <c r="E323" s="13">
        <v>20</v>
      </c>
      <c r="F323" s="13">
        <v>28</v>
      </c>
      <c r="G323" s="13">
        <v>22</v>
      </c>
      <c r="H323" s="13">
        <v>30</v>
      </c>
      <c r="I323" s="13">
        <v>29</v>
      </c>
      <c r="J323" s="13">
        <v>34</v>
      </c>
      <c r="K323" s="13">
        <v>27</v>
      </c>
      <c r="L323" s="13">
        <v>31</v>
      </c>
      <c r="M323" s="13">
        <v>32</v>
      </c>
      <c r="N323" s="13">
        <v>26</v>
      </c>
      <c r="O323" s="13">
        <v>29</v>
      </c>
      <c r="P323" s="13">
        <v>20</v>
      </c>
      <c r="Q323" s="13">
        <v>32</v>
      </c>
      <c r="R323" s="13">
        <v>33</v>
      </c>
      <c r="S323" s="13">
        <v>20</v>
      </c>
      <c r="T323" s="13">
        <v>40</v>
      </c>
      <c r="U323" s="13">
        <v>28</v>
      </c>
      <c r="V323" s="13">
        <v>33</v>
      </c>
      <c r="W323" s="13">
        <v>33</v>
      </c>
      <c r="X323" s="13">
        <v>29</v>
      </c>
      <c r="Y323" s="13">
        <v>25</v>
      </c>
      <c r="Z323" s="13">
        <v>22</v>
      </c>
      <c r="AA323" s="13">
        <v>28</v>
      </c>
      <c r="AB323" s="13">
        <v>26</v>
      </c>
      <c r="AC323" s="13">
        <v>27</v>
      </c>
      <c r="AD323" s="13">
        <v>30</v>
      </c>
      <c r="AE323" s="2">
        <v>19</v>
      </c>
      <c r="AF323" s="13"/>
      <c r="AG323" s="13"/>
      <c r="AH323" s="13"/>
    </row>
    <row r="324" spans="1:34">
      <c r="A324" s="10" t="s">
        <v>435</v>
      </c>
      <c r="B324" s="11">
        <f>AVERAGE(E324:AE324)</f>
        <v>27.888888888888889</v>
      </c>
      <c r="C324" s="2">
        <f>MIN(E324:AE324)</f>
        <v>19</v>
      </c>
      <c r="D324" s="12">
        <f>MAX(E324:AE324)</f>
        <v>40</v>
      </c>
      <c r="E324" s="13">
        <v>20</v>
      </c>
      <c r="F324" s="13">
        <v>28</v>
      </c>
      <c r="G324" s="13">
        <v>22</v>
      </c>
      <c r="H324" s="13">
        <v>30</v>
      </c>
      <c r="I324" s="13">
        <v>29</v>
      </c>
      <c r="J324" s="13">
        <v>34</v>
      </c>
      <c r="K324" s="13">
        <v>27</v>
      </c>
      <c r="L324" s="13">
        <v>31</v>
      </c>
      <c r="M324" s="13">
        <v>32</v>
      </c>
      <c r="N324" s="13">
        <v>26</v>
      </c>
      <c r="O324" s="13">
        <v>29</v>
      </c>
      <c r="P324" s="13">
        <v>20</v>
      </c>
      <c r="Q324" s="13">
        <v>32</v>
      </c>
      <c r="R324" s="13">
        <v>33</v>
      </c>
      <c r="S324" s="13">
        <v>20</v>
      </c>
      <c r="T324" s="13">
        <v>40</v>
      </c>
      <c r="U324" s="13">
        <v>28</v>
      </c>
      <c r="V324" s="13">
        <v>33</v>
      </c>
      <c r="W324" s="13">
        <v>33</v>
      </c>
      <c r="X324" s="13">
        <v>29</v>
      </c>
      <c r="Y324" s="13">
        <v>25</v>
      </c>
      <c r="Z324" s="13">
        <v>22</v>
      </c>
      <c r="AA324" s="13">
        <v>28</v>
      </c>
      <c r="AB324" s="13">
        <v>26</v>
      </c>
      <c r="AC324" s="13">
        <v>27</v>
      </c>
      <c r="AD324" s="13">
        <v>30</v>
      </c>
      <c r="AE324" s="2">
        <v>19</v>
      </c>
      <c r="AF324" s="13"/>
      <c r="AG324" s="13"/>
      <c r="AH324" s="13"/>
    </row>
    <row r="325" spans="1:34">
      <c r="A325" s="10" t="s">
        <v>436</v>
      </c>
      <c r="B325" s="11">
        <f>AVERAGE(E325:AE325)</f>
        <v>27.888888888888889</v>
      </c>
      <c r="C325" s="2">
        <f>MIN(E325:AE325)</f>
        <v>19</v>
      </c>
      <c r="D325" s="12">
        <f>MAX(E325:AE325)</f>
        <v>40</v>
      </c>
      <c r="E325" s="13">
        <v>20</v>
      </c>
      <c r="F325" s="13">
        <v>28</v>
      </c>
      <c r="G325" s="13">
        <v>22</v>
      </c>
      <c r="H325" s="13">
        <v>30</v>
      </c>
      <c r="I325" s="13">
        <v>29</v>
      </c>
      <c r="J325" s="13">
        <v>34</v>
      </c>
      <c r="K325" s="13">
        <v>27</v>
      </c>
      <c r="L325" s="13">
        <v>31</v>
      </c>
      <c r="M325" s="13">
        <v>32</v>
      </c>
      <c r="N325" s="13">
        <v>26</v>
      </c>
      <c r="O325" s="13">
        <v>29</v>
      </c>
      <c r="P325" s="13">
        <v>20</v>
      </c>
      <c r="Q325" s="13">
        <v>32</v>
      </c>
      <c r="R325" s="13">
        <v>33</v>
      </c>
      <c r="S325" s="13">
        <v>20</v>
      </c>
      <c r="T325" s="13">
        <v>40</v>
      </c>
      <c r="U325" s="13">
        <v>28</v>
      </c>
      <c r="V325" s="13">
        <v>33</v>
      </c>
      <c r="W325" s="13">
        <v>33</v>
      </c>
      <c r="X325" s="13">
        <v>29</v>
      </c>
      <c r="Y325" s="13">
        <v>25</v>
      </c>
      <c r="Z325" s="13">
        <v>22</v>
      </c>
      <c r="AA325" s="13">
        <v>28</v>
      </c>
      <c r="AB325" s="13">
        <v>26</v>
      </c>
      <c r="AC325" s="13">
        <v>27</v>
      </c>
      <c r="AD325" s="13">
        <v>30</v>
      </c>
      <c r="AE325" s="2">
        <v>19</v>
      </c>
      <c r="AF325" s="13"/>
      <c r="AG325" s="13"/>
      <c r="AH325" s="13"/>
    </row>
    <row r="326" spans="1:34">
      <c r="A326" s="10" t="s">
        <v>437</v>
      </c>
      <c r="B326" s="11">
        <f>AVERAGE(E326:AE326)</f>
        <v>27.888888888888889</v>
      </c>
      <c r="C326" s="2">
        <f>MIN(E326:AE326)</f>
        <v>19</v>
      </c>
      <c r="D326" s="12">
        <f>MAX(E326:AE326)</f>
        <v>40</v>
      </c>
      <c r="E326" s="13">
        <v>20</v>
      </c>
      <c r="F326" s="13">
        <v>28</v>
      </c>
      <c r="G326" s="13">
        <v>22</v>
      </c>
      <c r="H326" s="13">
        <v>30</v>
      </c>
      <c r="I326" s="13">
        <v>29</v>
      </c>
      <c r="J326" s="13">
        <v>34</v>
      </c>
      <c r="K326" s="13">
        <v>27</v>
      </c>
      <c r="L326" s="13">
        <v>31</v>
      </c>
      <c r="M326" s="13">
        <v>32</v>
      </c>
      <c r="N326" s="13">
        <v>26</v>
      </c>
      <c r="O326" s="13">
        <v>29</v>
      </c>
      <c r="P326" s="13">
        <v>20</v>
      </c>
      <c r="Q326" s="13">
        <v>32</v>
      </c>
      <c r="R326" s="13">
        <v>33</v>
      </c>
      <c r="S326" s="13">
        <v>20</v>
      </c>
      <c r="T326" s="13">
        <v>40</v>
      </c>
      <c r="U326" s="13">
        <v>28</v>
      </c>
      <c r="V326" s="13">
        <v>33</v>
      </c>
      <c r="W326" s="13">
        <v>33</v>
      </c>
      <c r="X326" s="13">
        <v>29</v>
      </c>
      <c r="Y326" s="13">
        <v>25</v>
      </c>
      <c r="Z326" s="13">
        <v>22</v>
      </c>
      <c r="AA326" s="13">
        <v>28</v>
      </c>
      <c r="AB326" s="13">
        <v>26</v>
      </c>
      <c r="AC326" s="13">
        <v>27</v>
      </c>
      <c r="AD326" s="13">
        <v>30</v>
      </c>
      <c r="AE326" s="2">
        <v>19</v>
      </c>
      <c r="AF326" s="13"/>
      <c r="AG326" s="13"/>
      <c r="AH326" s="13"/>
    </row>
    <row r="327" spans="1:34">
      <c r="A327" s="10" t="s">
        <v>438</v>
      </c>
      <c r="B327" s="11">
        <f>AVERAGE(E327:AE327)</f>
        <v>27.888888888888889</v>
      </c>
      <c r="C327" s="2">
        <f>MIN(E327:AE327)</f>
        <v>19</v>
      </c>
      <c r="D327" s="12">
        <f>MAX(E327:AE327)</f>
        <v>40</v>
      </c>
      <c r="E327" s="13">
        <v>20</v>
      </c>
      <c r="F327" s="13">
        <v>28</v>
      </c>
      <c r="G327" s="13">
        <v>22</v>
      </c>
      <c r="H327" s="13">
        <v>30</v>
      </c>
      <c r="I327" s="13">
        <v>29</v>
      </c>
      <c r="J327" s="13">
        <v>34</v>
      </c>
      <c r="K327" s="13">
        <v>27</v>
      </c>
      <c r="L327" s="13">
        <v>31</v>
      </c>
      <c r="M327" s="13">
        <v>32</v>
      </c>
      <c r="N327" s="13">
        <v>26</v>
      </c>
      <c r="O327" s="13">
        <v>29</v>
      </c>
      <c r="P327" s="13">
        <v>20</v>
      </c>
      <c r="Q327" s="13">
        <v>32</v>
      </c>
      <c r="R327" s="13">
        <v>33</v>
      </c>
      <c r="S327" s="13">
        <v>20</v>
      </c>
      <c r="T327" s="13">
        <v>40</v>
      </c>
      <c r="U327" s="13">
        <v>28</v>
      </c>
      <c r="V327" s="13">
        <v>33</v>
      </c>
      <c r="W327" s="13">
        <v>33</v>
      </c>
      <c r="X327" s="13">
        <v>29</v>
      </c>
      <c r="Y327" s="13">
        <v>25</v>
      </c>
      <c r="Z327" s="13">
        <v>22</v>
      </c>
      <c r="AA327" s="13">
        <v>28</v>
      </c>
      <c r="AB327" s="13">
        <v>26</v>
      </c>
      <c r="AC327" s="13">
        <v>27</v>
      </c>
      <c r="AD327" s="13">
        <v>30</v>
      </c>
      <c r="AE327" s="2">
        <v>19</v>
      </c>
      <c r="AF327" s="13"/>
      <c r="AG327" s="13"/>
      <c r="AH327" s="13"/>
    </row>
    <row r="328" spans="1:34">
      <c r="A328" s="10" t="s">
        <v>439</v>
      </c>
      <c r="B328" s="11">
        <f>AVERAGE(E328:AE328)</f>
        <v>27.888888888888889</v>
      </c>
      <c r="C328" s="2">
        <f>MIN(E328:AE328)</f>
        <v>19</v>
      </c>
      <c r="D328" s="12">
        <f>MAX(E328:AE328)</f>
        <v>40</v>
      </c>
      <c r="E328" s="13">
        <v>20</v>
      </c>
      <c r="F328" s="13">
        <v>28</v>
      </c>
      <c r="G328" s="13">
        <v>22</v>
      </c>
      <c r="H328" s="13">
        <v>30</v>
      </c>
      <c r="I328" s="13">
        <v>29</v>
      </c>
      <c r="J328" s="13">
        <v>34</v>
      </c>
      <c r="K328" s="13">
        <v>27</v>
      </c>
      <c r="L328" s="13">
        <v>31</v>
      </c>
      <c r="M328" s="13">
        <v>32</v>
      </c>
      <c r="N328" s="13">
        <v>26</v>
      </c>
      <c r="O328" s="13">
        <v>29</v>
      </c>
      <c r="P328" s="13">
        <v>20</v>
      </c>
      <c r="Q328" s="13">
        <v>32</v>
      </c>
      <c r="R328" s="13">
        <v>33</v>
      </c>
      <c r="S328" s="13">
        <v>20</v>
      </c>
      <c r="T328" s="13">
        <v>40</v>
      </c>
      <c r="U328" s="13">
        <v>28</v>
      </c>
      <c r="V328" s="13">
        <v>33</v>
      </c>
      <c r="W328" s="13">
        <v>33</v>
      </c>
      <c r="X328" s="13">
        <v>29</v>
      </c>
      <c r="Y328" s="13">
        <v>25</v>
      </c>
      <c r="Z328" s="13">
        <v>22</v>
      </c>
      <c r="AA328" s="13">
        <v>28</v>
      </c>
      <c r="AB328" s="13">
        <v>26</v>
      </c>
      <c r="AC328" s="13">
        <v>27</v>
      </c>
      <c r="AD328" s="13">
        <v>30</v>
      </c>
      <c r="AE328" s="2">
        <v>19</v>
      </c>
      <c r="AF328" s="13"/>
      <c r="AG328" s="13"/>
      <c r="AH328" s="13"/>
    </row>
    <row r="329" spans="1:34">
      <c r="A329" s="10" t="s">
        <v>440</v>
      </c>
      <c r="B329" s="11">
        <f>AVERAGE(E329:AE329)</f>
        <v>27.888888888888889</v>
      </c>
      <c r="C329" s="2">
        <f>MIN(E329:AE329)</f>
        <v>19</v>
      </c>
      <c r="D329" s="12">
        <f>MAX(E329:AE329)</f>
        <v>40</v>
      </c>
      <c r="E329" s="13">
        <v>20</v>
      </c>
      <c r="F329" s="13">
        <v>28</v>
      </c>
      <c r="G329" s="13">
        <v>22</v>
      </c>
      <c r="H329" s="13">
        <v>30</v>
      </c>
      <c r="I329" s="13">
        <v>29</v>
      </c>
      <c r="J329" s="13">
        <v>34</v>
      </c>
      <c r="K329" s="13">
        <v>27</v>
      </c>
      <c r="L329" s="13">
        <v>31</v>
      </c>
      <c r="M329" s="13">
        <v>32</v>
      </c>
      <c r="N329" s="13">
        <v>26</v>
      </c>
      <c r="O329" s="13">
        <v>29</v>
      </c>
      <c r="P329" s="13">
        <v>20</v>
      </c>
      <c r="Q329" s="13">
        <v>32</v>
      </c>
      <c r="R329" s="13">
        <v>33</v>
      </c>
      <c r="S329" s="13">
        <v>20</v>
      </c>
      <c r="T329" s="13">
        <v>40</v>
      </c>
      <c r="U329" s="13">
        <v>28</v>
      </c>
      <c r="V329" s="13">
        <v>33</v>
      </c>
      <c r="W329" s="13">
        <v>33</v>
      </c>
      <c r="X329" s="13">
        <v>29</v>
      </c>
      <c r="Y329" s="13">
        <v>25</v>
      </c>
      <c r="Z329" s="13">
        <v>22</v>
      </c>
      <c r="AA329" s="13">
        <v>28</v>
      </c>
      <c r="AB329" s="13">
        <v>26</v>
      </c>
      <c r="AC329" s="13">
        <v>27</v>
      </c>
      <c r="AD329" s="13">
        <v>30</v>
      </c>
      <c r="AE329" s="2">
        <v>19</v>
      </c>
      <c r="AF329" s="13"/>
      <c r="AG329" s="13"/>
      <c r="AH329" s="13"/>
    </row>
    <row r="330" spans="1:34">
      <c r="A330" s="10" t="s">
        <v>441</v>
      </c>
      <c r="B330" s="11">
        <f>AVERAGE(E330:AE330)</f>
        <v>27.888888888888889</v>
      </c>
      <c r="C330" s="2">
        <f>MIN(E330:AE330)</f>
        <v>19</v>
      </c>
      <c r="D330" s="12">
        <f>MAX(E330:AE330)</f>
        <v>40</v>
      </c>
      <c r="E330" s="13">
        <v>20</v>
      </c>
      <c r="F330" s="13">
        <v>28</v>
      </c>
      <c r="G330" s="13">
        <v>22</v>
      </c>
      <c r="H330" s="13">
        <v>30</v>
      </c>
      <c r="I330" s="13">
        <v>29</v>
      </c>
      <c r="J330" s="13">
        <v>34</v>
      </c>
      <c r="K330" s="13">
        <v>27</v>
      </c>
      <c r="L330" s="13">
        <v>31</v>
      </c>
      <c r="M330" s="13">
        <v>32</v>
      </c>
      <c r="N330" s="13">
        <v>26</v>
      </c>
      <c r="O330" s="13">
        <v>29</v>
      </c>
      <c r="P330" s="13">
        <v>20</v>
      </c>
      <c r="Q330" s="13">
        <v>32</v>
      </c>
      <c r="R330" s="13">
        <v>33</v>
      </c>
      <c r="S330" s="13">
        <v>20</v>
      </c>
      <c r="T330" s="13">
        <v>40</v>
      </c>
      <c r="U330" s="13">
        <v>28</v>
      </c>
      <c r="V330" s="13">
        <v>33</v>
      </c>
      <c r="W330" s="13">
        <v>33</v>
      </c>
      <c r="X330" s="13">
        <v>29</v>
      </c>
      <c r="Y330" s="13">
        <v>25</v>
      </c>
      <c r="Z330" s="13">
        <v>22</v>
      </c>
      <c r="AA330" s="13">
        <v>28</v>
      </c>
      <c r="AB330" s="13">
        <v>26</v>
      </c>
      <c r="AC330" s="13">
        <v>27</v>
      </c>
      <c r="AD330" s="13">
        <v>30</v>
      </c>
      <c r="AE330" s="2">
        <v>19</v>
      </c>
      <c r="AF330" s="13"/>
      <c r="AG330" s="13"/>
      <c r="AH330" s="13"/>
    </row>
    <row r="331" spans="1:34">
      <c r="A331" s="10" t="s">
        <v>442</v>
      </c>
      <c r="B331" s="11">
        <f>AVERAGE(E331:AE331)</f>
        <v>27.888888888888889</v>
      </c>
      <c r="C331" s="2">
        <f>MIN(E331:AE331)</f>
        <v>19</v>
      </c>
      <c r="D331" s="12">
        <f>MAX(E331:AE331)</f>
        <v>40</v>
      </c>
      <c r="E331" s="13">
        <v>20</v>
      </c>
      <c r="F331" s="13">
        <v>28</v>
      </c>
      <c r="G331" s="13">
        <v>22</v>
      </c>
      <c r="H331" s="13">
        <v>30</v>
      </c>
      <c r="I331" s="13">
        <v>29</v>
      </c>
      <c r="J331" s="13">
        <v>34</v>
      </c>
      <c r="K331" s="13">
        <v>27</v>
      </c>
      <c r="L331" s="13">
        <v>31</v>
      </c>
      <c r="M331" s="13">
        <v>32</v>
      </c>
      <c r="N331" s="13">
        <v>26</v>
      </c>
      <c r="O331" s="13">
        <v>29</v>
      </c>
      <c r="P331" s="13">
        <v>20</v>
      </c>
      <c r="Q331" s="13">
        <v>32</v>
      </c>
      <c r="R331" s="13">
        <v>33</v>
      </c>
      <c r="S331" s="13">
        <v>20</v>
      </c>
      <c r="T331" s="13">
        <v>40</v>
      </c>
      <c r="U331" s="13">
        <v>28</v>
      </c>
      <c r="V331" s="13">
        <v>33</v>
      </c>
      <c r="W331" s="13">
        <v>33</v>
      </c>
      <c r="X331" s="13">
        <v>29</v>
      </c>
      <c r="Y331" s="13">
        <v>25</v>
      </c>
      <c r="Z331" s="13">
        <v>22</v>
      </c>
      <c r="AA331" s="13">
        <v>28</v>
      </c>
      <c r="AB331" s="13">
        <v>26</v>
      </c>
      <c r="AC331" s="13">
        <v>27</v>
      </c>
      <c r="AD331" s="13">
        <v>30</v>
      </c>
      <c r="AE331" s="2">
        <v>19</v>
      </c>
      <c r="AF331" s="13"/>
      <c r="AG331" s="13"/>
      <c r="AH331" s="13"/>
    </row>
    <row r="332" spans="1:34">
      <c r="A332" s="10" t="s">
        <v>443</v>
      </c>
      <c r="B332" s="11">
        <f>AVERAGE(E332:AE332)</f>
        <v>27.888888888888889</v>
      </c>
      <c r="C332" s="2">
        <f>MIN(E332:AE332)</f>
        <v>19</v>
      </c>
      <c r="D332" s="12">
        <f>MAX(E332:AE332)</f>
        <v>40</v>
      </c>
      <c r="E332" s="13">
        <v>20</v>
      </c>
      <c r="F332" s="13">
        <v>28</v>
      </c>
      <c r="G332" s="13">
        <v>22</v>
      </c>
      <c r="H332" s="13">
        <v>30</v>
      </c>
      <c r="I332" s="13">
        <v>29</v>
      </c>
      <c r="J332" s="13">
        <v>34</v>
      </c>
      <c r="K332" s="13">
        <v>27</v>
      </c>
      <c r="L332" s="13">
        <v>31</v>
      </c>
      <c r="M332" s="13">
        <v>32</v>
      </c>
      <c r="N332" s="13">
        <v>26</v>
      </c>
      <c r="O332" s="13">
        <v>29</v>
      </c>
      <c r="P332" s="13">
        <v>20</v>
      </c>
      <c r="Q332" s="13">
        <v>32</v>
      </c>
      <c r="R332" s="13">
        <v>33</v>
      </c>
      <c r="S332" s="13">
        <v>20</v>
      </c>
      <c r="T332" s="13">
        <v>40</v>
      </c>
      <c r="U332" s="13">
        <v>28</v>
      </c>
      <c r="V332" s="13">
        <v>33</v>
      </c>
      <c r="W332" s="13">
        <v>33</v>
      </c>
      <c r="X332" s="13">
        <v>29</v>
      </c>
      <c r="Y332" s="13">
        <v>25</v>
      </c>
      <c r="Z332" s="13">
        <v>22</v>
      </c>
      <c r="AA332" s="13">
        <v>28</v>
      </c>
      <c r="AB332" s="13">
        <v>26</v>
      </c>
      <c r="AC332" s="13">
        <v>27</v>
      </c>
      <c r="AD332" s="13">
        <v>30</v>
      </c>
      <c r="AE332" s="2">
        <v>19</v>
      </c>
      <c r="AF332" s="13"/>
      <c r="AG332" s="13"/>
      <c r="AH332" s="13"/>
    </row>
    <row r="333" spans="1:34">
      <c r="A333" s="10" t="s">
        <v>444</v>
      </c>
      <c r="B333" s="11">
        <f>AVERAGE(E333:AE333)</f>
        <v>27.888888888888889</v>
      </c>
      <c r="C333" s="2">
        <f>MIN(E333:AE333)</f>
        <v>19</v>
      </c>
      <c r="D333" s="12">
        <f>MAX(E333:AE333)</f>
        <v>40</v>
      </c>
      <c r="E333" s="13">
        <v>20</v>
      </c>
      <c r="F333" s="13">
        <v>28</v>
      </c>
      <c r="G333" s="13">
        <v>22</v>
      </c>
      <c r="H333" s="13">
        <v>30</v>
      </c>
      <c r="I333" s="13">
        <v>29</v>
      </c>
      <c r="J333" s="13">
        <v>34</v>
      </c>
      <c r="K333" s="13">
        <v>27</v>
      </c>
      <c r="L333" s="13">
        <v>31</v>
      </c>
      <c r="M333" s="13">
        <v>32</v>
      </c>
      <c r="N333" s="13">
        <v>26</v>
      </c>
      <c r="O333" s="13">
        <v>29</v>
      </c>
      <c r="P333" s="13">
        <v>20</v>
      </c>
      <c r="Q333" s="13">
        <v>32</v>
      </c>
      <c r="R333" s="13">
        <v>33</v>
      </c>
      <c r="S333" s="13">
        <v>20</v>
      </c>
      <c r="T333" s="13">
        <v>40</v>
      </c>
      <c r="U333" s="13">
        <v>28</v>
      </c>
      <c r="V333" s="13">
        <v>33</v>
      </c>
      <c r="W333" s="13">
        <v>33</v>
      </c>
      <c r="X333" s="13">
        <v>29</v>
      </c>
      <c r="Y333" s="13">
        <v>25</v>
      </c>
      <c r="Z333" s="13">
        <v>22</v>
      </c>
      <c r="AA333" s="13">
        <v>28</v>
      </c>
      <c r="AB333" s="13">
        <v>26</v>
      </c>
      <c r="AC333" s="13">
        <v>27</v>
      </c>
      <c r="AD333" s="13">
        <v>30</v>
      </c>
      <c r="AE333" s="2">
        <v>19</v>
      </c>
      <c r="AF333" s="13"/>
      <c r="AG333" s="13"/>
      <c r="AH333" s="13"/>
    </row>
    <row r="334" spans="1:34">
      <c r="A334" s="10" t="s">
        <v>445</v>
      </c>
      <c r="B334" s="11">
        <f>AVERAGE(E334:AE334)</f>
        <v>27.888888888888889</v>
      </c>
      <c r="C334" s="2">
        <f>MIN(E334:AE334)</f>
        <v>19</v>
      </c>
      <c r="D334" s="12">
        <f>MAX(E334:AE334)</f>
        <v>40</v>
      </c>
      <c r="E334" s="13">
        <v>20</v>
      </c>
      <c r="F334" s="13">
        <v>28</v>
      </c>
      <c r="G334" s="13">
        <v>22</v>
      </c>
      <c r="H334" s="13">
        <v>30</v>
      </c>
      <c r="I334" s="13">
        <v>29</v>
      </c>
      <c r="J334" s="13">
        <v>34</v>
      </c>
      <c r="K334" s="13">
        <v>27</v>
      </c>
      <c r="L334" s="13">
        <v>31</v>
      </c>
      <c r="M334" s="13">
        <v>32</v>
      </c>
      <c r="N334" s="13">
        <v>26</v>
      </c>
      <c r="O334" s="13">
        <v>29</v>
      </c>
      <c r="P334" s="13">
        <v>20</v>
      </c>
      <c r="Q334" s="13">
        <v>32</v>
      </c>
      <c r="R334" s="13">
        <v>33</v>
      </c>
      <c r="S334" s="13">
        <v>20</v>
      </c>
      <c r="T334" s="13">
        <v>40</v>
      </c>
      <c r="U334" s="13">
        <v>28</v>
      </c>
      <c r="V334" s="13">
        <v>33</v>
      </c>
      <c r="W334" s="13">
        <v>33</v>
      </c>
      <c r="X334" s="13">
        <v>29</v>
      </c>
      <c r="Y334" s="13">
        <v>25</v>
      </c>
      <c r="Z334" s="13">
        <v>22</v>
      </c>
      <c r="AA334" s="13">
        <v>28</v>
      </c>
      <c r="AB334" s="13">
        <v>26</v>
      </c>
      <c r="AC334" s="13">
        <v>27</v>
      </c>
      <c r="AD334" s="13">
        <v>30</v>
      </c>
      <c r="AE334" s="2">
        <v>19</v>
      </c>
      <c r="AF334" s="13"/>
      <c r="AG334" s="13"/>
      <c r="AH334" s="13"/>
    </row>
    <row r="335" spans="1:34">
      <c r="A335" s="10" t="s">
        <v>446</v>
      </c>
      <c r="B335" s="11">
        <f>AVERAGE(E335:AE335)</f>
        <v>27.888888888888889</v>
      </c>
      <c r="C335" s="2">
        <f>MIN(E335:AE335)</f>
        <v>19</v>
      </c>
      <c r="D335" s="12">
        <f>MAX(E335:AE335)</f>
        <v>40</v>
      </c>
      <c r="E335" s="13">
        <v>20</v>
      </c>
      <c r="F335" s="13">
        <v>28</v>
      </c>
      <c r="G335" s="13">
        <v>22</v>
      </c>
      <c r="H335" s="13">
        <v>30</v>
      </c>
      <c r="I335" s="13">
        <v>29</v>
      </c>
      <c r="J335" s="13">
        <v>34</v>
      </c>
      <c r="K335" s="13">
        <v>27</v>
      </c>
      <c r="L335" s="13">
        <v>31</v>
      </c>
      <c r="M335" s="13">
        <v>32</v>
      </c>
      <c r="N335" s="13">
        <v>26</v>
      </c>
      <c r="O335" s="13">
        <v>29</v>
      </c>
      <c r="P335" s="13">
        <v>20</v>
      </c>
      <c r="Q335" s="13">
        <v>32</v>
      </c>
      <c r="R335" s="13">
        <v>33</v>
      </c>
      <c r="S335" s="13">
        <v>20</v>
      </c>
      <c r="T335" s="13">
        <v>40</v>
      </c>
      <c r="U335" s="13">
        <v>28</v>
      </c>
      <c r="V335" s="13">
        <v>33</v>
      </c>
      <c r="W335" s="13">
        <v>33</v>
      </c>
      <c r="X335" s="13">
        <v>29</v>
      </c>
      <c r="Y335" s="13">
        <v>25</v>
      </c>
      <c r="Z335" s="13">
        <v>22</v>
      </c>
      <c r="AA335" s="13">
        <v>28</v>
      </c>
      <c r="AB335" s="13">
        <v>26</v>
      </c>
      <c r="AC335" s="13">
        <v>27</v>
      </c>
      <c r="AD335" s="13">
        <v>30</v>
      </c>
      <c r="AE335" s="2">
        <v>19</v>
      </c>
      <c r="AF335" s="13"/>
      <c r="AG335" s="13"/>
      <c r="AH335" s="13"/>
    </row>
    <row r="336" spans="1:34">
      <c r="A336" s="10" t="s">
        <v>447</v>
      </c>
      <c r="B336" s="11">
        <f>AVERAGE(E336:AE336)</f>
        <v>27.888888888888889</v>
      </c>
      <c r="C336" s="2">
        <f>MIN(E336:AE336)</f>
        <v>19</v>
      </c>
      <c r="D336" s="12">
        <f>MAX(E336:AE336)</f>
        <v>40</v>
      </c>
      <c r="E336" s="13">
        <v>20</v>
      </c>
      <c r="F336" s="13">
        <v>28</v>
      </c>
      <c r="G336" s="13">
        <v>22</v>
      </c>
      <c r="H336" s="13">
        <v>30</v>
      </c>
      <c r="I336" s="13">
        <v>29</v>
      </c>
      <c r="J336" s="13">
        <v>34</v>
      </c>
      <c r="K336" s="13">
        <v>27</v>
      </c>
      <c r="L336" s="13">
        <v>31</v>
      </c>
      <c r="M336" s="13">
        <v>32</v>
      </c>
      <c r="N336" s="13">
        <v>26</v>
      </c>
      <c r="O336" s="13">
        <v>29</v>
      </c>
      <c r="P336" s="13">
        <v>20</v>
      </c>
      <c r="Q336" s="13">
        <v>32</v>
      </c>
      <c r="R336" s="13">
        <v>33</v>
      </c>
      <c r="S336" s="13">
        <v>20</v>
      </c>
      <c r="T336" s="13">
        <v>40</v>
      </c>
      <c r="U336" s="13">
        <v>28</v>
      </c>
      <c r="V336" s="13">
        <v>33</v>
      </c>
      <c r="W336" s="13">
        <v>33</v>
      </c>
      <c r="X336" s="13">
        <v>29</v>
      </c>
      <c r="Y336" s="13">
        <v>25</v>
      </c>
      <c r="Z336" s="13">
        <v>22</v>
      </c>
      <c r="AA336" s="13">
        <v>28</v>
      </c>
      <c r="AB336" s="13">
        <v>26</v>
      </c>
      <c r="AC336" s="13">
        <v>27</v>
      </c>
      <c r="AD336" s="13">
        <v>30</v>
      </c>
      <c r="AE336" s="2">
        <v>19</v>
      </c>
      <c r="AF336" s="13"/>
      <c r="AG336" s="13"/>
      <c r="AH336" s="13"/>
    </row>
    <row r="337" spans="1:34">
      <c r="A337" s="10" t="s">
        <v>448</v>
      </c>
      <c r="B337" s="11">
        <f>AVERAGE(E337:AE337)</f>
        <v>27.888888888888889</v>
      </c>
      <c r="C337" s="2">
        <f>MIN(E337:AE337)</f>
        <v>19</v>
      </c>
      <c r="D337" s="12">
        <f>MAX(E337:AE337)</f>
        <v>40</v>
      </c>
      <c r="E337" s="13">
        <v>20</v>
      </c>
      <c r="F337" s="13">
        <v>28</v>
      </c>
      <c r="G337" s="13">
        <v>22</v>
      </c>
      <c r="H337" s="13">
        <v>30</v>
      </c>
      <c r="I337" s="13">
        <v>29</v>
      </c>
      <c r="J337" s="13">
        <v>34</v>
      </c>
      <c r="K337" s="13">
        <v>27</v>
      </c>
      <c r="L337" s="13">
        <v>31</v>
      </c>
      <c r="M337" s="13">
        <v>32</v>
      </c>
      <c r="N337" s="13">
        <v>26</v>
      </c>
      <c r="O337" s="13">
        <v>29</v>
      </c>
      <c r="P337" s="13">
        <v>20</v>
      </c>
      <c r="Q337" s="13">
        <v>32</v>
      </c>
      <c r="R337" s="13">
        <v>33</v>
      </c>
      <c r="S337" s="13">
        <v>20</v>
      </c>
      <c r="T337" s="13">
        <v>40</v>
      </c>
      <c r="U337" s="13">
        <v>28</v>
      </c>
      <c r="V337" s="13">
        <v>33</v>
      </c>
      <c r="W337" s="13">
        <v>33</v>
      </c>
      <c r="X337" s="13">
        <v>29</v>
      </c>
      <c r="Y337" s="13">
        <v>25</v>
      </c>
      <c r="Z337" s="13">
        <v>22</v>
      </c>
      <c r="AA337" s="13">
        <v>28</v>
      </c>
      <c r="AB337" s="13">
        <v>26</v>
      </c>
      <c r="AC337" s="13">
        <v>27</v>
      </c>
      <c r="AD337" s="13">
        <v>30</v>
      </c>
      <c r="AE337" s="2">
        <v>19</v>
      </c>
      <c r="AF337" s="13"/>
      <c r="AG337" s="13"/>
      <c r="AH337" s="13"/>
    </row>
    <row r="338" spans="1:34">
      <c r="A338" s="10" t="s">
        <v>449</v>
      </c>
      <c r="B338" s="11">
        <f>AVERAGE(E338:AE338)</f>
        <v>27.888888888888889</v>
      </c>
      <c r="C338" s="2">
        <f>MIN(E338:AE338)</f>
        <v>19</v>
      </c>
      <c r="D338" s="12">
        <f>MAX(E338:AE338)</f>
        <v>40</v>
      </c>
      <c r="E338" s="13">
        <v>20</v>
      </c>
      <c r="F338" s="13">
        <v>28</v>
      </c>
      <c r="G338" s="13">
        <v>22</v>
      </c>
      <c r="H338" s="13">
        <v>30</v>
      </c>
      <c r="I338" s="13">
        <v>29</v>
      </c>
      <c r="J338" s="13">
        <v>34</v>
      </c>
      <c r="K338" s="13">
        <v>27</v>
      </c>
      <c r="L338" s="13">
        <v>31</v>
      </c>
      <c r="M338" s="13">
        <v>32</v>
      </c>
      <c r="N338" s="13">
        <v>26</v>
      </c>
      <c r="O338" s="13">
        <v>29</v>
      </c>
      <c r="P338" s="13">
        <v>20</v>
      </c>
      <c r="Q338" s="13">
        <v>32</v>
      </c>
      <c r="R338" s="13">
        <v>33</v>
      </c>
      <c r="S338" s="13">
        <v>20</v>
      </c>
      <c r="T338" s="13">
        <v>40</v>
      </c>
      <c r="U338" s="13">
        <v>28</v>
      </c>
      <c r="V338" s="13">
        <v>33</v>
      </c>
      <c r="W338" s="13">
        <v>33</v>
      </c>
      <c r="X338" s="13">
        <v>29</v>
      </c>
      <c r="Y338" s="13">
        <v>25</v>
      </c>
      <c r="Z338" s="13">
        <v>22</v>
      </c>
      <c r="AA338" s="13">
        <v>28</v>
      </c>
      <c r="AB338" s="13">
        <v>26</v>
      </c>
      <c r="AC338" s="13">
        <v>27</v>
      </c>
      <c r="AD338" s="13">
        <v>30</v>
      </c>
      <c r="AE338" s="2">
        <v>19</v>
      </c>
      <c r="AF338" s="13"/>
      <c r="AG338" s="13"/>
      <c r="AH338" s="13"/>
    </row>
    <row r="339" spans="1:34">
      <c r="A339" s="10" t="s">
        <v>450</v>
      </c>
      <c r="B339" s="11">
        <f>AVERAGE(E339:AE339)</f>
        <v>27.888888888888889</v>
      </c>
      <c r="C339" s="2">
        <f>MIN(E339:AE339)</f>
        <v>19</v>
      </c>
      <c r="D339" s="12">
        <f>MAX(E339:AE339)</f>
        <v>40</v>
      </c>
      <c r="E339" s="13">
        <v>20</v>
      </c>
      <c r="F339" s="13">
        <v>28</v>
      </c>
      <c r="G339" s="13">
        <v>22</v>
      </c>
      <c r="H339" s="13">
        <v>30</v>
      </c>
      <c r="I339" s="13">
        <v>29</v>
      </c>
      <c r="J339" s="13">
        <v>34</v>
      </c>
      <c r="K339" s="13">
        <v>27</v>
      </c>
      <c r="L339" s="13">
        <v>31</v>
      </c>
      <c r="M339" s="13">
        <v>32</v>
      </c>
      <c r="N339" s="13">
        <v>26</v>
      </c>
      <c r="O339" s="13">
        <v>29</v>
      </c>
      <c r="P339" s="13">
        <v>20</v>
      </c>
      <c r="Q339" s="13">
        <v>32</v>
      </c>
      <c r="R339" s="13">
        <v>33</v>
      </c>
      <c r="S339" s="13">
        <v>20</v>
      </c>
      <c r="T339" s="13">
        <v>40</v>
      </c>
      <c r="U339" s="13">
        <v>28</v>
      </c>
      <c r="V339" s="13">
        <v>33</v>
      </c>
      <c r="W339" s="13">
        <v>33</v>
      </c>
      <c r="X339" s="13">
        <v>29</v>
      </c>
      <c r="Y339" s="13">
        <v>25</v>
      </c>
      <c r="Z339" s="13">
        <v>22</v>
      </c>
      <c r="AA339" s="13">
        <v>28</v>
      </c>
      <c r="AB339" s="13">
        <v>26</v>
      </c>
      <c r="AC339" s="13">
        <v>27</v>
      </c>
      <c r="AD339" s="13">
        <v>30</v>
      </c>
      <c r="AE339" s="2">
        <v>19</v>
      </c>
      <c r="AF339" s="13"/>
      <c r="AG339" s="13"/>
      <c r="AH339" s="13"/>
    </row>
    <row r="340" spans="1:34">
      <c r="A340" s="10" t="s">
        <v>451</v>
      </c>
      <c r="B340" s="11">
        <f>AVERAGE(E340:AE340)</f>
        <v>27.888888888888889</v>
      </c>
      <c r="C340" s="2">
        <f>MIN(E340:AE340)</f>
        <v>19</v>
      </c>
      <c r="D340" s="12">
        <f>MAX(E340:AE340)</f>
        <v>40</v>
      </c>
      <c r="E340" s="13">
        <v>20</v>
      </c>
      <c r="F340" s="13">
        <v>28</v>
      </c>
      <c r="G340" s="13">
        <v>22</v>
      </c>
      <c r="H340" s="13">
        <v>30</v>
      </c>
      <c r="I340" s="13">
        <v>29</v>
      </c>
      <c r="J340" s="13">
        <v>34</v>
      </c>
      <c r="K340" s="13">
        <v>27</v>
      </c>
      <c r="L340" s="13">
        <v>31</v>
      </c>
      <c r="M340" s="13">
        <v>32</v>
      </c>
      <c r="N340" s="13">
        <v>26</v>
      </c>
      <c r="O340" s="13">
        <v>29</v>
      </c>
      <c r="P340" s="13">
        <v>20</v>
      </c>
      <c r="Q340" s="13">
        <v>32</v>
      </c>
      <c r="R340" s="13">
        <v>33</v>
      </c>
      <c r="S340" s="13">
        <v>20</v>
      </c>
      <c r="T340" s="13">
        <v>40</v>
      </c>
      <c r="U340" s="13">
        <v>28</v>
      </c>
      <c r="V340" s="13">
        <v>33</v>
      </c>
      <c r="W340" s="13">
        <v>33</v>
      </c>
      <c r="X340" s="13">
        <v>29</v>
      </c>
      <c r="Y340" s="13">
        <v>25</v>
      </c>
      <c r="Z340" s="13">
        <v>22</v>
      </c>
      <c r="AA340" s="13">
        <v>28</v>
      </c>
      <c r="AB340" s="13">
        <v>26</v>
      </c>
      <c r="AC340" s="13">
        <v>27</v>
      </c>
      <c r="AD340" s="13">
        <v>30</v>
      </c>
      <c r="AE340" s="2">
        <v>19</v>
      </c>
      <c r="AF340" s="13"/>
      <c r="AG340" s="13"/>
      <c r="AH340" s="13"/>
    </row>
    <row r="341" spans="1:34">
      <c r="A341" s="10" t="s">
        <v>452</v>
      </c>
      <c r="B341" s="11">
        <f>AVERAGE(E341:AE341)</f>
        <v>27.888888888888889</v>
      </c>
      <c r="C341" s="2">
        <f>MIN(E341:AE341)</f>
        <v>19</v>
      </c>
      <c r="D341" s="12">
        <f>MAX(E341:AE341)</f>
        <v>40</v>
      </c>
      <c r="E341" s="13">
        <v>20</v>
      </c>
      <c r="F341" s="13">
        <v>28</v>
      </c>
      <c r="G341" s="13">
        <v>22</v>
      </c>
      <c r="H341" s="13">
        <v>30</v>
      </c>
      <c r="I341" s="13">
        <v>29</v>
      </c>
      <c r="J341" s="13">
        <v>34</v>
      </c>
      <c r="K341" s="13">
        <v>27</v>
      </c>
      <c r="L341" s="13">
        <v>31</v>
      </c>
      <c r="M341" s="13">
        <v>32</v>
      </c>
      <c r="N341" s="13">
        <v>26</v>
      </c>
      <c r="O341" s="13">
        <v>29</v>
      </c>
      <c r="P341" s="13">
        <v>20</v>
      </c>
      <c r="Q341" s="13">
        <v>32</v>
      </c>
      <c r="R341" s="13">
        <v>33</v>
      </c>
      <c r="S341" s="13">
        <v>20</v>
      </c>
      <c r="T341" s="13">
        <v>40</v>
      </c>
      <c r="U341" s="13">
        <v>28</v>
      </c>
      <c r="V341" s="13">
        <v>33</v>
      </c>
      <c r="W341" s="13">
        <v>33</v>
      </c>
      <c r="X341" s="13">
        <v>29</v>
      </c>
      <c r="Y341" s="13">
        <v>25</v>
      </c>
      <c r="Z341" s="13">
        <v>22</v>
      </c>
      <c r="AA341" s="13">
        <v>28</v>
      </c>
      <c r="AB341" s="13">
        <v>26</v>
      </c>
      <c r="AC341" s="13">
        <v>27</v>
      </c>
      <c r="AD341" s="13">
        <v>30</v>
      </c>
      <c r="AE341" s="2">
        <v>19</v>
      </c>
      <c r="AF341" s="13"/>
      <c r="AG341" s="13"/>
      <c r="AH341" s="13"/>
    </row>
    <row r="342" spans="1:34">
      <c r="A342" s="10" t="s">
        <v>453</v>
      </c>
      <c r="B342" s="11">
        <f>AVERAGE(E342:AE342)</f>
        <v>27.925925925925927</v>
      </c>
      <c r="C342" s="2">
        <f>MIN(E342:AE342)</f>
        <v>19</v>
      </c>
      <c r="D342" s="12">
        <f>MAX(E342:AE342)</f>
        <v>40</v>
      </c>
      <c r="E342" s="13">
        <v>20</v>
      </c>
      <c r="F342" s="13">
        <v>28</v>
      </c>
      <c r="G342" s="13">
        <v>22</v>
      </c>
      <c r="H342" s="13">
        <v>30</v>
      </c>
      <c r="I342" s="13">
        <v>29</v>
      </c>
      <c r="J342" s="13">
        <v>34</v>
      </c>
      <c r="K342" s="13">
        <v>27</v>
      </c>
      <c r="L342" s="13">
        <v>31</v>
      </c>
      <c r="M342" s="21">
        <v>33</v>
      </c>
      <c r="N342" s="13">
        <v>26</v>
      </c>
      <c r="O342" s="13">
        <v>29</v>
      </c>
      <c r="P342" s="13">
        <v>20</v>
      </c>
      <c r="Q342" s="13">
        <v>32</v>
      </c>
      <c r="R342" s="13">
        <v>33</v>
      </c>
      <c r="S342" s="13">
        <v>20</v>
      </c>
      <c r="T342" s="13">
        <v>40</v>
      </c>
      <c r="U342" s="13">
        <v>28</v>
      </c>
      <c r="V342" s="13">
        <v>33</v>
      </c>
      <c r="W342" s="13">
        <v>33</v>
      </c>
      <c r="X342" s="13">
        <v>29</v>
      </c>
      <c r="Y342" s="13">
        <v>25</v>
      </c>
      <c r="Z342" s="13">
        <v>22</v>
      </c>
      <c r="AA342" s="13">
        <v>28</v>
      </c>
      <c r="AB342" s="13">
        <v>26</v>
      </c>
      <c r="AC342" s="13">
        <v>27</v>
      </c>
      <c r="AD342" s="13">
        <v>30</v>
      </c>
      <c r="AE342" s="2">
        <v>19</v>
      </c>
      <c r="AF342" s="13"/>
      <c r="AG342" s="13"/>
      <c r="AH342" s="13"/>
    </row>
    <row r="343" spans="1:34">
      <c r="A343" s="10" t="s">
        <v>454</v>
      </c>
      <c r="B343" s="11">
        <f>AVERAGE(E343:AE343)</f>
        <v>27.925925925925927</v>
      </c>
      <c r="C343" s="2">
        <f>MIN(E343:AE343)</f>
        <v>19</v>
      </c>
      <c r="D343" s="12">
        <f>MAX(E343:AE343)</f>
        <v>40</v>
      </c>
      <c r="E343" s="13">
        <v>20</v>
      </c>
      <c r="F343" s="13">
        <v>28</v>
      </c>
      <c r="G343" s="13">
        <v>22</v>
      </c>
      <c r="H343" s="13">
        <v>30</v>
      </c>
      <c r="I343" s="13">
        <v>29</v>
      </c>
      <c r="J343" s="13">
        <v>34</v>
      </c>
      <c r="K343" s="13">
        <v>27</v>
      </c>
      <c r="L343" s="13">
        <v>31</v>
      </c>
      <c r="M343" s="13">
        <v>33</v>
      </c>
      <c r="N343" s="13">
        <v>26</v>
      </c>
      <c r="O343" s="13">
        <v>29</v>
      </c>
      <c r="P343" s="13">
        <v>20</v>
      </c>
      <c r="Q343" s="13">
        <v>32</v>
      </c>
      <c r="R343" s="13">
        <v>33</v>
      </c>
      <c r="S343" s="13">
        <v>20</v>
      </c>
      <c r="T343" s="13">
        <v>40</v>
      </c>
      <c r="U343" s="13">
        <v>28</v>
      </c>
      <c r="V343" s="13">
        <v>33</v>
      </c>
      <c r="W343" s="13">
        <v>33</v>
      </c>
      <c r="X343" s="13">
        <v>29</v>
      </c>
      <c r="Y343" s="13">
        <v>25</v>
      </c>
      <c r="Z343" s="13">
        <v>22</v>
      </c>
      <c r="AA343" s="13">
        <v>28</v>
      </c>
      <c r="AB343" s="13">
        <v>26</v>
      </c>
      <c r="AC343" s="13">
        <v>27</v>
      </c>
      <c r="AD343" s="13">
        <v>30</v>
      </c>
      <c r="AE343" s="2">
        <v>19</v>
      </c>
      <c r="AF343" s="13"/>
      <c r="AG343" s="13"/>
      <c r="AH343" s="13"/>
    </row>
    <row r="344" spans="1:34">
      <c r="A344" s="10" t="s">
        <v>455</v>
      </c>
      <c r="B344" s="11">
        <f>AVERAGE(E344:AE344)</f>
        <v>27.925925925925927</v>
      </c>
      <c r="C344" s="2">
        <f>MIN(E344:AE344)</f>
        <v>19</v>
      </c>
      <c r="D344" s="12">
        <f>MAX(E344:AE344)</f>
        <v>40</v>
      </c>
      <c r="E344" s="13">
        <v>20</v>
      </c>
      <c r="F344" s="13">
        <v>28</v>
      </c>
      <c r="G344" s="13">
        <v>22</v>
      </c>
      <c r="H344" s="13">
        <v>30</v>
      </c>
      <c r="I344" s="13">
        <v>29</v>
      </c>
      <c r="J344" s="13">
        <v>34</v>
      </c>
      <c r="K344" s="13">
        <v>27</v>
      </c>
      <c r="L344" s="13">
        <v>31</v>
      </c>
      <c r="M344" s="13">
        <v>33</v>
      </c>
      <c r="N344" s="13">
        <v>26</v>
      </c>
      <c r="O344" s="13">
        <v>29</v>
      </c>
      <c r="P344" s="13">
        <v>20</v>
      </c>
      <c r="Q344" s="13">
        <v>32</v>
      </c>
      <c r="R344" s="13">
        <v>33</v>
      </c>
      <c r="S344" s="13">
        <v>20</v>
      </c>
      <c r="T344" s="13">
        <v>40</v>
      </c>
      <c r="U344" s="13">
        <v>28</v>
      </c>
      <c r="V344" s="13">
        <v>33</v>
      </c>
      <c r="W344" s="13">
        <v>33</v>
      </c>
      <c r="X344" s="13">
        <v>29</v>
      </c>
      <c r="Y344" s="13">
        <v>25</v>
      </c>
      <c r="Z344" s="13">
        <v>22</v>
      </c>
      <c r="AA344" s="13">
        <v>28</v>
      </c>
      <c r="AB344" s="13">
        <v>26</v>
      </c>
      <c r="AC344" s="13">
        <v>27</v>
      </c>
      <c r="AD344" s="13">
        <v>30</v>
      </c>
      <c r="AE344" s="2">
        <v>19</v>
      </c>
      <c r="AF344" s="13"/>
      <c r="AG344" s="13"/>
      <c r="AH344" s="13"/>
    </row>
    <row r="345" spans="1:34">
      <c r="A345" s="10" t="s">
        <v>456</v>
      </c>
      <c r="B345" s="11">
        <f>AVERAGE(E345:AE345)</f>
        <v>27.925925925925927</v>
      </c>
      <c r="C345" s="2">
        <f>MIN(E345:AE345)</f>
        <v>19</v>
      </c>
      <c r="D345" s="12">
        <f>MAX(E345:AE345)</f>
        <v>40</v>
      </c>
      <c r="E345" s="13">
        <v>20</v>
      </c>
      <c r="F345" s="13">
        <v>28</v>
      </c>
      <c r="G345" s="13">
        <v>22</v>
      </c>
      <c r="H345" s="13">
        <v>30</v>
      </c>
      <c r="I345" s="13">
        <v>29</v>
      </c>
      <c r="J345" s="13">
        <v>34</v>
      </c>
      <c r="K345" s="13">
        <v>27</v>
      </c>
      <c r="L345" s="13">
        <v>31</v>
      </c>
      <c r="M345" s="13">
        <v>33</v>
      </c>
      <c r="N345" s="13">
        <v>26</v>
      </c>
      <c r="O345" s="13">
        <v>29</v>
      </c>
      <c r="P345" s="13">
        <v>20</v>
      </c>
      <c r="Q345" s="13">
        <v>32</v>
      </c>
      <c r="R345" s="13">
        <v>33</v>
      </c>
      <c r="S345" s="13">
        <v>20</v>
      </c>
      <c r="T345" s="13">
        <v>40</v>
      </c>
      <c r="U345" s="13">
        <v>28</v>
      </c>
      <c r="V345" s="13">
        <v>33</v>
      </c>
      <c r="W345" s="13">
        <v>33</v>
      </c>
      <c r="X345" s="13">
        <v>29</v>
      </c>
      <c r="Y345" s="13">
        <v>25</v>
      </c>
      <c r="Z345" s="13">
        <v>22</v>
      </c>
      <c r="AA345" s="13">
        <v>28</v>
      </c>
      <c r="AB345" s="13">
        <v>26</v>
      </c>
      <c r="AC345" s="13">
        <v>27</v>
      </c>
      <c r="AD345" s="13">
        <v>30</v>
      </c>
      <c r="AE345" s="2">
        <v>19</v>
      </c>
      <c r="AF345" s="13"/>
      <c r="AG345" s="13"/>
      <c r="AH345" s="13"/>
    </row>
    <row r="346" spans="1:34">
      <c r="A346" s="10" t="s">
        <v>457</v>
      </c>
      <c r="B346" s="11">
        <f>AVERAGE(E346:AE346)</f>
        <v>27.925925925925927</v>
      </c>
      <c r="C346" s="2">
        <f>MIN(E346:AE346)</f>
        <v>19</v>
      </c>
      <c r="D346" s="12">
        <f>MAX(E346:AE346)</f>
        <v>40</v>
      </c>
      <c r="E346" s="13">
        <v>20</v>
      </c>
      <c r="F346" s="13">
        <v>28</v>
      </c>
      <c r="G346" s="13">
        <v>22</v>
      </c>
      <c r="H346" s="13">
        <v>30</v>
      </c>
      <c r="I346" s="13">
        <v>29</v>
      </c>
      <c r="J346" s="13">
        <v>34</v>
      </c>
      <c r="K346" s="13">
        <v>27</v>
      </c>
      <c r="L346" s="13">
        <v>31</v>
      </c>
      <c r="M346" s="13">
        <v>33</v>
      </c>
      <c r="N346" s="13">
        <v>26</v>
      </c>
      <c r="O346" s="13">
        <v>29</v>
      </c>
      <c r="P346" s="13">
        <v>20</v>
      </c>
      <c r="Q346" s="13">
        <v>32</v>
      </c>
      <c r="R346" s="13">
        <v>33</v>
      </c>
      <c r="S346" s="13">
        <v>20</v>
      </c>
      <c r="T346" s="13">
        <v>40</v>
      </c>
      <c r="U346" s="13">
        <v>28</v>
      </c>
      <c r="V346" s="13">
        <v>33</v>
      </c>
      <c r="W346" s="13">
        <v>33</v>
      </c>
      <c r="X346" s="13">
        <v>29</v>
      </c>
      <c r="Y346" s="13">
        <v>25</v>
      </c>
      <c r="Z346" s="13">
        <v>22</v>
      </c>
      <c r="AA346" s="13">
        <v>28</v>
      </c>
      <c r="AB346" s="13">
        <v>26</v>
      </c>
      <c r="AC346" s="13">
        <v>27</v>
      </c>
      <c r="AD346" s="13">
        <v>30</v>
      </c>
      <c r="AE346" s="2">
        <v>19</v>
      </c>
      <c r="AF346" s="13"/>
      <c r="AG346" s="13"/>
      <c r="AH346" s="13"/>
    </row>
    <row r="347" spans="1:34">
      <c r="A347" s="10" t="s">
        <v>458</v>
      </c>
      <c r="B347" s="11">
        <f>AVERAGE(E347:AE347)</f>
        <v>27.925925925925927</v>
      </c>
      <c r="C347" s="2">
        <f>MIN(E347:AE347)</f>
        <v>19</v>
      </c>
      <c r="D347" s="12">
        <f>MAX(E347:AE347)</f>
        <v>40</v>
      </c>
      <c r="E347" s="13">
        <v>20</v>
      </c>
      <c r="F347" s="13">
        <v>28</v>
      </c>
      <c r="G347" s="13">
        <v>22</v>
      </c>
      <c r="H347" s="13">
        <v>30</v>
      </c>
      <c r="I347" s="13">
        <v>29</v>
      </c>
      <c r="J347" s="13">
        <v>34</v>
      </c>
      <c r="K347" s="13">
        <v>27</v>
      </c>
      <c r="L347" s="13">
        <v>31</v>
      </c>
      <c r="M347" s="13">
        <v>33</v>
      </c>
      <c r="N347" s="13">
        <v>26</v>
      </c>
      <c r="O347" s="13">
        <v>29</v>
      </c>
      <c r="P347" s="13">
        <v>20</v>
      </c>
      <c r="Q347" s="13">
        <v>32</v>
      </c>
      <c r="R347" s="13">
        <v>33</v>
      </c>
      <c r="S347" s="13">
        <v>20</v>
      </c>
      <c r="T347" s="13">
        <v>40</v>
      </c>
      <c r="U347" s="13">
        <v>28</v>
      </c>
      <c r="V347" s="13">
        <v>33</v>
      </c>
      <c r="W347" s="13">
        <v>33</v>
      </c>
      <c r="X347" s="13">
        <v>29</v>
      </c>
      <c r="Y347" s="13">
        <v>25</v>
      </c>
      <c r="Z347" s="13">
        <v>22</v>
      </c>
      <c r="AA347" s="13">
        <v>28</v>
      </c>
      <c r="AB347" s="13">
        <v>26</v>
      </c>
      <c r="AC347" s="13">
        <v>27</v>
      </c>
      <c r="AD347" s="13">
        <v>30</v>
      </c>
      <c r="AE347" s="2">
        <v>19</v>
      </c>
      <c r="AF347" s="13"/>
      <c r="AG347" s="13"/>
      <c r="AH347" s="13"/>
    </row>
    <row r="348" spans="1:34">
      <c r="A348" s="10" t="s">
        <v>459</v>
      </c>
      <c r="B348" s="11">
        <f>AVERAGE(E348:AE348)</f>
        <v>27.925925925925927</v>
      </c>
      <c r="C348" s="2">
        <f>MIN(E348:AE348)</f>
        <v>19</v>
      </c>
      <c r="D348" s="12">
        <f>MAX(E348:AE348)</f>
        <v>40</v>
      </c>
      <c r="E348" s="13">
        <v>20</v>
      </c>
      <c r="F348" s="13">
        <v>28</v>
      </c>
      <c r="G348" s="13">
        <v>22</v>
      </c>
      <c r="H348" s="13">
        <v>30</v>
      </c>
      <c r="I348" s="13">
        <v>29</v>
      </c>
      <c r="J348" s="13">
        <v>34</v>
      </c>
      <c r="K348" s="13">
        <v>27</v>
      </c>
      <c r="L348" s="13">
        <v>31</v>
      </c>
      <c r="M348" s="13">
        <v>33</v>
      </c>
      <c r="N348" s="13">
        <v>26</v>
      </c>
      <c r="O348" s="13">
        <v>29</v>
      </c>
      <c r="P348" s="13">
        <v>20</v>
      </c>
      <c r="Q348" s="13">
        <v>32</v>
      </c>
      <c r="R348" s="13">
        <v>33</v>
      </c>
      <c r="S348" s="13">
        <v>20</v>
      </c>
      <c r="T348" s="13">
        <v>40</v>
      </c>
      <c r="U348" s="13">
        <v>28</v>
      </c>
      <c r="V348" s="13">
        <v>33</v>
      </c>
      <c r="W348" s="13">
        <v>33</v>
      </c>
      <c r="X348" s="13">
        <v>29</v>
      </c>
      <c r="Y348" s="13">
        <v>25</v>
      </c>
      <c r="Z348" s="13">
        <v>22</v>
      </c>
      <c r="AA348" s="13">
        <v>28</v>
      </c>
      <c r="AB348" s="13">
        <v>26</v>
      </c>
      <c r="AC348" s="13">
        <v>27</v>
      </c>
      <c r="AD348" s="13">
        <v>30</v>
      </c>
      <c r="AE348" s="2">
        <v>19</v>
      </c>
      <c r="AF348" s="13"/>
      <c r="AG348" s="13"/>
      <c r="AH348" s="13"/>
    </row>
    <row r="349" spans="1:34">
      <c r="A349" s="10" t="s">
        <v>460</v>
      </c>
      <c r="B349" s="11">
        <f>AVERAGE(E349:AE349)</f>
        <v>27.925925925925927</v>
      </c>
      <c r="C349" s="2">
        <f>MIN(E349:AE349)</f>
        <v>19</v>
      </c>
      <c r="D349" s="12">
        <f>MAX(E349:AE349)</f>
        <v>40</v>
      </c>
      <c r="E349" s="13">
        <v>20</v>
      </c>
      <c r="F349" s="13">
        <v>28</v>
      </c>
      <c r="G349" s="13">
        <v>22</v>
      </c>
      <c r="H349" s="13">
        <v>30</v>
      </c>
      <c r="I349" s="13">
        <v>29</v>
      </c>
      <c r="J349" s="13">
        <v>34</v>
      </c>
      <c r="K349" s="13">
        <v>27</v>
      </c>
      <c r="L349" s="13">
        <v>31</v>
      </c>
      <c r="M349" s="13">
        <v>33</v>
      </c>
      <c r="N349" s="13">
        <v>26</v>
      </c>
      <c r="O349" s="13">
        <v>29</v>
      </c>
      <c r="P349" s="13">
        <v>20</v>
      </c>
      <c r="Q349" s="13">
        <v>32</v>
      </c>
      <c r="R349" s="13">
        <v>33</v>
      </c>
      <c r="S349" s="13">
        <v>20</v>
      </c>
      <c r="T349" s="13">
        <v>40</v>
      </c>
      <c r="U349" s="13">
        <v>28</v>
      </c>
      <c r="V349" s="13">
        <v>33</v>
      </c>
      <c r="W349" s="13">
        <v>33</v>
      </c>
      <c r="X349" s="13">
        <v>29</v>
      </c>
      <c r="Y349" s="13">
        <v>25</v>
      </c>
      <c r="Z349" s="13">
        <v>22</v>
      </c>
      <c r="AA349" s="13">
        <v>28</v>
      </c>
      <c r="AB349" s="13">
        <v>26</v>
      </c>
      <c r="AC349" s="13">
        <v>27</v>
      </c>
      <c r="AD349" s="13">
        <v>30</v>
      </c>
      <c r="AE349" s="2">
        <v>19</v>
      </c>
      <c r="AF349" s="13"/>
      <c r="AG349" s="13"/>
      <c r="AH349" s="13"/>
    </row>
    <row r="350" spans="1:34">
      <c r="A350" s="10" t="s">
        <v>461</v>
      </c>
      <c r="B350" s="11">
        <f>AVERAGE(E350:AE350)</f>
        <v>27.925925925925927</v>
      </c>
      <c r="C350" s="2">
        <f>MIN(E350:AE350)</f>
        <v>19</v>
      </c>
      <c r="D350" s="12">
        <f>MAX(E350:AE350)</f>
        <v>40</v>
      </c>
      <c r="E350" s="13">
        <v>20</v>
      </c>
      <c r="F350" s="13">
        <v>28</v>
      </c>
      <c r="G350" s="13">
        <v>22</v>
      </c>
      <c r="H350" s="13">
        <v>30</v>
      </c>
      <c r="I350" s="13">
        <v>29</v>
      </c>
      <c r="J350" s="13">
        <v>34</v>
      </c>
      <c r="K350" s="13">
        <v>27</v>
      </c>
      <c r="L350" s="13">
        <v>31</v>
      </c>
      <c r="M350" s="13">
        <v>33</v>
      </c>
      <c r="N350" s="13">
        <v>26</v>
      </c>
      <c r="O350" s="13">
        <v>29</v>
      </c>
      <c r="P350" s="13">
        <v>20</v>
      </c>
      <c r="Q350" s="13">
        <v>32</v>
      </c>
      <c r="R350" s="13">
        <v>33</v>
      </c>
      <c r="S350" s="13">
        <v>20</v>
      </c>
      <c r="T350" s="13">
        <v>40</v>
      </c>
      <c r="U350" s="13">
        <v>28</v>
      </c>
      <c r="V350" s="13">
        <v>33</v>
      </c>
      <c r="W350" s="13">
        <v>33</v>
      </c>
      <c r="X350" s="13">
        <v>29</v>
      </c>
      <c r="Y350" s="13">
        <v>25</v>
      </c>
      <c r="Z350" s="13">
        <v>22</v>
      </c>
      <c r="AA350" s="13">
        <v>28</v>
      </c>
      <c r="AB350" s="13">
        <v>26</v>
      </c>
      <c r="AC350" s="13">
        <v>27</v>
      </c>
      <c r="AD350" s="13">
        <v>30</v>
      </c>
      <c r="AE350" s="2">
        <v>19</v>
      </c>
      <c r="AF350" s="13"/>
      <c r="AG350" s="13"/>
      <c r="AH350" s="13"/>
    </row>
    <row r="351" spans="1:34">
      <c r="A351" s="10" t="s">
        <v>462</v>
      </c>
      <c r="B351" s="11">
        <f>AVERAGE(E351:AE351)</f>
        <v>27.925925925925927</v>
      </c>
      <c r="C351" s="2">
        <f>MIN(E351:AE351)</f>
        <v>19</v>
      </c>
      <c r="D351" s="12">
        <f>MAX(E351:AE351)</f>
        <v>40</v>
      </c>
      <c r="E351" s="13">
        <v>20</v>
      </c>
      <c r="F351" s="13">
        <v>28</v>
      </c>
      <c r="G351" s="13">
        <v>22</v>
      </c>
      <c r="H351" s="13">
        <v>30</v>
      </c>
      <c r="I351" s="13">
        <v>29</v>
      </c>
      <c r="J351" s="13">
        <v>34</v>
      </c>
      <c r="K351" s="13">
        <v>27</v>
      </c>
      <c r="L351" s="13">
        <v>31</v>
      </c>
      <c r="M351" s="13">
        <v>33</v>
      </c>
      <c r="N351" s="13">
        <v>26</v>
      </c>
      <c r="O351" s="13">
        <v>29</v>
      </c>
      <c r="P351" s="13">
        <v>20</v>
      </c>
      <c r="Q351" s="13">
        <v>32</v>
      </c>
      <c r="R351" s="13">
        <v>33</v>
      </c>
      <c r="S351" s="13">
        <v>20</v>
      </c>
      <c r="T351" s="13">
        <v>40</v>
      </c>
      <c r="U351" s="13">
        <v>28</v>
      </c>
      <c r="V351" s="13">
        <v>33</v>
      </c>
      <c r="W351" s="13">
        <v>33</v>
      </c>
      <c r="X351" s="13">
        <v>29</v>
      </c>
      <c r="Y351" s="13">
        <v>25</v>
      </c>
      <c r="Z351" s="13">
        <v>22</v>
      </c>
      <c r="AA351" s="13">
        <v>28</v>
      </c>
      <c r="AB351" s="13">
        <v>26</v>
      </c>
      <c r="AC351" s="13">
        <v>27</v>
      </c>
      <c r="AD351" s="13">
        <v>30</v>
      </c>
      <c r="AE351" s="2">
        <v>19</v>
      </c>
      <c r="AF351" s="13"/>
      <c r="AG351" s="13"/>
      <c r="AH351" s="13"/>
    </row>
    <row r="352" spans="1:34">
      <c r="A352" s="10" t="s">
        <v>463</v>
      </c>
      <c r="B352" s="11">
        <f>AVERAGE(E352:AE352)</f>
        <v>27.925925925925927</v>
      </c>
      <c r="C352" s="2">
        <f>MIN(E352:AE352)</f>
        <v>19</v>
      </c>
      <c r="D352" s="12">
        <f>MAX(E352:AE352)</f>
        <v>40</v>
      </c>
      <c r="E352" s="13">
        <v>20</v>
      </c>
      <c r="F352" s="13">
        <v>28</v>
      </c>
      <c r="G352" s="13">
        <v>22</v>
      </c>
      <c r="H352" s="13">
        <v>30</v>
      </c>
      <c r="I352" s="13">
        <v>29</v>
      </c>
      <c r="J352" s="13">
        <v>34</v>
      </c>
      <c r="K352" s="13">
        <v>27</v>
      </c>
      <c r="L352" s="13">
        <v>31</v>
      </c>
      <c r="M352" s="13">
        <v>33</v>
      </c>
      <c r="N352" s="13">
        <v>26</v>
      </c>
      <c r="O352" s="13">
        <v>29</v>
      </c>
      <c r="P352" s="13">
        <v>20</v>
      </c>
      <c r="Q352" s="13">
        <v>32</v>
      </c>
      <c r="R352" s="13">
        <v>33</v>
      </c>
      <c r="S352" s="13">
        <v>20</v>
      </c>
      <c r="T352" s="13">
        <v>40</v>
      </c>
      <c r="U352" s="13">
        <v>28</v>
      </c>
      <c r="V352" s="13">
        <v>33</v>
      </c>
      <c r="W352" s="13">
        <v>33</v>
      </c>
      <c r="X352" s="13">
        <v>29</v>
      </c>
      <c r="Y352" s="13">
        <v>25</v>
      </c>
      <c r="Z352" s="13">
        <v>22</v>
      </c>
      <c r="AA352" s="13">
        <v>28</v>
      </c>
      <c r="AB352" s="13">
        <v>26</v>
      </c>
      <c r="AC352" s="13">
        <v>27</v>
      </c>
      <c r="AD352" s="13">
        <v>30</v>
      </c>
      <c r="AE352" s="2">
        <v>19</v>
      </c>
      <c r="AF352" s="13"/>
      <c r="AG352" s="13"/>
      <c r="AH352" s="13"/>
    </row>
    <row r="353" spans="1:34">
      <c r="A353" s="10" t="s">
        <v>464</v>
      </c>
      <c r="B353" s="11">
        <f>AVERAGE(E353:AE353)</f>
        <v>27.925925925925927</v>
      </c>
      <c r="C353" s="2">
        <f>MIN(E353:AE353)</f>
        <v>19</v>
      </c>
      <c r="D353" s="12">
        <f>MAX(E353:AE353)</f>
        <v>40</v>
      </c>
      <c r="E353" s="13">
        <v>20</v>
      </c>
      <c r="F353" s="13">
        <v>28</v>
      </c>
      <c r="G353" s="13">
        <v>22</v>
      </c>
      <c r="H353" s="13">
        <v>30</v>
      </c>
      <c r="I353" s="13">
        <v>29</v>
      </c>
      <c r="J353" s="13">
        <v>34</v>
      </c>
      <c r="K353" s="13">
        <v>27</v>
      </c>
      <c r="L353" s="13">
        <v>31</v>
      </c>
      <c r="M353" s="13">
        <v>33</v>
      </c>
      <c r="N353" s="13">
        <v>26</v>
      </c>
      <c r="O353" s="13">
        <v>29</v>
      </c>
      <c r="P353" s="13">
        <v>20</v>
      </c>
      <c r="Q353" s="13">
        <v>32</v>
      </c>
      <c r="R353" s="13">
        <v>33</v>
      </c>
      <c r="S353" s="13">
        <v>20</v>
      </c>
      <c r="T353" s="13">
        <v>40</v>
      </c>
      <c r="U353" s="13">
        <v>28</v>
      </c>
      <c r="V353" s="13">
        <v>33</v>
      </c>
      <c r="W353" s="13">
        <v>33</v>
      </c>
      <c r="X353" s="13">
        <v>29</v>
      </c>
      <c r="Y353" s="13">
        <v>25</v>
      </c>
      <c r="Z353" s="13">
        <v>22</v>
      </c>
      <c r="AA353" s="13">
        <v>28</v>
      </c>
      <c r="AB353" s="13">
        <v>26</v>
      </c>
      <c r="AC353" s="13">
        <v>27</v>
      </c>
      <c r="AD353" s="13">
        <v>30</v>
      </c>
      <c r="AE353" s="2">
        <v>19</v>
      </c>
      <c r="AF353" s="13"/>
      <c r="AG353" s="13"/>
      <c r="AH353" s="13"/>
    </row>
    <row r="354" spans="1:34">
      <c r="A354" s="10" t="s">
        <v>465</v>
      </c>
      <c r="B354" s="11">
        <f>AVERAGE(E354:AE354)</f>
        <v>27.962962962962962</v>
      </c>
      <c r="C354" s="2">
        <f>MIN(E354:AE354)</f>
        <v>19</v>
      </c>
      <c r="D354" s="12">
        <f>MAX(E354:AE354)</f>
        <v>40</v>
      </c>
      <c r="E354" s="13">
        <v>20</v>
      </c>
      <c r="F354" s="13">
        <v>28</v>
      </c>
      <c r="G354" s="13">
        <v>22</v>
      </c>
      <c r="H354" s="13">
        <v>30</v>
      </c>
      <c r="I354" s="47">
        <v>30</v>
      </c>
      <c r="J354" s="13">
        <v>34</v>
      </c>
      <c r="K354" s="13">
        <v>27</v>
      </c>
      <c r="L354" s="13">
        <v>31</v>
      </c>
      <c r="M354" s="13">
        <v>33</v>
      </c>
      <c r="N354" s="13">
        <v>26</v>
      </c>
      <c r="O354" s="13">
        <v>29</v>
      </c>
      <c r="P354" s="13">
        <v>20</v>
      </c>
      <c r="Q354" s="13">
        <v>32</v>
      </c>
      <c r="R354" s="13">
        <v>33</v>
      </c>
      <c r="S354" s="13">
        <v>20</v>
      </c>
      <c r="T354" s="13">
        <v>40</v>
      </c>
      <c r="U354" s="13">
        <v>28</v>
      </c>
      <c r="V354" s="13">
        <v>33</v>
      </c>
      <c r="W354" s="13">
        <v>33</v>
      </c>
      <c r="X354" s="13">
        <v>29</v>
      </c>
      <c r="Y354" s="13">
        <v>25</v>
      </c>
      <c r="Z354" s="13">
        <v>22</v>
      </c>
      <c r="AA354" s="13">
        <v>28</v>
      </c>
      <c r="AB354" s="13">
        <v>26</v>
      </c>
      <c r="AC354" s="13">
        <v>27</v>
      </c>
      <c r="AD354" s="13">
        <v>30</v>
      </c>
      <c r="AE354" s="2">
        <v>19</v>
      </c>
      <c r="AF354" s="13"/>
      <c r="AG354" s="13"/>
      <c r="AH354" s="13"/>
    </row>
    <row r="355" spans="1:34">
      <c r="A355" s="10" t="s">
        <v>466</v>
      </c>
      <c r="B355" s="11">
        <f>AVERAGE(E355:AE355)</f>
        <v>28</v>
      </c>
      <c r="C355" s="2">
        <f>MIN(E355:AE355)</f>
        <v>19</v>
      </c>
      <c r="D355" s="12">
        <f>MAX(E355:AE355)</f>
        <v>40</v>
      </c>
      <c r="E355" s="13">
        <v>20</v>
      </c>
      <c r="F355" s="13">
        <v>28</v>
      </c>
      <c r="G355" s="13">
        <v>22</v>
      </c>
      <c r="H355" s="13">
        <v>30</v>
      </c>
      <c r="I355" s="13">
        <v>30</v>
      </c>
      <c r="J355" s="13">
        <v>34</v>
      </c>
      <c r="K355" s="21">
        <v>28</v>
      </c>
      <c r="L355" s="13">
        <v>31</v>
      </c>
      <c r="M355" s="13">
        <v>33</v>
      </c>
      <c r="N355" s="13">
        <v>26</v>
      </c>
      <c r="O355" s="13">
        <v>29</v>
      </c>
      <c r="P355" s="13">
        <v>20</v>
      </c>
      <c r="Q355" s="13">
        <v>32</v>
      </c>
      <c r="R355" s="13">
        <v>33</v>
      </c>
      <c r="S355" s="13">
        <v>20</v>
      </c>
      <c r="T355" s="13">
        <v>40</v>
      </c>
      <c r="U355" s="13">
        <v>28</v>
      </c>
      <c r="V355" s="13">
        <v>33</v>
      </c>
      <c r="W355" s="13">
        <v>33</v>
      </c>
      <c r="X355" s="13">
        <v>29</v>
      </c>
      <c r="Y355" s="13">
        <v>25</v>
      </c>
      <c r="Z355" s="13">
        <v>22</v>
      </c>
      <c r="AA355" s="13">
        <v>28</v>
      </c>
      <c r="AB355" s="13">
        <v>26</v>
      </c>
      <c r="AC355" s="13">
        <v>27</v>
      </c>
      <c r="AD355" s="13">
        <v>30</v>
      </c>
      <c r="AE355" s="2">
        <v>19</v>
      </c>
      <c r="AF355" s="13"/>
      <c r="AG355" s="13"/>
      <c r="AH355" s="13"/>
    </row>
    <row r="356" spans="1:34">
      <c r="A356" s="10" t="s">
        <v>467</v>
      </c>
      <c r="B356" s="11">
        <f>AVERAGE(E356:AE356)</f>
        <v>28</v>
      </c>
      <c r="C356" s="2">
        <f>MIN(E356:AE356)</f>
        <v>19</v>
      </c>
      <c r="D356" s="12">
        <f>MAX(E356:AE356)</f>
        <v>40</v>
      </c>
      <c r="E356" s="13">
        <v>20</v>
      </c>
      <c r="F356" s="13">
        <v>28</v>
      </c>
      <c r="G356" s="13">
        <v>22</v>
      </c>
      <c r="H356" s="13">
        <v>30</v>
      </c>
      <c r="I356" s="13">
        <v>30</v>
      </c>
      <c r="J356" s="13">
        <v>34</v>
      </c>
      <c r="K356" s="13">
        <v>28</v>
      </c>
      <c r="L356" s="13">
        <v>31</v>
      </c>
      <c r="M356" s="13">
        <v>33</v>
      </c>
      <c r="N356" s="13">
        <v>26</v>
      </c>
      <c r="O356" s="13">
        <v>29</v>
      </c>
      <c r="P356" s="13">
        <v>20</v>
      </c>
      <c r="Q356" s="13">
        <v>32</v>
      </c>
      <c r="R356" s="13">
        <v>33</v>
      </c>
      <c r="S356" s="13">
        <v>20</v>
      </c>
      <c r="T356" s="13">
        <v>40</v>
      </c>
      <c r="U356" s="13">
        <v>28</v>
      </c>
      <c r="V356" s="13">
        <v>33</v>
      </c>
      <c r="W356" s="13">
        <v>33</v>
      </c>
      <c r="X356" s="13">
        <v>29</v>
      </c>
      <c r="Y356" s="13">
        <v>25</v>
      </c>
      <c r="Z356" s="13">
        <v>22</v>
      </c>
      <c r="AA356" s="13">
        <v>28</v>
      </c>
      <c r="AB356" s="13">
        <v>26</v>
      </c>
      <c r="AC356" s="13">
        <v>27</v>
      </c>
      <c r="AD356" s="13">
        <v>30</v>
      </c>
      <c r="AE356" s="2">
        <v>19</v>
      </c>
      <c r="AF356" s="13"/>
      <c r="AG356" s="13"/>
      <c r="AH356" s="13"/>
    </row>
    <row r="357" spans="1:34">
      <c r="A357" s="10" t="s">
        <v>468</v>
      </c>
      <c r="B357" s="11">
        <f>AVERAGE(E357:AE357)</f>
        <v>28</v>
      </c>
      <c r="C357" s="2">
        <f>MIN(E357:AE357)</f>
        <v>19</v>
      </c>
      <c r="D357" s="12">
        <f>MAX(E357:AE357)</f>
        <v>40</v>
      </c>
      <c r="E357" s="13">
        <v>20</v>
      </c>
      <c r="F357" s="13">
        <v>28</v>
      </c>
      <c r="G357" s="13">
        <v>22</v>
      </c>
      <c r="H357" s="13">
        <v>30</v>
      </c>
      <c r="I357" s="13">
        <v>30</v>
      </c>
      <c r="J357" s="13">
        <v>34</v>
      </c>
      <c r="K357" s="13">
        <v>28</v>
      </c>
      <c r="L357" s="13">
        <v>31</v>
      </c>
      <c r="M357" s="13">
        <v>33</v>
      </c>
      <c r="N357" s="13">
        <v>26</v>
      </c>
      <c r="O357" s="13">
        <v>29</v>
      </c>
      <c r="P357" s="13">
        <v>20</v>
      </c>
      <c r="Q357" s="13">
        <v>32</v>
      </c>
      <c r="R357" s="13">
        <v>33</v>
      </c>
      <c r="S357" s="13">
        <v>20</v>
      </c>
      <c r="T357" s="13">
        <v>40</v>
      </c>
      <c r="U357" s="13">
        <v>28</v>
      </c>
      <c r="V357" s="13">
        <v>33</v>
      </c>
      <c r="W357" s="13">
        <v>33</v>
      </c>
      <c r="X357" s="13">
        <v>29</v>
      </c>
      <c r="Y357" s="13">
        <v>25</v>
      </c>
      <c r="Z357" s="13">
        <v>22</v>
      </c>
      <c r="AA357" s="13">
        <v>28</v>
      </c>
      <c r="AB357" s="13">
        <v>26</v>
      </c>
      <c r="AC357" s="13">
        <v>27</v>
      </c>
      <c r="AD357" s="13">
        <v>30</v>
      </c>
      <c r="AE357" s="2">
        <v>19</v>
      </c>
      <c r="AF357" s="13"/>
      <c r="AG357" s="13"/>
      <c r="AH357" s="13"/>
    </row>
    <row r="358" spans="1:34">
      <c r="A358" s="10" t="s">
        <v>469</v>
      </c>
      <c r="B358" s="11">
        <f>AVERAGE(E358:AE358)</f>
        <v>28</v>
      </c>
      <c r="C358" s="2">
        <f>MIN(E358:AE358)</f>
        <v>19</v>
      </c>
      <c r="D358" s="12">
        <f>MAX(E358:AE358)</f>
        <v>40</v>
      </c>
      <c r="E358" s="13">
        <v>20</v>
      </c>
      <c r="F358" s="13">
        <v>28</v>
      </c>
      <c r="G358" s="13">
        <v>22</v>
      </c>
      <c r="H358" s="13">
        <v>30</v>
      </c>
      <c r="I358" s="13">
        <v>30</v>
      </c>
      <c r="J358" s="13">
        <v>34</v>
      </c>
      <c r="K358" s="13">
        <v>28</v>
      </c>
      <c r="L358" s="13">
        <v>31</v>
      </c>
      <c r="M358" s="13">
        <v>33</v>
      </c>
      <c r="N358" s="13">
        <v>26</v>
      </c>
      <c r="O358" s="13">
        <v>29</v>
      </c>
      <c r="P358" s="13">
        <v>20</v>
      </c>
      <c r="Q358" s="13">
        <v>32</v>
      </c>
      <c r="R358" s="13">
        <v>33</v>
      </c>
      <c r="S358" s="13">
        <v>20</v>
      </c>
      <c r="T358" s="13">
        <v>40</v>
      </c>
      <c r="U358" s="13">
        <v>28</v>
      </c>
      <c r="V358" s="13">
        <v>33</v>
      </c>
      <c r="W358" s="13">
        <v>33</v>
      </c>
      <c r="X358" s="13">
        <v>29</v>
      </c>
      <c r="Y358" s="13">
        <v>25</v>
      </c>
      <c r="Z358" s="13">
        <v>22</v>
      </c>
      <c r="AA358" s="13">
        <v>28</v>
      </c>
      <c r="AB358" s="13">
        <v>26</v>
      </c>
      <c r="AC358" s="13">
        <v>27</v>
      </c>
      <c r="AD358" s="13">
        <v>30</v>
      </c>
      <c r="AE358" s="2">
        <v>19</v>
      </c>
      <c r="AF358" s="13"/>
      <c r="AG358" s="13"/>
      <c r="AH358" s="13"/>
    </row>
    <row r="359" spans="1:34">
      <c r="A359" s="10" t="s">
        <v>470</v>
      </c>
      <c r="B359" s="11">
        <f>AVERAGE(E359:AE359)</f>
        <v>28</v>
      </c>
      <c r="C359" s="2">
        <f>MIN(E359:AE359)</f>
        <v>19</v>
      </c>
      <c r="D359" s="12">
        <f>MAX(E359:AE359)</f>
        <v>40</v>
      </c>
      <c r="E359" s="13">
        <v>20</v>
      </c>
      <c r="F359" s="13">
        <v>28</v>
      </c>
      <c r="G359" s="13">
        <v>22</v>
      </c>
      <c r="H359" s="13">
        <v>30</v>
      </c>
      <c r="I359" s="13">
        <v>30</v>
      </c>
      <c r="J359" s="13">
        <v>34</v>
      </c>
      <c r="K359" s="13">
        <v>28</v>
      </c>
      <c r="L359" s="13">
        <v>31</v>
      </c>
      <c r="M359" s="13">
        <v>33</v>
      </c>
      <c r="N359" s="13">
        <v>26</v>
      </c>
      <c r="O359" s="13">
        <v>29</v>
      </c>
      <c r="P359" s="13">
        <v>20</v>
      </c>
      <c r="Q359" s="13">
        <v>32</v>
      </c>
      <c r="R359" s="13">
        <v>33</v>
      </c>
      <c r="S359" s="13">
        <v>20</v>
      </c>
      <c r="T359" s="13">
        <v>40</v>
      </c>
      <c r="U359" s="13">
        <v>28</v>
      </c>
      <c r="V359" s="13">
        <v>33</v>
      </c>
      <c r="W359" s="13">
        <v>33</v>
      </c>
      <c r="X359" s="13">
        <v>29</v>
      </c>
      <c r="Y359" s="13">
        <v>25</v>
      </c>
      <c r="Z359" s="13">
        <v>22</v>
      </c>
      <c r="AA359" s="13">
        <v>28</v>
      </c>
      <c r="AB359" s="13">
        <v>26</v>
      </c>
      <c r="AC359" s="13">
        <v>27</v>
      </c>
      <c r="AD359" s="13">
        <v>30</v>
      </c>
      <c r="AE359" s="2">
        <v>19</v>
      </c>
      <c r="AF359" s="13"/>
      <c r="AG359" s="13"/>
      <c r="AH359" s="13"/>
    </row>
    <row r="360" spans="1:34">
      <c r="A360" s="10" t="s">
        <v>471</v>
      </c>
      <c r="B360" s="11">
        <f>AVERAGE(E360:AE360)</f>
        <v>28.037037037037038</v>
      </c>
      <c r="C360" s="2">
        <f>MIN(E360:AE360)</f>
        <v>19</v>
      </c>
      <c r="D360" s="12">
        <f>MAX(E360:AE360)</f>
        <v>40</v>
      </c>
      <c r="E360" s="13">
        <v>20</v>
      </c>
      <c r="F360" s="13">
        <v>28</v>
      </c>
      <c r="G360" s="13">
        <v>22</v>
      </c>
      <c r="H360" s="13">
        <v>30</v>
      </c>
      <c r="I360" s="13">
        <v>30</v>
      </c>
      <c r="J360" s="13">
        <v>34</v>
      </c>
      <c r="K360" s="13">
        <v>28</v>
      </c>
      <c r="L360" s="13">
        <v>31</v>
      </c>
      <c r="M360" s="13">
        <v>33</v>
      </c>
      <c r="N360" s="13">
        <v>26</v>
      </c>
      <c r="O360" s="13">
        <v>29</v>
      </c>
      <c r="P360" s="13">
        <v>20</v>
      </c>
      <c r="Q360" s="13">
        <v>32</v>
      </c>
      <c r="R360" s="13">
        <v>33</v>
      </c>
      <c r="S360" s="13">
        <v>20</v>
      </c>
      <c r="T360" s="13">
        <v>40</v>
      </c>
      <c r="U360" s="13">
        <v>28</v>
      </c>
      <c r="V360" s="13">
        <v>33</v>
      </c>
      <c r="W360" s="13">
        <v>33</v>
      </c>
      <c r="X360" s="13">
        <v>29</v>
      </c>
      <c r="Y360" s="13">
        <v>25</v>
      </c>
      <c r="Z360" s="13">
        <v>22</v>
      </c>
      <c r="AA360" s="13">
        <v>28</v>
      </c>
      <c r="AB360" s="13">
        <v>26</v>
      </c>
      <c r="AC360" s="13">
        <v>28</v>
      </c>
      <c r="AD360" s="13">
        <v>30</v>
      </c>
      <c r="AE360" s="2">
        <v>19</v>
      </c>
      <c r="AF360" s="13"/>
      <c r="AG360" s="13"/>
      <c r="AH360" s="13"/>
    </row>
    <row r="361" spans="1:34">
      <c r="A361" s="10" t="s">
        <v>472</v>
      </c>
      <c r="B361" s="11">
        <f>AVERAGE(E361:AE361)</f>
        <v>28.074074074074073</v>
      </c>
      <c r="C361" s="2">
        <f>MIN(E361:AE361)</f>
        <v>19</v>
      </c>
      <c r="D361" s="12">
        <f>MAX(E361:AE361)</f>
        <v>40</v>
      </c>
      <c r="E361" s="13">
        <v>20</v>
      </c>
      <c r="F361" s="13">
        <v>28</v>
      </c>
      <c r="G361" s="13">
        <v>22</v>
      </c>
      <c r="H361" s="13">
        <v>30</v>
      </c>
      <c r="I361" s="13">
        <v>30</v>
      </c>
      <c r="J361" s="13">
        <v>34</v>
      </c>
      <c r="K361" s="13">
        <v>28</v>
      </c>
      <c r="L361" s="13">
        <v>31</v>
      </c>
      <c r="M361" s="13">
        <v>33</v>
      </c>
      <c r="N361" s="13">
        <v>26</v>
      </c>
      <c r="O361" s="13">
        <v>29</v>
      </c>
      <c r="P361" s="13">
        <v>20</v>
      </c>
      <c r="Q361" s="13">
        <v>32</v>
      </c>
      <c r="R361" s="13">
        <v>33</v>
      </c>
      <c r="S361" s="13">
        <v>20</v>
      </c>
      <c r="T361" s="13">
        <v>40</v>
      </c>
      <c r="U361" s="13">
        <v>28</v>
      </c>
      <c r="V361" s="13">
        <v>33</v>
      </c>
      <c r="W361" s="13">
        <v>33</v>
      </c>
      <c r="X361" s="13">
        <v>29</v>
      </c>
      <c r="Y361" s="13">
        <v>25</v>
      </c>
      <c r="Z361" s="13">
        <v>22</v>
      </c>
      <c r="AA361" s="13">
        <v>28</v>
      </c>
      <c r="AB361" s="13">
        <v>26</v>
      </c>
      <c r="AC361" s="21">
        <v>29</v>
      </c>
      <c r="AD361" s="13">
        <v>30</v>
      </c>
      <c r="AE361" s="2">
        <v>19</v>
      </c>
      <c r="AF361" s="13"/>
      <c r="AG361" s="13"/>
      <c r="AH361" s="13"/>
    </row>
    <row r="362" spans="1:34">
      <c r="A362" s="10" t="s">
        <v>473</v>
      </c>
      <c r="B362" s="11">
        <f>AVERAGE(E362:AE362)</f>
        <v>28.074074074074073</v>
      </c>
      <c r="C362" s="2">
        <f>MIN(E362:AE362)</f>
        <v>19</v>
      </c>
      <c r="D362" s="12">
        <f>MAX(E362:AE362)</f>
        <v>40</v>
      </c>
      <c r="E362" s="13">
        <v>20</v>
      </c>
      <c r="F362" s="13">
        <v>28</v>
      </c>
      <c r="G362" s="13">
        <v>22</v>
      </c>
      <c r="H362" s="13">
        <v>30</v>
      </c>
      <c r="I362" s="13">
        <v>30</v>
      </c>
      <c r="J362" s="13">
        <v>34</v>
      </c>
      <c r="K362" s="13">
        <v>28</v>
      </c>
      <c r="L362" s="13">
        <v>31</v>
      </c>
      <c r="M362" s="13">
        <v>33</v>
      </c>
      <c r="N362" s="13">
        <v>26</v>
      </c>
      <c r="O362" s="13">
        <v>29</v>
      </c>
      <c r="P362" s="13">
        <v>20</v>
      </c>
      <c r="Q362" s="13">
        <v>32</v>
      </c>
      <c r="R362" s="13">
        <v>33</v>
      </c>
      <c r="S362" s="13">
        <v>20</v>
      </c>
      <c r="T362" s="13">
        <v>40</v>
      </c>
      <c r="U362" s="13">
        <v>28</v>
      </c>
      <c r="V362" s="13">
        <v>33</v>
      </c>
      <c r="W362" s="13">
        <v>33</v>
      </c>
      <c r="X362" s="13">
        <v>29</v>
      </c>
      <c r="Y362" s="13">
        <v>25</v>
      </c>
      <c r="Z362" s="13">
        <v>22</v>
      </c>
      <c r="AA362" s="13">
        <v>28</v>
      </c>
      <c r="AB362" s="13">
        <v>26</v>
      </c>
      <c r="AC362" s="13">
        <v>29</v>
      </c>
      <c r="AD362" s="13">
        <v>30</v>
      </c>
      <c r="AE362" s="2">
        <v>19</v>
      </c>
      <c r="AF362" s="13"/>
      <c r="AG362" s="13"/>
      <c r="AH362" s="13"/>
    </row>
    <row r="363" spans="1:34">
      <c r="A363" s="10" t="s">
        <v>474</v>
      </c>
      <c r="B363" s="11">
        <f>AVERAGE(E363:AE363)</f>
        <v>28.074074074074073</v>
      </c>
      <c r="C363" s="2">
        <f>MIN(E363:AE363)</f>
        <v>19</v>
      </c>
      <c r="D363" s="12">
        <f>MAX(E363:AE363)</f>
        <v>40</v>
      </c>
      <c r="E363" s="13">
        <v>20</v>
      </c>
      <c r="F363" s="13">
        <v>28</v>
      </c>
      <c r="G363" s="13">
        <v>22</v>
      </c>
      <c r="H363" s="13">
        <v>30</v>
      </c>
      <c r="I363" s="13">
        <v>30</v>
      </c>
      <c r="J363" s="13">
        <v>34</v>
      </c>
      <c r="K363" s="13">
        <v>28</v>
      </c>
      <c r="L363" s="13">
        <v>31</v>
      </c>
      <c r="M363" s="13">
        <v>33</v>
      </c>
      <c r="N363" s="13">
        <v>26</v>
      </c>
      <c r="O363" s="13">
        <v>29</v>
      </c>
      <c r="P363" s="13">
        <v>20</v>
      </c>
      <c r="Q363" s="13">
        <v>32</v>
      </c>
      <c r="R363" s="13">
        <v>33</v>
      </c>
      <c r="S363" s="13">
        <v>20</v>
      </c>
      <c r="T363" s="13">
        <v>40</v>
      </c>
      <c r="U363" s="13">
        <v>28</v>
      </c>
      <c r="V363" s="13">
        <v>33</v>
      </c>
      <c r="W363" s="13">
        <v>33</v>
      </c>
      <c r="X363" s="13">
        <v>29</v>
      </c>
      <c r="Y363" s="13">
        <v>25</v>
      </c>
      <c r="Z363" s="13">
        <v>22</v>
      </c>
      <c r="AA363" s="13">
        <v>28</v>
      </c>
      <c r="AB363" s="13">
        <v>26</v>
      </c>
      <c r="AC363" s="13">
        <v>29</v>
      </c>
      <c r="AD363" s="13">
        <v>30</v>
      </c>
      <c r="AE363" s="2">
        <v>19</v>
      </c>
      <c r="AF363" s="13"/>
      <c r="AG363" s="13"/>
      <c r="AH363" s="13"/>
    </row>
    <row r="364" spans="1:34">
      <c r="A364" s="10" t="s">
        <v>475</v>
      </c>
      <c r="B364" s="11">
        <f>AVERAGE(E364:AE364)</f>
        <v>28.074074074074073</v>
      </c>
      <c r="C364" s="2">
        <f>MIN(E364:AE364)</f>
        <v>19</v>
      </c>
      <c r="D364" s="12">
        <f>MAX(E364:AE364)</f>
        <v>40</v>
      </c>
      <c r="E364" s="13">
        <v>20</v>
      </c>
      <c r="F364" s="13">
        <v>28</v>
      </c>
      <c r="G364" s="13">
        <v>22</v>
      </c>
      <c r="H364" s="13">
        <v>30</v>
      </c>
      <c r="I364" s="13">
        <v>30</v>
      </c>
      <c r="J364" s="13">
        <v>34</v>
      </c>
      <c r="K364" s="13">
        <v>28</v>
      </c>
      <c r="L364" s="13">
        <v>31</v>
      </c>
      <c r="M364" s="13">
        <v>33</v>
      </c>
      <c r="N364" s="13">
        <v>26</v>
      </c>
      <c r="O364" s="13">
        <v>29</v>
      </c>
      <c r="P364" s="13">
        <v>20</v>
      </c>
      <c r="Q364" s="13">
        <v>32</v>
      </c>
      <c r="R364" s="13">
        <v>33</v>
      </c>
      <c r="S364" s="13">
        <v>20</v>
      </c>
      <c r="T364" s="13">
        <v>40</v>
      </c>
      <c r="U364" s="13">
        <v>28</v>
      </c>
      <c r="V364" s="13">
        <v>33</v>
      </c>
      <c r="W364" s="13">
        <v>33</v>
      </c>
      <c r="X364" s="13">
        <v>29</v>
      </c>
      <c r="Y364" s="13">
        <v>25</v>
      </c>
      <c r="Z364" s="13">
        <v>22</v>
      </c>
      <c r="AA364" s="13">
        <v>28</v>
      </c>
      <c r="AB364" s="13">
        <v>26</v>
      </c>
      <c r="AC364" s="13">
        <v>29</v>
      </c>
      <c r="AD364" s="13">
        <v>30</v>
      </c>
      <c r="AE364" s="2">
        <v>19</v>
      </c>
      <c r="AF364" s="13"/>
      <c r="AG364" s="13"/>
      <c r="AH364" s="13"/>
    </row>
    <row r="365" spans="1:34">
      <c r="A365" s="10" t="s">
        <v>476</v>
      </c>
      <c r="B365" s="11">
        <f>AVERAGE(E365:AE365)</f>
        <v>28.074074074074073</v>
      </c>
      <c r="C365" s="2">
        <f>MIN(E365:AE365)</f>
        <v>19</v>
      </c>
      <c r="D365" s="12">
        <f>MAX(E365:AE365)</f>
        <v>40</v>
      </c>
      <c r="E365" s="13">
        <v>20</v>
      </c>
      <c r="F365" s="13">
        <v>28</v>
      </c>
      <c r="G365" s="13">
        <v>22</v>
      </c>
      <c r="H365" s="13">
        <v>30</v>
      </c>
      <c r="I365" s="13">
        <v>30</v>
      </c>
      <c r="J365" s="13">
        <v>34</v>
      </c>
      <c r="K365" s="13">
        <v>28</v>
      </c>
      <c r="L365" s="13">
        <v>31</v>
      </c>
      <c r="M365" s="13">
        <v>33</v>
      </c>
      <c r="N365" s="13">
        <v>26</v>
      </c>
      <c r="O365" s="13">
        <v>29</v>
      </c>
      <c r="P365" s="13">
        <v>20</v>
      </c>
      <c r="Q365" s="13">
        <v>32</v>
      </c>
      <c r="R365" s="13">
        <v>33</v>
      </c>
      <c r="S365" s="13">
        <v>20</v>
      </c>
      <c r="T365" s="13">
        <v>40</v>
      </c>
      <c r="U365" s="13">
        <v>28</v>
      </c>
      <c r="V365" s="13">
        <v>33</v>
      </c>
      <c r="W365" s="13">
        <v>33</v>
      </c>
      <c r="X365" s="13">
        <v>29</v>
      </c>
      <c r="Y365" s="13">
        <v>25</v>
      </c>
      <c r="Z365" s="13">
        <v>22</v>
      </c>
      <c r="AA365" s="13">
        <v>28</v>
      </c>
      <c r="AB365" s="13">
        <v>26</v>
      </c>
      <c r="AC365" s="13">
        <v>29</v>
      </c>
      <c r="AD365" s="13">
        <v>30</v>
      </c>
      <c r="AE365" s="2">
        <v>19</v>
      </c>
      <c r="AF365" s="13"/>
      <c r="AG365" s="13"/>
      <c r="AH365" s="13"/>
    </row>
    <row r="366" spans="1:34">
      <c r="A366" s="10" t="s">
        <v>477</v>
      </c>
      <c r="B366" s="11">
        <f>AVERAGE(E366:AE366)</f>
        <v>28.074074074074073</v>
      </c>
      <c r="C366" s="2">
        <f>MIN(E366:AE366)</f>
        <v>19</v>
      </c>
      <c r="D366" s="12">
        <f>MAX(E366:AE366)</f>
        <v>40</v>
      </c>
      <c r="E366" s="13">
        <v>20</v>
      </c>
      <c r="F366" s="13">
        <v>28</v>
      </c>
      <c r="G366" s="13">
        <v>22</v>
      </c>
      <c r="H366" s="13">
        <v>30</v>
      </c>
      <c r="I366" s="13">
        <v>30</v>
      </c>
      <c r="J366" s="13">
        <v>34</v>
      </c>
      <c r="K366" s="13">
        <v>28</v>
      </c>
      <c r="L366" s="13">
        <v>31</v>
      </c>
      <c r="M366" s="13">
        <v>33</v>
      </c>
      <c r="N366" s="13">
        <v>26</v>
      </c>
      <c r="O366" s="13">
        <v>29</v>
      </c>
      <c r="P366" s="13">
        <v>20</v>
      </c>
      <c r="Q366" s="13">
        <v>32</v>
      </c>
      <c r="R366" s="13">
        <v>33</v>
      </c>
      <c r="S366" s="13">
        <v>20</v>
      </c>
      <c r="T366" s="13">
        <v>40</v>
      </c>
      <c r="U366" s="13">
        <v>28</v>
      </c>
      <c r="V366" s="13">
        <v>33</v>
      </c>
      <c r="W366" s="13">
        <v>33</v>
      </c>
      <c r="X366" s="13">
        <v>29</v>
      </c>
      <c r="Y366" s="13">
        <v>25</v>
      </c>
      <c r="Z366" s="13">
        <v>22</v>
      </c>
      <c r="AA366" s="13">
        <v>28</v>
      </c>
      <c r="AB366" s="13">
        <v>26</v>
      </c>
      <c r="AC366" s="13">
        <v>29</v>
      </c>
      <c r="AD366" s="13">
        <v>30</v>
      </c>
      <c r="AE366" s="2">
        <v>19</v>
      </c>
      <c r="AF366" s="13"/>
      <c r="AG366" s="13"/>
      <c r="AH366" s="13"/>
    </row>
    <row r="367" spans="1:34">
      <c r="A367" s="10" t="s">
        <v>478</v>
      </c>
      <c r="B367" s="11">
        <f>AVERAGE(E367:AE367)</f>
        <v>28.074074074074073</v>
      </c>
      <c r="C367" s="2">
        <f>MIN(E367:AE367)</f>
        <v>19</v>
      </c>
      <c r="D367" s="12">
        <f>MAX(E367:AE367)</f>
        <v>40</v>
      </c>
      <c r="E367" s="13">
        <v>20</v>
      </c>
      <c r="F367" s="13">
        <v>28</v>
      </c>
      <c r="G367" s="13">
        <v>22</v>
      </c>
      <c r="H367" s="13">
        <v>30</v>
      </c>
      <c r="I367" s="13">
        <v>30</v>
      </c>
      <c r="J367" s="13">
        <v>34</v>
      </c>
      <c r="K367" s="13">
        <v>28</v>
      </c>
      <c r="L367" s="13">
        <v>31</v>
      </c>
      <c r="M367" s="13">
        <v>33</v>
      </c>
      <c r="N367" s="13">
        <v>26</v>
      </c>
      <c r="O367" s="13">
        <v>29</v>
      </c>
      <c r="P367" s="13">
        <v>20</v>
      </c>
      <c r="Q367" s="13">
        <v>32</v>
      </c>
      <c r="R367" s="13">
        <v>33</v>
      </c>
      <c r="S367" s="13">
        <v>20</v>
      </c>
      <c r="T367" s="13">
        <v>40</v>
      </c>
      <c r="U367" s="13">
        <v>28</v>
      </c>
      <c r="V367" s="13">
        <v>33</v>
      </c>
      <c r="W367" s="13">
        <v>33</v>
      </c>
      <c r="X367" s="13">
        <v>29</v>
      </c>
      <c r="Y367" s="13">
        <v>25</v>
      </c>
      <c r="Z367" s="13">
        <v>22</v>
      </c>
      <c r="AA367" s="13">
        <v>28</v>
      </c>
      <c r="AB367" s="13">
        <v>26</v>
      </c>
      <c r="AC367" s="13">
        <v>29</v>
      </c>
      <c r="AD367" s="13">
        <v>30</v>
      </c>
      <c r="AE367" s="2">
        <v>19</v>
      </c>
      <c r="AF367" s="13"/>
      <c r="AG367" s="13"/>
      <c r="AH367" s="13"/>
    </row>
    <row r="368" spans="1:34">
      <c r="A368" s="10" t="s">
        <v>479</v>
      </c>
      <c r="B368" s="11">
        <f>AVERAGE(E368:AE368)</f>
        <v>28.074074074074073</v>
      </c>
      <c r="C368" s="2">
        <f>MIN(E368:AE368)</f>
        <v>19</v>
      </c>
      <c r="D368" s="12">
        <f>MAX(E368:AE368)</f>
        <v>40</v>
      </c>
      <c r="E368" s="13">
        <v>20</v>
      </c>
      <c r="F368" s="13">
        <v>28</v>
      </c>
      <c r="G368" s="13">
        <v>22</v>
      </c>
      <c r="H368" s="13">
        <v>30</v>
      </c>
      <c r="I368" s="13">
        <v>30</v>
      </c>
      <c r="J368" s="13">
        <v>34</v>
      </c>
      <c r="K368" s="13">
        <v>28</v>
      </c>
      <c r="L368" s="13">
        <v>31</v>
      </c>
      <c r="M368" s="13">
        <v>33</v>
      </c>
      <c r="N368" s="13">
        <v>26</v>
      </c>
      <c r="O368" s="13">
        <v>29</v>
      </c>
      <c r="P368" s="13">
        <v>20</v>
      </c>
      <c r="Q368" s="13">
        <v>32</v>
      </c>
      <c r="R368" s="13">
        <v>33</v>
      </c>
      <c r="S368" s="13">
        <v>20</v>
      </c>
      <c r="T368" s="13">
        <v>40</v>
      </c>
      <c r="U368" s="13">
        <v>28</v>
      </c>
      <c r="V368" s="13">
        <v>33</v>
      </c>
      <c r="W368" s="13">
        <v>33</v>
      </c>
      <c r="X368" s="13">
        <v>29</v>
      </c>
      <c r="Y368" s="13">
        <v>25</v>
      </c>
      <c r="Z368" s="13">
        <v>22</v>
      </c>
      <c r="AA368" s="13">
        <v>28</v>
      </c>
      <c r="AB368" s="13">
        <v>26</v>
      </c>
      <c r="AC368" s="13">
        <v>29</v>
      </c>
      <c r="AD368" s="13">
        <v>30</v>
      </c>
      <c r="AE368" s="2">
        <v>19</v>
      </c>
      <c r="AF368" s="13"/>
      <c r="AG368" s="13"/>
      <c r="AH368" s="13"/>
    </row>
    <row r="369" spans="1:34" ht="12.75" customHeight="1">
      <c r="A369" s="10" t="s">
        <v>480</v>
      </c>
      <c r="B369" s="11">
        <f>AVERAGE(E369:AE369)</f>
        <v>28.074074074074073</v>
      </c>
      <c r="C369" s="2">
        <f>MIN(E369:AE369)</f>
        <v>19</v>
      </c>
      <c r="D369" s="12">
        <f>MAX(E369:AE369)</f>
        <v>40</v>
      </c>
      <c r="E369" s="13">
        <v>20</v>
      </c>
      <c r="F369" s="13">
        <v>28</v>
      </c>
      <c r="G369" s="13">
        <v>22</v>
      </c>
      <c r="H369" s="13">
        <v>30</v>
      </c>
      <c r="I369" s="13">
        <v>30</v>
      </c>
      <c r="J369" s="13">
        <v>34</v>
      </c>
      <c r="K369" s="13">
        <v>28</v>
      </c>
      <c r="L369" s="13">
        <v>31</v>
      </c>
      <c r="M369" s="13">
        <v>33</v>
      </c>
      <c r="N369" s="13">
        <v>26</v>
      </c>
      <c r="O369" s="13">
        <v>29</v>
      </c>
      <c r="P369" s="13">
        <v>20</v>
      </c>
      <c r="Q369" s="13">
        <v>32</v>
      </c>
      <c r="R369" s="13">
        <v>33</v>
      </c>
      <c r="S369" s="13">
        <v>20</v>
      </c>
      <c r="T369" s="13">
        <v>40</v>
      </c>
      <c r="U369" s="13">
        <v>28</v>
      </c>
      <c r="V369" s="13">
        <v>33</v>
      </c>
      <c r="W369" s="13">
        <v>33</v>
      </c>
      <c r="X369" s="13">
        <v>29</v>
      </c>
      <c r="Y369" s="13">
        <v>25</v>
      </c>
      <c r="Z369" s="13">
        <v>22</v>
      </c>
      <c r="AA369" s="13">
        <v>28</v>
      </c>
      <c r="AB369" s="13">
        <v>26</v>
      </c>
      <c r="AC369" s="13">
        <v>29</v>
      </c>
      <c r="AD369" s="13">
        <v>30</v>
      </c>
      <c r="AE369" s="2">
        <v>19</v>
      </c>
      <c r="AF369" s="13"/>
      <c r="AG369" s="13"/>
      <c r="AH369" s="13"/>
    </row>
    <row r="370" spans="1:34" ht="12.75" customHeight="1">
      <c r="A370" s="65" t="s">
        <v>481</v>
      </c>
      <c r="B370" s="103">
        <f>AVERAGE(E370:AE370)</f>
        <v>28.074074074074073</v>
      </c>
      <c r="C370" s="104">
        <f>MIN(E370:AE370)</f>
        <v>19</v>
      </c>
      <c r="D370" s="105">
        <f>MAX(E370:AE370)</f>
        <v>40</v>
      </c>
      <c r="E370" s="60">
        <v>20</v>
      </c>
      <c r="F370" s="60">
        <v>28</v>
      </c>
      <c r="G370" s="60">
        <v>22</v>
      </c>
      <c r="H370" s="60">
        <v>30</v>
      </c>
      <c r="I370" s="60">
        <v>30</v>
      </c>
      <c r="J370" s="60">
        <v>34</v>
      </c>
      <c r="K370" s="60">
        <v>28</v>
      </c>
      <c r="L370" s="60">
        <v>31</v>
      </c>
      <c r="M370" s="106">
        <v>33</v>
      </c>
      <c r="N370" s="106">
        <v>26</v>
      </c>
      <c r="O370" s="106">
        <v>29</v>
      </c>
      <c r="P370" s="60">
        <v>20</v>
      </c>
      <c r="Q370" s="60">
        <v>32</v>
      </c>
      <c r="R370" s="60">
        <v>33</v>
      </c>
      <c r="S370" s="60">
        <v>20</v>
      </c>
      <c r="T370" s="60">
        <v>40</v>
      </c>
      <c r="U370" s="60">
        <v>28</v>
      </c>
      <c r="V370" s="60">
        <v>33</v>
      </c>
      <c r="W370" s="60">
        <v>33</v>
      </c>
      <c r="X370" s="60">
        <v>29</v>
      </c>
      <c r="Y370" s="60">
        <v>25</v>
      </c>
      <c r="Z370" s="60">
        <v>22</v>
      </c>
      <c r="AA370" s="60">
        <v>28</v>
      </c>
      <c r="AB370" s="60">
        <v>26</v>
      </c>
      <c r="AC370" s="60">
        <v>29</v>
      </c>
      <c r="AD370" s="60">
        <v>30</v>
      </c>
      <c r="AE370" s="107">
        <v>19</v>
      </c>
      <c r="AF370" s="60"/>
      <c r="AG370" s="60"/>
      <c r="AH370" s="60"/>
    </row>
    <row r="371" spans="1:34" ht="12.75" customHeight="1">
      <c r="A371" s="32"/>
      <c r="B371" s="32"/>
      <c r="C371" s="32"/>
      <c r="D371" s="32"/>
      <c r="E371" s="108"/>
      <c r="F371" s="108"/>
      <c r="G371" s="108"/>
      <c r="H371" s="108"/>
      <c r="I371" s="108"/>
      <c r="J371" s="108"/>
      <c r="K371" s="108"/>
      <c r="L371" s="108"/>
      <c r="M371" s="108"/>
      <c r="N371" s="108"/>
      <c r="O371" s="108"/>
      <c r="P371" s="108"/>
      <c r="Q371" s="108"/>
      <c r="R371" s="108"/>
      <c r="S371" s="108"/>
      <c r="T371" s="108"/>
      <c r="U371" s="108"/>
      <c r="V371" s="108"/>
      <c r="W371" s="108"/>
      <c r="X371" s="108"/>
      <c r="Y371" s="108"/>
      <c r="Z371" s="108"/>
      <c r="AA371" s="108"/>
      <c r="AB371" s="108"/>
      <c r="AC371" s="108"/>
      <c r="AD371" s="108"/>
      <c r="AE371" s="108"/>
      <c r="AF371" s="108"/>
      <c r="AG371" s="108"/>
      <c r="AH371" s="108"/>
    </row>
    <row r="372" spans="1:34" ht="12.75" customHeight="1">
      <c r="A372" s="116" t="s">
        <v>482</v>
      </c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  <c r="X372" s="116"/>
      <c r="Y372" s="116"/>
      <c r="Z372" s="116"/>
      <c r="AA372" s="116"/>
      <c r="AB372" s="116"/>
      <c r="AC372" s="116"/>
      <c r="AD372" s="116"/>
      <c r="AE372" s="116"/>
      <c r="AF372" s="116"/>
      <c r="AG372" s="116"/>
      <c r="AH372" s="116"/>
    </row>
    <row r="373" spans="1:34" ht="12.75" customHeight="1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  <c r="X373" s="116"/>
      <c r="Y373" s="116"/>
      <c r="Z373" s="116"/>
      <c r="AA373" s="116"/>
      <c r="AB373" s="116"/>
      <c r="AC373" s="116"/>
      <c r="AD373" s="116"/>
      <c r="AE373" s="116"/>
      <c r="AF373" s="116"/>
      <c r="AG373" s="116"/>
      <c r="AH373" s="116"/>
    </row>
    <row r="374" spans="1:34" ht="12.75" customHeight="1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  <c r="X374" s="116"/>
      <c r="Y374" s="116"/>
      <c r="Z374" s="116"/>
      <c r="AA374" s="116"/>
      <c r="AB374" s="116"/>
      <c r="AC374" s="116"/>
      <c r="AD374" s="116"/>
      <c r="AE374" s="116"/>
      <c r="AF374" s="116"/>
      <c r="AG374" s="116"/>
      <c r="AH374" s="116"/>
    </row>
    <row r="375" spans="1:34" ht="12.75" customHeight="1">
      <c r="A375" s="4" t="s">
        <v>6</v>
      </c>
      <c r="B375" s="5" t="s">
        <v>7</v>
      </c>
      <c r="C375" s="6" t="s">
        <v>8</v>
      </c>
      <c r="D375" s="7" t="s">
        <v>9</v>
      </c>
      <c r="E375" s="8">
        <v>1999</v>
      </c>
      <c r="F375" s="8">
        <v>2000</v>
      </c>
      <c r="G375" s="8">
        <v>2001</v>
      </c>
      <c r="H375" s="8">
        <v>2002</v>
      </c>
      <c r="I375" s="8">
        <v>2003</v>
      </c>
      <c r="J375" s="8">
        <v>2004</v>
      </c>
      <c r="K375" s="8">
        <v>2005</v>
      </c>
      <c r="L375" s="8">
        <v>2006</v>
      </c>
      <c r="M375" s="8">
        <v>2007</v>
      </c>
      <c r="N375" s="8">
        <v>2008</v>
      </c>
      <c r="O375" s="8">
        <v>2009</v>
      </c>
      <c r="P375" s="8">
        <v>2010</v>
      </c>
      <c r="Q375" s="8">
        <v>2011</v>
      </c>
      <c r="R375" s="8">
        <v>2012</v>
      </c>
      <c r="S375" s="8">
        <v>2013</v>
      </c>
      <c r="T375" s="8">
        <v>2014</v>
      </c>
      <c r="U375" s="8">
        <v>2015</v>
      </c>
      <c r="V375" s="8">
        <v>2016</v>
      </c>
      <c r="W375" s="8">
        <v>2017</v>
      </c>
      <c r="X375" s="8">
        <v>2018</v>
      </c>
      <c r="Y375" s="8">
        <v>2019</v>
      </c>
      <c r="Z375" s="8">
        <v>2020</v>
      </c>
      <c r="AA375" s="8">
        <v>2021</v>
      </c>
      <c r="AB375" s="8">
        <v>2022</v>
      </c>
      <c r="AC375" s="8">
        <v>2023</v>
      </c>
      <c r="AD375" s="8">
        <v>2024</v>
      </c>
      <c r="AE375" s="8">
        <v>2025</v>
      </c>
      <c r="AF375" s="8">
        <v>2026</v>
      </c>
      <c r="AG375" s="8">
        <v>2027</v>
      </c>
      <c r="AH375" s="8">
        <v>2028</v>
      </c>
    </row>
    <row r="376" spans="1:34" ht="12.75" customHeight="1">
      <c r="A376" s="10" t="s">
        <v>11</v>
      </c>
      <c r="B376" s="11">
        <f>AVERAGE(E376:AE376)</f>
        <v>0</v>
      </c>
      <c r="C376" s="2">
        <f>MIN(E376:AE376)</f>
        <v>0</v>
      </c>
      <c r="D376" s="12">
        <f>MAX(E376:AE376)</f>
        <v>0</v>
      </c>
      <c r="E376" s="13">
        <v>0</v>
      </c>
      <c r="F376" s="13">
        <v>0</v>
      </c>
      <c r="G376" s="13">
        <v>0</v>
      </c>
      <c r="H376" s="13">
        <v>0</v>
      </c>
      <c r="I376" s="13">
        <v>0</v>
      </c>
      <c r="J376" s="13">
        <v>0</v>
      </c>
      <c r="K376" s="13">
        <v>0</v>
      </c>
      <c r="L376" s="13">
        <v>0</v>
      </c>
      <c r="M376" s="13">
        <v>0</v>
      </c>
      <c r="N376" s="13">
        <v>0</v>
      </c>
      <c r="O376" s="13">
        <v>0</v>
      </c>
      <c r="P376" s="13">
        <v>0</v>
      </c>
      <c r="Q376" s="13">
        <v>0</v>
      </c>
      <c r="R376" s="13">
        <v>0</v>
      </c>
      <c r="S376" s="13">
        <v>0</v>
      </c>
      <c r="T376" s="13">
        <v>0</v>
      </c>
      <c r="U376" s="13">
        <v>0</v>
      </c>
      <c r="V376" s="13">
        <v>0</v>
      </c>
      <c r="W376" s="13">
        <v>0</v>
      </c>
      <c r="X376" s="13">
        <v>0</v>
      </c>
      <c r="Y376" s="13">
        <v>0</v>
      </c>
      <c r="Z376" s="13">
        <v>0</v>
      </c>
      <c r="AA376" s="13">
        <v>0</v>
      </c>
      <c r="AB376" s="13">
        <v>0</v>
      </c>
      <c r="AC376" s="13">
        <v>0</v>
      </c>
      <c r="AD376" s="13">
        <v>0</v>
      </c>
      <c r="AE376" s="13">
        <v>0</v>
      </c>
      <c r="AF376" s="13">
        <v>0</v>
      </c>
      <c r="AG376" s="13"/>
      <c r="AH376" s="13"/>
    </row>
    <row r="377" spans="1:34" ht="12.75" customHeight="1">
      <c r="A377" s="10" t="s">
        <v>13</v>
      </c>
      <c r="B377" s="11">
        <f>AVERAGE(E377:AE377)</f>
        <v>0</v>
      </c>
      <c r="C377" s="2">
        <f>MIN(E377:AE377)</f>
        <v>0</v>
      </c>
      <c r="D377" s="12">
        <f>MAX(E377:AE377)</f>
        <v>0</v>
      </c>
      <c r="E377" s="13">
        <v>0</v>
      </c>
      <c r="F377" s="13">
        <v>0</v>
      </c>
      <c r="G377" s="13">
        <v>0</v>
      </c>
      <c r="H377" s="13">
        <v>0</v>
      </c>
      <c r="I377" s="13">
        <v>0</v>
      </c>
      <c r="J377" s="13">
        <v>0</v>
      </c>
      <c r="K377" s="13">
        <v>0</v>
      </c>
      <c r="L377" s="13">
        <v>0</v>
      </c>
      <c r="M377" s="13">
        <v>0</v>
      </c>
      <c r="N377" s="13">
        <v>0</v>
      </c>
      <c r="O377" s="13">
        <v>0</v>
      </c>
      <c r="P377" s="13">
        <v>0</v>
      </c>
      <c r="Q377" s="13">
        <v>0</v>
      </c>
      <c r="R377" s="13">
        <v>0</v>
      </c>
      <c r="S377" s="13">
        <v>0</v>
      </c>
      <c r="T377" s="13">
        <v>0</v>
      </c>
      <c r="U377" s="13">
        <v>0</v>
      </c>
      <c r="V377" s="13">
        <v>0</v>
      </c>
      <c r="W377" s="13">
        <v>0</v>
      </c>
      <c r="X377" s="13">
        <v>0</v>
      </c>
      <c r="Y377" s="13">
        <v>0</v>
      </c>
      <c r="Z377" s="13">
        <v>0</v>
      </c>
      <c r="AA377" s="13">
        <v>0</v>
      </c>
      <c r="AB377" s="13">
        <v>0</v>
      </c>
      <c r="AC377" s="13">
        <v>0</v>
      </c>
      <c r="AD377" s="13">
        <v>0</v>
      </c>
      <c r="AE377" s="13">
        <v>0</v>
      </c>
      <c r="AF377" s="13">
        <v>0</v>
      </c>
      <c r="AG377" s="13"/>
      <c r="AH377" s="13"/>
    </row>
    <row r="378" spans="1:34" ht="12.75" customHeight="1">
      <c r="A378" s="10" t="s">
        <v>15</v>
      </c>
      <c r="B378" s="11">
        <f>AVERAGE(E378:AE378)</f>
        <v>3.7037037037037035E-2</v>
      </c>
      <c r="C378" s="2">
        <f>MIN(E378:AE378)</f>
        <v>0</v>
      </c>
      <c r="D378" s="12">
        <f>MAX(E378:AE378)</f>
        <v>1</v>
      </c>
      <c r="E378" s="13">
        <v>0</v>
      </c>
      <c r="F378" s="13">
        <v>0</v>
      </c>
      <c r="G378" s="13">
        <v>0</v>
      </c>
      <c r="H378" s="13">
        <v>0</v>
      </c>
      <c r="I378" s="13">
        <v>0</v>
      </c>
      <c r="J378" s="13">
        <v>0</v>
      </c>
      <c r="K378" s="13">
        <v>0</v>
      </c>
      <c r="L378" s="13">
        <v>0</v>
      </c>
      <c r="M378" s="13">
        <v>0</v>
      </c>
      <c r="N378" s="13">
        <v>0</v>
      </c>
      <c r="O378" s="13">
        <v>0</v>
      </c>
      <c r="P378" s="13">
        <v>0</v>
      </c>
      <c r="Q378" s="13">
        <v>0</v>
      </c>
      <c r="R378" s="13">
        <v>0</v>
      </c>
      <c r="S378" s="13">
        <v>0</v>
      </c>
      <c r="T378" s="13">
        <v>0</v>
      </c>
      <c r="U378" s="13">
        <v>0</v>
      </c>
      <c r="V378" s="13">
        <v>0</v>
      </c>
      <c r="W378" s="13">
        <v>0</v>
      </c>
      <c r="X378" s="13">
        <v>1</v>
      </c>
      <c r="Y378" s="13">
        <v>0</v>
      </c>
      <c r="Z378" s="13">
        <v>0</v>
      </c>
      <c r="AA378" s="13">
        <v>0</v>
      </c>
      <c r="AB378" s="13">
        <v>0</v>
      </c>
      <c r="AC378" s="13">
        <v>0</v>
      </c>
      <c r="AD378" s="13">
        <v>0</v>
      </c>
      <c r="AE378" s="13">
        <v>0</v>
      </c>
      <c r="AF378" s="13">
        <v>0</v>
      </c>
      <c r="AG378" s="13"/>
      <c r="AH378" s="13"/>
    </row>
    <row r="379" spans="1:34" ht="12.75" customHeight="1">
      <c r="A379" s="10" t="s">
        <v>35</v>
      </c>
      <c r="B379" s="11">
        <f>AVERAGE(E379:AE379)</f>
        <v>3.7037037037037035E-2</v>
      </c>
      <c r="C379" s="2">
        <f>MIN(E379:AE379)</f>
        <v>0</v>
      </c>
      <c r="D379" s="12">
        <f>MAX(E379:AE379)</f>
        <v>1</v>
      </c>
      <c r="E379" s="13">
        <v>0</v>
      </c>
      <c r="F379" s="13">
        <v>0</v>
      </c>
      <c r="G379" s="13">
        <v>0</v>
      </c>
      <c r="H379" s="13">
        <v>0</v>
      </c>
      <c r="I379" s="13">
        <v>0</v>
      </c>
      <c r="J379" s="13">
        <v>0</v>
      </c>
      <c r="K379" s="13">
        <v>0</v>
      </c>
      <c r="L379" s="13">
        <v>0</v>
      </c>
      <c r="M379" s="13">
        <v>0</v>
      </c>
      <c r="N379" s="13">
        <v>0</v>
      </c>
      <c r="O379" s="13">
        <v>0</v>
      </c>
      <c r="P379" s="13">
        <v>0</v>
      </c>
      <c r="Q379" s="13">
        <v>0</v>
      </c>
      <c r="R379" s="13">
        <v>0</v>
      </c>
      <c r="S379" s="13">
        <v>0</v>
      </c>
      <c r="T379" s="13">
        <v>0</v>
      </c>
      <c r="U379" s="13">
        <v>0</v>
      </c>
      <c r="V379" s="13">
        <v>0</v>
      </c>
      <c r="W379" s="13">
        <v>0</v>
      </c>
      <c r="X379" s="13">
        <v>1</v>
      </c>
      <c r="Y379" s="13">
        <v>0</v>
      </c>
      <c r="Z379" s="13">
        <v>0</v>
      </c>
      <c r="AA379" s="13">
        <v>0</v>
      </c>
      <c r="AB379" s="13">
        <v>0</v>
      </c>
      <c r="AC379" s="13">
        <v>0</v>
      </c>
      <c r="AD379" s="13">
        <v>0</v>
      </c>
      <c r="AE379" s="13">
        <v>0</v>
      </c>
      <c r="AF379" s="13">
        <v>0</v>
      </c>
      <c r="AG379" s="13"/>
      <c r="AH379" s="13"/>
    </row>
    <row r="380" spans="1:34" ht="12.75" customHeight="1">
      <c r="A380" s="10" t="s">
        <v>36</v>
      </c>
      <c r="B380" s="11">
        <f>AVERAGE(E380:AE380)</f>
        <v>3.7037037037037035E-2</v>
      </c>
      <c r="C380" s="2">
        <f>MIN(E380:AE380)</f>
        <v>0</v>
      </c>
      <c r="D380" s="12">
        <f>MAX(E380:AE380)</f>
        <v>1</v>
      </c>
      <c r="E380" s="13">
        <v>0</v>
      </c>
      <c r="F380" s="13">
        <v>0</v>
      </c>
      <c r="G380" s="13">
        <v>0</v>
      </c>
      <c r="H380" s="13">
        <v>0</v>
      </c>
      <c r="I380" s="13">
        <v>0</v>
      </c>
      <c r="J380" s="13">
        <v>0</v>
      </c>
      <c r="K380" s="13">
        <v>0</v>
      </c>
      <c r="L380" s="13">
        <v>0</v>
      </c>
      <c r="M380" s="13">
        <v>0</v>
      </c>
      <c r="N380" s="13">
        <v>0</v>
      </c>
      <c r="O380" s="13">
        <v>0</v>
      </c>
      <c r="P380" s="13">
        <v>0</v>
      </c>
      <c r="Q380" s="13">
        <v>0</v>
      </c>
      <c r="R380" s="13">
        <v>0</v>
      </c>
      <c r="S380" s="13">
        <v>0</v>
      </c>
      <c r="T380" s="13">
        <v>0</v>
      </c>
      <c r="U380" s="13">
        <v>0</v>
      </c>
      <c r="V380" s="13">
        <v>0</v>
      </c>
      <c r="W380" s="13">
        <v>0</v>
      </c>
      <c r="X380" s="13">
        <v>1</v>
      </c>
      <c r="Y380" s="13">
        <v>0</v>
      </c>
      <c r="Z380" s="13">
        <v>0</v>
      </c>
      <c r="AA380" s="13">
        <v>0</v>
      </c>
      <c r="AB380" s="13">
        <v>0</v>
      </c>
      <c r="AC380" s="13">
        <v>0</v>
      </c>
      <c r="AD380" s="13">
        <v>0</v>
      </c>
      <c r="AE380" s="13">
        <v>0</v>
      </c>
      <c r="AF380" s="13">
        <v>0</v>
      </c>
      <c r="AG380" s="13"/>
      <c r="AH380" s="13"/>
    </row>
    <row r="381" spans="1:34" ht="12.75" customHeight="1">
      <c r="A381" s="10" t="s">
        <v>47</v>
      </c>
      <c r="B381" s="11">
        <f>AVERAGE(E381:AE381)</f>
        <v>3.7037037037037035E-2</v>
      </c>
      <c r="C381" s="2">
        <f>MIN(E381:AE381)</f>
        <v>0</v>
      </c>
      <c r="D381" s="12">
        <f>MAX(E381:AE381)</f>
        <v>1</v>
      </c>
      <c r="E381" s="13">
        <v>0</v>
      </c>
      <c r="F381" s="13">
        <v>0</v>
      </c>
      <c r="G381" s="13">
        <v>0</v>
      </c>
      <c r="H381" s="13">
        <v>0</v>
      </c>
      <c r="I381" s="13">
        <v>0</v>
      </c>
      <c r="J381" s="13">
        <v>0</v>
      </c>
      <c r="K381" s="13">
        <v>0</v>
      </c>
      <c r="L381" s="13">
        <v>0</v>
      </c>
      <c r="M381" s="13">
        <v>0</v>
      </c>
      <c r="N381" s="13">
        <v>0</v>
      </c>
      <c r="O381" s="13">
        <v>0</v>
      </c>
      <c r="P381" s="13">
        <v>0</v>
      </c>
      <c r="Q381" s="13">
        <v>0</v>
      </c>
      <c r="R381" s="13">
        <v>0</v>
      </c>
      <c r="S381" s="13">
        <v>0</v>
      </c>
      <c r="T381" s="13">
        <v>0</v>
      </c>
      <c r="U381" s="13">
        <v>0</v>
      </c>
      <c r="V381" s="13">
        <v>0</v>
      </c>
      <c r="W381" s="13">
        <v>0</v>
      </c>
      <c r="X381" s="13">
        <v>1</v>
      </c>
      <c r="Y381" s="13">
        <v>0</v>
      </c>
      <c r="Z381" s="13">
        <v>0</v>
      </c>
      <c r="AA381" s="13">
        <v>0</v>
      </c>
      <c r="AB381" s="13">
        <v>0</v>
      </c>
      <c r="AC381" s="13">
        <v>0</v>
      </c>
      <c r="AD381" s="13">
        <v>0</v>
      </c>
      <c r="AE381" s="13">
        <v>0</v>
      </c>
      <c r="AF381" s="13">
        <v>0</v>
      </c>
      <c r="AG381" s="13"/>
      <c r="AH381" s="13"/>
    </row>
    <row r="382" spans="1:34" ht="12.75" customHeight="1">
      <c r="A382" s="10" t="s">
        <v>48</v>
      </c>
      <c r="B382" s="11">
        <f>AVERAGE(E382:AE382)</f>
        <v>3.7037037037037035E-2</v>
      </c>
      <c r="C382" s="2">
        <f>MIN(E382:AE382)</f>
        <v>0</v>
      </c>
      <c r="D382" s="12">
        <f>MAX(E382:AE382)</f>
        <v>1</v>
      </c>
      <c r="E382" s="13">
        <v>0</v>
      </c>
      <c r="F382" s="13">
        <v>0</v>
      </c>
      <c r="G382" s="13">
        <v>0</v>
      </c>
      <c r="H382" s="13">
        <v>0</v>
      </c>
      <c r="I382" s="13">
        <v>0</v>
      </c>
      <c r="J382" s="13">
        <v>0</v>
      </c>
      <c r="K382" s="13">
        <v>0</v>
      </c>
      <c r="L382" s="13">
        <v>0</v>
      </c>
      <c r="M382" s="13">
        <v>0</v>
      </c>
      <c r="N382" s="13">
        <v>0</v>
      </c>
      <c r="O382" s="13">
        <v>0</v>
      </c>
      <c r="P382" s="13">
        <v>0</v>
      </c>
      <c r="Q382" s="13">
        <v>0</v>
      </c>
      <c r="R382" s="13">
        <v>0</v>
      </c>
      <c r="S382" s="13">
        <v>0</v>
      </c>
      <c r="T382" s="13">
        <v>0</v>
      </c>
      <c r="U382" s="13">
        <v>0</v>
      </c>
      <c r="V382" s="13">
        <v>0</v>
      </c>
      <c r="W382" s="13">
        <v>0</v>
      </c>
      <c r="X382" s="13">
        <v>1</v>
      </c>
      <c r="Y382" s="13">
        <v>0</v>
      </c>
      <c r="Z382" s="13">
        <v>0</v>
      </c>
      <c r="AA382" s="13">
        <v>0</v>
      </c>
      <c r="AB382" s="13">
        <v>0</v>
      </c>
      <c r="AC382" s="13">
        <v>0</v>
      </c>
      <c r="AD382" s="13">
        <v>0</v>
      </c>
      <c r="AE382" s="13">
        <v>0</v>
      </c>
      <c r="AF382" s="13">
        <v>0</v>
      </c>
      <c r="AG382" s="13"/>
      <c r="AH382" s="13"/>
    </row>
    <row r="383" spans="1:34" ht="12.75" customHeight="1">
      <c r="A383" s="10" t="s">
        <v>51</v>
      </c>
      <c r="B383" s="11">
        <f>AVERAGE(E383:AE383)</f>
        <v>3.7037037037037035E-2</v>
      </c>
      <c r="C383" s="2">
        <f>MIN(E383:AE383)</f>
        <v>0</v>
      </c>
      <c r="D383" s="12">
        <f>MAX(E383:AE383)</f>
        <v>1</v>
      </c>
      <c r="E383" s="13">
        <v>0</v>
      </c>
      <c r="F383" s="13">
        <v>0</v>
      </c>
      <c r="G383" s="13">
        <v>0</v>
      </c>
      <c r="H383" s="13">
        <v>0</v>
      </c>
      <c r="I383" s="13">
        <v>0</v>
      </c>
      <c r="J383" s="13">
        <v>0</v>
      </c>
      <c r="K383" s="13">
        <v>0</v>
      </c>
      <c r="L383" s="13">
        <v>0</v>
      </c>
      <c r="M383" s="13">
        <v>0</v>
      </c>
      <c r="N383" s="13">
        <v>0</v>
      </c>
      <c r="O383" s="13">
        <v>0</v>
      </c>
      <c r="P383" s="13">
        <v>0</v>
      </c>
      <c r="Q383" s="13">
        <v>0</v>
      </c>
      <c r="R383" s="13">
        <v>0</v>
      </c>
      <c r="S383" s="13">
        <v>0</v>
      </c>
      <c r="T383" s="13">
        <v>0</v>
      </c>
      <c r="U383" s="13">
        <v>0</v>
      </c>
      <c r="V383" s="13">
        <v>0</v>
      </c>
      <c r="W383" s="13">
        <v>0</v>
      </c>
      <c r="X383" s="13">
        <v>1</v>
      </c>
      <c r="Y383" s="13">
        <v>0</v>
      </c>
      <c r="Z383" s="13">
        <v>0</v>
      </c>
      <c r="AA383" s="13">
        <v>0</v>
      </c>
      <c r="AB383" s="13">
        <v>0</v>
      </c>
      <c r="AC383" s="13">
        <v>0</v>
      </c>
      <c r="AD383" s="13">
        <v>0</v>
      </c>
      <c r="AE383" s="13">
        <v>0</v>
      </c>
      <c r="AF383" s="13">
        <v>0</v>
      </c>
      <c r="AG383" s="13"/>
      <c r="AH383" s="13"/>
    </row>
    <row r="384" spans="1:34" ht="12.75" customHeight="1">
      <c r="A384" s="10" t="s">
        <v>54</v>
      </c>
      <c r="B384" s="11">
        <f>AVERAGE(E384:AE384)</f>
        <v>3.7037037037037035E-2</v>
      </c>
      <c r="C384" s="2">
        <f>MIN(E384:AE384)</f>
        <v>0</v>
      </c>
      <c r="D384" s="12">
        <f>MAX(E384:AE384)</f>
        <v>1</v>
      </c>
      <c r="E384" s="13">
        <v>0</v>
      </c>
      <c r="F384" s="13">
        <v>0</v>
      </c>
      <c r="G384" s="13">
        <v>0</v>
      </c>
      <c r="H384" s="13">
        <v>0</v>
      </c>
      <c r="I384" s="13">
        <v>0</v>
      </c>
      <c r="J384" s="13">
        <v>0</v>
      </c>
      <c r="K384" s="109">
        <v>0</v>
      </c>
      <c r="L384" s="13">
        <v>0</v>
      </c>
      <c r="M384" s="13">
        <v>0</v>
      </c>
      <c r="N384" s="13">
        <v>0</v>
      </c>
      <c r="O384" s="13">
        <v>0</v>
      </c>
      <c r="P384" s="13">
        <v>0</v>
      </c>
      <c r="Q384" s="13">
        <v>0</v>
      </c>
      <c r="R384" s="13">
        <v>0</v>
      </c>
      <c r="S384" s="13">
        <v>0</v>
      </c>
      <c r="T384" s="13">
        <v>0</v>
      </c>
      <c r="U384" s="13">
        <v>0</v>
      </c>
      <c r="V384" s="13">
        <v>0</v>
      </c>
      <c r="W384" s="13">
        <v>0</v>
      </c>
      <c r="X384" s="13">
        <v>1</v>
      </c>
      <c r="Y384" s="13">
        <v>0</v>
      </c>
      <c r="Z384" s="13">
        <v>0</v>
      </c>
      <c r="AA384" s="13">
        <v>0</v>
      </c>
      <c r="AB384" s="13">
        <v>0</v>
      </c>
      <c r="AC384" s="13">
        <v>0</v>
      </c>
      <c r="AD384" s="13">
        <v>0</v>
      </c>
      <c r="AE384" s="13">
        <v>0</v>
      </c>
      <c r="AF384" s="13">
        <v>0</v>
      </c>
      <c r="AG384" s="13"/>
      <c r="AH384" s="13"/>
    </row>
    <row r="385" spans="1:34" ht="12.75" customHeight="1">
      <c r="A385" s="10" t="s">
        <v>57</v>
      </c>
      <c r="B385" s="11">
        <f>AVERAGE(E385:AE385)</f>
        <v>3.7037037037037035E-2</v>
      </c>
      <c r="C385" s="2">
        <f>MIN(E385:AE385)</f>
        <v>0</v>
      </c>
      <c r="D385" s="12">
        <f>MAX(E385:AE385)</f>
        <v>1</v>
      </c>
      <c r="E385" s="13">
        <v>0</v>
      </c>
      <c r="F385" s="13">
        <v>0</v>
      </c>
      <c r="G385" s="13">
        <v>0</v>
      </c>
      <c r="H385" s="13">
        <v>0</v>
      </c>
      <c r="I385" s="13">
        <v>0</v>
      </c>
      <c r="J385" s="13">
        <v>0</v>
      </c>
      <c r="K385" s="109">
        <v>0</v>
      </c>
      <c r="L385" s="13">
        <v>0</v>
      </c>
      <c r="M385" s="13">
        <v>0</v>
      </c>
      <c r="N385" s="13">
        <v>0</v>
      </c>
      <c r="O385" s="13">
        <v>0</v>
      </c>
      <c r="P385" s="13">
        <v>0</v>
      </c>
      <c r="Q385" s="13">
        <v>0</v>
      </c>
      <c r="R385" s="13">
        <v>0</v>
      </c>
      <c r="S385" s="13">
        <v>0</v>
      </c>
      <c r="T385" s="13">
        <v>0</v>
      </c>
      <c r="U385" s="13">
        <v>0</v>
      </c>
      <c r="V385" s="13">
        <v>0</v>
      </c>
      <c r="W385" s="13">
        <v>0</v>
      </c>
      <c r="X385" s="13">
        <v>1</v>
      </c>
      <c r="Y385" s="13">
        <v>0</v>
      </c>
      <c r="Z385" s="13">
        <v>0</v>
      </c>
      <c r="AA385" s="13">
        <v>0</v>
      </c>
      <c r="AB385" s="13">
        <v>0</v>
      </c>
      <c r="AC385" s="13">
        <v>0</v>
      </c>
      <c r="AD385" s="13">
        <v>0</v>
      </c>
      <c r="AE385" s="13">
        <v>0</v>
      </c>
      <c r="AF385" s="13">
        <v>0</v>
      </c>
      <c r="AG385" s="13"/>
      <c r="AH385" s="13"/>
    </row>
    <row r="386" spans="1:34" ht="12.75" customHeight="1">
      <c r="A386" s="10" t="s">
        <v>58</v>
      </c>
      <c r="B386" s="11">
        <f>AVERAGE(E386:AE386)</f>
        <v>3.7037037037037035E-2</v>
      </c>
      <c r="C386" s="2">
        <f>MIN(E386:AE386)</f>
        <v>0</v>
      </c>
      <c r="D386" s="12">
        <f>MAX(E386:AE386)</f>
        <v>1</v>
      </c>
      <c r="E386" s="13">
        <v>0</v>
      </c>
      <c r="F386" s="13">
        <v>0</v>
      </c>
      <c r="G386" s="13">
        <v>0</v>
      </c>
      <c r="H386" s="13">
        <v>0</v>
      </c>
      <c r="I386" s="13">
        <v>0</v>
      </c>
      <c r="J386" s="13">
        <v>0</v>
      </c>
      <c r="K386" s="109">
        <v>0</v>
      </c>
      <c r="L386" s="13">
        <v>0</v>
      </c>
      <c r="M386" s="109">
        <v>0</v>
      </c>
      <c r="N386" s="13">
        <v>0</v>
      </c>
      <c r="O386" s="13">
        <v>0</v>
      </c>
      <c r="P386" s="13">
        <v>0</v>
      </c>
      <c r="Q386" s="13">
        <v>0</v>
      </c>
      <c r="R386" s="13">
        <v>0</v>
      </c>
      <c r="S386" s="13">
        <v>0</v>
      </c>
      <c r="T386" s="13">
        <v>0</v>
      </c>
      <c r="U386" s="13">
        <v>0</v>
      </c>
      <c r="V386" s="13">
        <v>0</v>
      </c>
      <c r="W386" s="13">
        <v>0</v>
      </c>
      <c r="X386" s="109">
        <v>1</v>
      </c>
      <c r="Y386" s="13">
        <v>0</v>
      </c>
      <c r="Z386" s="13">
        <v>0</v>
      </c>
      <c r="AA386" s="13">
        <v>0</v>
      </c>
      <c r="AB386" s="13">
        <v>0</v>
      </c>
      <c r="AC386" s="13">
        <v>0</v>
      </c>
      <c r="AD386" s="13">
        <v>0</v>
      </c>
      <c r="AE386" s="13">
        <v>0</v>
      </c>
      <c r="AF386" s="13">
        <v>0</v>
      </c>
      <c r="AG386" s="13"/>
      <c r="AH386" s="13"/>
    </row>
    <row r="387" spans="1:34" ht="12.75" customHeight="1">
      <c r="A387" s="10" t="s">
        <v>61</v>
      </c>
      <c r="B387" s="11">
        <f>AVERAGE(E387:AE387)</f>
        <v>7.407407407407407E-2</v>
      </c>
      <c r="C387" s="2">
        <f>MIN(E387:AE387)</f>
        <v>0</v>
      </c>
      <c r="D387" s="12">
        <f>MAX(E387:AE387)</f>
        <v>1</v>
      </c>
      <c r="E387" s="13">
        <v>0</v>
      </c>
      <c r="F387" s="13">
        <v>0</v>
      </c>
      <c r="G387" s="13">
        <v>0</v>
      </c>
      <c r="H387" s="13">
        <v>0</v>
      </c>
      <c r="I387" s="13">
        <v>0</v>
      </c>
      <c r="J387" s="13">
        <v>0</v>
      </c>
      <c r="K387" s="109">
        <v>0</v>
      </c>
      <c r="L387" s="13">
        <v>0</v>
      </c>
      <c r="M387" s="109">
        <v>0</v>
      </c>
      <c r="N387" s="13">
        <v>0</v>
      </c>
      <c r="O387" s="13">
        <v>0</v>
      </c>
      <c r="P387" s="13">
        <v>0</v>
      </c>
      <c r="Q387" s="13">
        <v>0</v>
      </c>
      <c r="R387" s="13">
        <v>1</v>
      </c>
      <c r="S387" s="13">
        <v>0</v>
      </c>
      <c r="T387" s="13">
        <v>0</v>
      </c>
      <c r="U387" s="13">
        <v>0</v>
      </c>
      <c r="V387" s="13">
        <v>0</v>
      </c>
      <c r="W387" s="13">
        <v>0</v>
      </c>
      <c r="X387" s="109">
        <v>1</v>
      </c>
      <c r="Y387" s="13">
        <v>0</v>
      </c>
      <c r="Z387" s="13">
        <v>0</v>
      </c>
      <c r="AA387" s="13">
        <v>0</v>
      </c>
      <c r="AB387" s="13">
        <v>0</v>
      </c>
      <c r="AC387" s="13">
        <v>0</v>
      </c>
      <c r="AD387" s="13">
        <v>0</v>
      </c>
      <c r="AE387" s="13">
        <v>0</v>
      </c>
      <c r="AF387" s="13">
        <v>0</v>
      </c>
      <c r="AG387" s="13"/>
      <c r="AH387" s="13"/>
    </row>
    <row r="388" spans="1:34" ht="12.75" customHeight="1">
      <c r="A388" s="10" t="s">
        <v>64</v>
      </c>
      <c r="B388" s="11">
        <f>AVERAGE(E388:AE388)</f>
        <v>7.407407407407407E-2</v>
      </c>
      <c r="C388" s="2">
        <f>MIN(E388:AE388)</f>
        <v>0</v>
      </c>
      <c r="D388" s="12">
        <f>MAX(E388:AE388)</f>
        <v>1</v>
      </c>
      <c r="E388" s="13">
        <v>0</v>
      </c>
      <c r="F388" s="13">
        <v>0</v>
      </c>
      <c r="G388" s="13">
        <v>0</v>
      </c>
      <c r="H388" s="13">
        <v>0</v>
      </c>
      <c r="I388" s="13">
        <v>0</v>
      </c>
      <c r="J388" s="13">
        <v>0</v>
      </c>
      <c r="K388" s="109">
        <v>0</v>
      </c>
      <c r="L388" s="13">
        <v>0</v>
      </c>
      <c r="M388" s="109">
        <v>0</v>
      </c>
      <c r="N388" s="13">
        <v>0</v>
      </c>
      <c r="O388" s="13">
        <v>0</v>
      </c>
      <c r="P388" s="13">
        <v>0</v>
      </c>
      <c r="Q388" s="13">
        <v>0</v>
      </c>
      <c r="R388" s="13">
        <v>1</v>
      </c>
      <c r="S388" s="13">
        <v>0</v>
      </c>
      <c r="T388" s="13">
        <v>0</v>
      </c>
      <c r="U388" s="13">
        <v>0</v>
      </c>
      <c r="V388" s="13">
        <v>0</v>
      </c>
      <c r="W388" s="13">
        <v>0</v>
      </c>
      <c r="X388" s="109">
        <v>1</v>
      </c>
      <c r="Y388" s="13">
        <v>0</v>
      </c>
      <c r="Z388" s="13">
        <v>0</v>
      </c>
      <c r="AA388" s="13">
        <v>0</v>
      </c>
      <c r="AB388" s="13">
        <v>0</v>
      </c>
      <c r="AC388" s="13">
        <v>0</v>
      </c>
      <c r="AD388" s="13">
        <v>0</v>
      </c>
      <c r="AE388" s="13">
        <v>0</v>
      </c>
      <c r="AF388" s="13">
        <v>0</v>
      </c>
      <c r="AG388" s="13"/>
      <c r="AH388" s="13"/>
    </row>
    <row r="389" spans="1:34" ht="12.75" customHeight="1">
      <c r="A389" s="10" t="s">
        <v>67</v>
      </c>
      <c r="B389" s="11">
        <f>AVERAGE(E389:AE389)</f>
        <v>7.407407407407407E-2</v>
      </c>
      <c r="C389" s="2">
        <f>MIN(E389:AE389)</f>
        <v>0</v>
      </c>
      <c r="D389" s="12">
        <f>MAX(E389:AE389)</f>
        <v>1</v>
      </c>
      <c r="E389" s="13">
        <v>0</v>
      </c>
      <c r="F389" s="13">
        <v>0</v>
      </c>
      <c r="G389" s="13">
        <v>0</v>
      </c>
      <c r="H389" s="13">
        <v>0</v>
      </c>
      <c r="I389" s="13">
        <v>0</v>
      </c>
      <c r="J389" s="13">
        <v>0</v>
      </c>
      <c r="K389" s="109">
        <v>0</v>
      </c>
      <c r="L389" s="13">
        <v>0</v>
      </c>
      <c r="M389" s="109">
        <v>0</v>
      </c>
      <c r="N389" s="13">
        <v>0</v>
      </c>
      <c r="O389" s="13">
        <v>0</v>
      </c>
      <c r="P389" s="13">
        <v>0</v>
      </c>
      <c r="Q389" s="13">
        <v>0</v>
      </c>
      <c r="R389" s="109">
        <v>1</v>
      </c>
      <c r="S389" s="13">
        <v>0</v>
      </c>
      <c r="T389" s="13">
        <v>0</v>
      </c>
      <c r="U389" s="13">
        <v>0</v>
      </c>
      <c r="V389" s="13">
        <v>0</v>
      </c>
      <c r="W389" s="13">
        <v>0</v>
      </c>
      <c r="X389" s="109">
        <v>1</v>
      </c>
      <c r="Y389" s="13">
        <v>0</v>
      </c>
      <c r="Z389" s="13">
        <v>0</v>
      </c>
      <c r="AA389" s="13">
        <v>0</v>
      </c>
      <c r="AB389" s="13">
        <v>0</v>
      </c>
      <c r="AC389" s="13">
        <v>0</v>
      </c>
      <c r="AD389" s="13">
        <v>0</v>
      </c>
      <c r="AE389" s="13">
        <v>0</v>
      </c>
      <c r="AF389" s="13">
        <v>0</v>
      </c>
      <c r="AG389" s="13"/>
      <c r="AH389" s="13"/>
    </row>
    <row r="390" spans="1:34" ht="12.75" customHeight="1">
      <c r="A390" s="10" t="s">
        <v>71</v>
      </c>
      <c r="B390" s="11">
        <f>AVERAGE(E390:AE390)</f>
        <v>7.407407407407407E-2</v>
      </c>
      <c r="C390" s="2">
        <f>MIN(E390:AE390)</f>
        <v>0</v>
      </c>
      <c r="D390" s="12">
        <f>MAX(E390:AE390)</f>
        <v>1</v>
      </c>
      <c r="E390" s="13">
        <v>0</v>
      </c>
      <c r="F390" s="13">
        <v>0</v>
      </c>
      <c r="G390" s="13">
        <v>0</v>
      </c>
      <c r="H390" s="13">
        <v>0</v>
      </c>
      <c r="I390" s="13">
        <v>0</v>
      </c>
      <c r="J390" s="13">
        <v>0</v>
      </c>
      <c r="K390" s="109">
        <v>0</v>
      </c>
      <c r="L390" s="13">
        <v>0</v>
      </c>
      <c r="M390" s="109">
        <v>0</v>
      </c>
      <c r="N390" s="13">
        <v>0</v>
      </c>
      <c r="O390" s="13">
        <v>0</v>
      </c>
      <c r="P390" s="13">
        <v>0</v>
      </c>
      <c r="Q390" s="13">
        <v>0</v>
      </c>
      <c r="R390" s="109">
        <v>1</v>
      </c>
      <c r="S390" s="13">
        <v>0</v>
      </c>
      <c r="T390" s="13">
        <v>0</v>
      </c>
      <c r="U390" s="13">
        <v>0</v>
      </c>
      <c r="V390" s="13">
        <v>0</v>
      </c>
      <c r="W390" s="13">
        <v>0</v>
      </c>
      <c r="X390" s="109">
        <v>1</v>
      </c>
      <c r="Y390" s="13">
        <v>0</v>
      </c>
      <c r="Z390" s="13">
        <v>0</v>
      </c>
      <c r="AA390" s="13">
        <v>0</v>
      </c>
      <c r="AB390" s="13">
        <v>0</v>
      </c>
      <c r="AC390" s="13">
        <v>0</v>
      </c>
      <c r="AD390" s="13">
        <v>0</v>
      </c>
      <c r="AE390" s="13">
        <v>0</v>
      </c>
      <c r="AF390" s="13">
        <v>0</v>
      </c>
      <c r="AG390" s="13"/>
      <c r="AH390" s="13"/>
    </row>
    <row r="391" spans="1:34" ht="12.75" customHeight="1">
      <c r="A391" s="10" t="s">
        <v>74</v>
      </c>
      <c r="B391" s="11">
        <f>AVERAGE(E391:AE391)</f>
        <v>7.407407407407407E-2</v>
      </c>
      <c r="C391" s="2">
        <f>MIN(E391:AE391)</f>
        <v>0</v>
      </c>
      <c r="D391" s="12">
        <f>MAX(E391:AE391)</f>
        <v>1</v>
      </c>
      <c r="E391" s="13">
        <v>0</v>
      </c>
      <c r="F391" s="13">
        <v>0</v>
      </c>
      <c r="G391" s="13">
        <v>0</v>
      </c>
      <c r="H391" s="13">
        <v>0</v>
      </c>
      <c r="I391" s="13">
        <v>0</v>
      </c>
      <c r="J391" s="13">
        <v>0</v>
      </c>
      <c r="K391" s="109">
        <v>0</v>
      </c>
      <c r="L391" s="13">
        <v>0</v>
      </c>
      <c r="M391" s="109">
        <v>0</v>
      </c>
      <c r="N391" s="13">
        <v>0</v>
      </c>
      <c r="O391" s="13">
        <v>0</v>
      </c>
      <c r="P391" s="13">
        <v>0</v>
      </c>
      <c r="Q391" s="13">
        <v>0</v>
      </c>
      <c r="R391" s="109">
        <v>1</v>
      </c>
      <c r="S391" s="13">
        <v>0</v>
      </c>
      <c r="T391" s="13">
        <v>0</v>
      </c>
      <c r="U391" s="13">
        <v>0</v>
      </c>
      <c r="V391" s="13">
        <v>0</v>
      </c>
      <c r="W391" s="13">
        <v>0</v>
      </c>
      <c r="X391" s="109">
        <v>1</v>
      </c>
      <c r="Y391" s="13">
        <v>0</v>
      </c>
      <c r="Z391" s="13">
        <v>0</v>
      </c>
      <c r="AA391" s="13">
        <v>0</v>
      </c>
      <c r="AB391" s="13">
        <v>0</v>
      </c>
      <c r="AC391" s="109">
        <v>0</v>
      </c>
      <c r="AD391" s="13">
        <v>0</v>
      </c>
      <c r="AE391" s="13">
        <v>0</v>
      </c>
      <c r="AF391" s="13">
        <v>0</v>
      </c>
      <c r="AG391" s="13"/>
      <c r="AH391" s="13"/>
    </row>
    <row r="392" spans="1:34" ht="12.75" customHeight="1">
      <c r="A392" s="10" t="s">
        <v>77</v>
      </c>
      <c r="B392" s="11">
        <f>AVERAGE(E392:AE392)</f>
        <v>7.407407407407407E-2</v>
      </c>
      <c r="C392" s="2">
        <f>MIN(E392:AE392)</f>
        <v>0</v>
      </c>
      <c r="D392" s="12">
        <f>MAX(E392:AE392)</f>
        <v>1</v>
      </c>
      <c r="E392" s="13">
        <v>0</v>
      </c>
      <c r="F392" s="13">
        <v>0</v>
      </c>
      <c r="G392" s="13">
        <v>0</v>
      </c>
      <c r="H392" s="13">
        <v>0</v>
      </c>
      <c r="I392" s="13">
        <v>0</v>
      </c>
      <c r="J392" s="13">
        <v>0</v>
      </c>
      <c r="K392" s="109">
        <v>0</v>
      </c>
      <c r="L392" s="13">
        <v>0</v>
      </c>
      <c r="M392" s="109">
        <v>0</v>
      </c>
      <c r="N392" s="13">
        <v>0</v>
      </c>
      <c r="O392" s="13">
        <v>0</v>
      </c>
      <c r="P392" s="13">
        <v>0</v>
      </c>
      <c r="Q392" s="13">
        <v>0</v>
      </c>
      <c r="R392" s="109">
        <v>1</v>
      </c>
      <c r="S392" s="13">
        <v>0</v>
      </c>
      <c r="T392" s="13">
        <v>0</v>
      </c>
      <c r="U392" s="13">
        <v>0</v>
      </c>
      <c r="V392" s="13">
        <v>0</v>
      </c>
      <c r="W392" s="13">
        <v>0</v>
      </c>
      <c r="X392" s="109">
        <v>1</v>
      </c>
      <c r="Y392" s="13">
        <v>0</v>
      </c>
      <c r="Z392" s="13">
        <v>0</v>
      </c>
      <c r="AA392" s="13">
        <v>0</v>
      </c>
      <c r="AB392" s="13">
        <v>0</v>
      </c>
      <c r="AC392" s="109">
        <v>0</v>
      </c>
      <c r="AD392" s="13">
        <v>0</v>
      </c>
      <c r="AE392" s="13">
        <v>0</v>
      </c>
      <c r="AF392" s="13">
        <v>0</v>
      </c>
      <c r="AG392" s="13"/>
      <c r="AH392" s="13"/>
    </row>
    <row r="393" spans="1:34" ht="12.75" customHeight="1">
      <c r="A393" s="10" t="s">
        <v>80</v>
      </c>
      <c r="B393" s="11">
        <f>AVERAGE(E393:AE393)</f>
        <v>0.1111111111111111</v>
      </c>
      <c r="C393" s="2">
        <f>MIN(E393:AE393)</f>
        <v>0</v>
      </c>
      <c r="D393" s="12">
        <f>MAX(E393:AE393)</f>
        <v>1</v>
      </c>
      <c r="E393" s="13">
        <v>0</v>
      </c>
      <c r="F393" s="13">
        <v>0</v>
      </c>
      <c r="G393" s="13">
        <v>0</v>
      </c>
      <c r="H393" s="13">
        <v>0</v>
      </c>
      <c r="I393" s="13">
        <v>0</v>
      </c>
      <c r="J393" s="13">
        <v>0</v>
      </c>
      <c r="K393" s="109">
        <v>0</v>
      </c>
      <c r="L393" s="13">
        <v>0</v>
      </c>
      <c r="M393" s="109">
        <v>1</v>
      </c>
      <c r="N393" s="13">
        <v>0</v>
      </c>
      <c r="O393" s="13">
        <v>0</v>
      </c>
      <c r="P393" s="13">
        <v>0</v>
      </c>
      <c r="Q393" s="13">
        <v>0</v>
      </c>
      <c r="R393" s="109">
        <v>1</v>
      </c>
      <c r="S393" s="13">
        <v>0</v>
      </c>
      <c r="T393" s="13">
        <v>0</v>
      </c>
      <c r="U393" s="13">
        <v>0</v>
      </c>
      <c r="V393" s="13">
        <v>0</v>
      </c>
      <c r="W393" s="13">
        <v>0</v>
      </c>
      <c r="X393" s="109">
        <v>1</v>
      </c>
      <c r="Y393" s="13">
        <v>0</v>
      </c>
      <c r="Z393" s="13">
        <v>0</v>
      </c>
      <c r="AA393" s="13">
        <v>0</v>
      </c>
      <c r="AB393" s="13">
        <v>0</v>
      </c>
      <c r="AC393" s="109">
        <v>0</v>
      </c>
      <c r="AD393" s="13">
        <v>0</v>
      </c>
      <c r="AE393" s="13">
        <v>0</v>
      </c>
      <c r="AF393" s="13">
        <v>0</v>
      </c>
      <c r="AG393" s="13"/>
      <c r="AH393" s="13"/>
    </row>
    <row r="394" spans="1:34" ht="12.75" customHeight="1">
      <c r="A394" s="10" t="s">
        <v>82</v>
      </c>
      <c r="B394" s="11">
        <f>AVERAGE(E394:AE394)</f>
        <v>0.1111111111111111</v>
      </c>
      <c r="C394" s="2">
        <f>MIN(E394:AE394)</f>
        <v>0</v>
      </c>
      <c r="D394" s="12">
        <f>MAX(E394:AE394)</f>
        <v>1</v>
      </c>
      <c r="E394" s="13">
        <v>0</v>
      </c>
      <c r="F394" s="13">
        <v>0</v>
      </c>
      <c r="G394" s="13">
        <v>0</v>
      </c>
      <c r="H394" s="13">
        <v>0</v>
      </c>
      <c r="I394" s="13">
        <v>0</v>
      </c>
      <c r="J394" s="13">
        <v>0</v>
      </c>
      <c r="K394" s="109">
        <v>0</v>
      </c>
      <c r="L394" s="13">
        <v>0</v>
      </c>
      <c r="M394" s="109">
        <v>1</v>
      </c>
      <c r="N394" s="13">
        <v>0</v>
      </c>
      <c r="O394" s="13">
        <v>0</v>
      </c>
      <c r="P394" s="13">
        <v>0</v>
      </c>
      <c r="Q394" s="13">
        <v>0</v>
      </c>
      <c r="R394" s="109">
        <v>1</v>
      </c>
      <c r="S394" s="13">
        <v>0</v>
      </c>
      <c r="T394" s="13">
        <v>0</v>
      </c>
      <c r="U394" s="13">
        <v>0</v>
      </c>
      <c r="V394" s="13">
        <v>0</v>
      </c>
      <c r="W394" s="13">
        <v>0</v>
      </c>
      <c r="X394" s="109">
        <v>1</v>
      </c>
      <c r="Y394" s="13">
        <v>0</v>
      </c>
      <c r="Z394" s="13">
        <v>0</v>
      </c>
      <c r="AA394" s="13">
        <v>0</v>
      </c>
      <c r="AB394" s="13">
        <v>0</v>
      </c>
      <c r="AC394" s="109">
        <v>0</v>
      </c>
      <c r="AD394" s="13">
        <v>0</v>
      </c>
      <c r="AE394" s="13">
        <v>0</v>
      </c>
      <c r="AF394" s="13">
        <v>0</v>
      </c>
      <c r="AG394" s="13"/>
      <c r="AH394" s="13"/>
    </row>
    <row r="395" spans="1:34" ht="12.75" customHeight="1">
      <c r="A395" s="10" t="s">
        <v>85</v>
      </c>
      <c r="B395" s="11">
        <f>AVERAGE(E395:AE395)</f>
        <v>0.1111111111111111</v>
      </c>
      <c r="C395" s="2">
        <f>MIN(E395:AE395)</f>
        <v>0</v>
      </c>
      <c r="D395" s="12">
        <f>MAX(E395:AE395)</f>
        <v>1</v>
      </c>
      <c r="E395" s="13">
        <v>0</v>
      </c>
      <c r="F395" s="13">
        <v>0</v>
      </c>
      <c r="G395" s="13">
        <v>0</v>
      </c>
      <c r="H395" s="13">
        <v>0</v>
      </c>
      <c r="I395" s="13">
        <v>0</v>
      </c>
      <c r="J395" s="13">
        <v>0</v>
      </c>
      <c r="K395" s="109">
        <v>0</v>
      </c>
      <c r="L395" s="13">
        <v>0</v>
      </c>
      <c r="M395" s="109">
        <v>1</v>
      </c>
      <c r="N395" s="13">
        <v>0</v>
      </c>
      <c r="O395" s="13">
        <v>0</v>
      </c>
      <c r="P395" s="13">
        <v>0</v>
      </c>
      <c r="Q395" s="13">
        <v>0</v>
      </c>
      <c r="R395" s="109">
        <v>1</v>
      </c>
      <c r="S395" s="13">
        <v>0</v>
      </c>
      <c r="T395" s="13">
        <v>0</v>
      </c>
      <c r="U395" s="13">
        <v>0</v>
      </c>
      <c r="V395" s="13">
        <v>0</v>
      </c>
      <c r="W395" s="13">
        <v>0</v>
      </c>
      <c r="X395" s="109">
        <v>1</v>
      </c>
      <c r="Y395" s="13">
        <v>0</v>
      </c>
      <c r="Z395" s="13">
        <v>0</v>
      </c>
      <c r="AA395" s="13">
        <v>0</v>
      </c>
      <c r="AB395" s="13">
        <v>0</v>
      </c>
      <c r="AC395" s="109">
        <v>0</v>
      </c>
      <c r="AD395" s="13">
        <v>0</v>
      </c>
      <c r="AE395" s="13">
        <v>0</v>
      </c>
      <c r="AF395" s="13">
        <v>0</v>
      </c>
      <c r="AG395" s="13"/>
      <c r="AH395" s="13"/>
    </row>
    <row r="396" spans="1:34" ht="12.75" customHeight="1">
      <c r="A396" s="10" t="s">
        <v>88</v>
      </c>
      <c r="B396" s="11">
        <f>AVERAGE(E396:AE396)</f>
        <v>0.1111111111111111</v>
      </c>
      <c r="C396" s="2">
        <f>MIN(E396:AE396)</f>
        <v>0</v>
      </c>
      <c r="D396" s="12">
        <f>MAX(E396:AE396)</f>
        <v>1</v>
      </c>
      <c r="E396" s="13">
        <v>0</v>
      </c>
      <c r="F396" s="13">
        <v>0</v>
      </c>
      <c r="G396" s="13">
        <v>0</v>
      </c>
      <c r="H396" s="13">
        <v>0</v>
      </c>
      <c r="I396" s="13">
        <v>0</v>
      </c>
      <c r="J396" s="13">
        <v>0</v>
      </c>
      <c r="K396" s="109">
        <v>0</v>
      </c>
      <c r="L396" s="13">
        <v>0</v>
      </c>
      <c r="M396" s="109">
        <v>1</v>
      </c>
      <c r="N396" s="13">
        <v>0</v>
      </c>
      <c r="O396" s="13">
        <v>0</v>
      </c>
      <c r="P396" s="13">
        <v>0</v>
      </c>
      <c r="Q396" s="13">
        <v>0</v>
      </c>
      <c r="R396" s="109">
        <v>1</v>
      </c>
      <c r="S396" s="13">
        <v>0</v>
      </c>
      <c r="T396" s="13">
        <v>0</v>
      </c>
      <c r="U396" s="13">
        <v>0</v>
      </c>
      <c r="V396" s="13">
        <v>0</v>
      </c>
      <c r="W396" s="13">
        <v>0</v>
      </c>
      <c r="X396" s="109">
        <v>1</v>
      </c>
      <c r="Y396" s="13">
        <v>0</v>
      </c>
      <c r="Z396" s="13">
        <v>0</v>
      </c>
      <c r="AA396" s="13">
        <v>0</v>
      </c>
      <c r="AB396" s="13">
        <v>0</v>
      </c>
      <c r="AC396" s="109">
        <v>0</v>
      </c>
      <c r="AD396" s="13">
        <v>0</v>
      </c>
      <c r="AE396" s="13">
        <v>0</v>
      </c>
      <c r="AF396" s="13">
        <v>0</v>
      </c>
      <c r="AG396" s="13"/>
      <c r="AH396" s="13"/>
    </row>
    <row r="397" spans="1:34" ht="12.75" customHeight="1">
      <c r="A397" s="10" t="s">
        <v>90</v>
      </c>
      <c r="B397" s="11">
        <f>AVERAGE(E397:AE397)</f>
        <v>0.1111111111111111</v>
      </c>
      <c r="C397" s="2">
        <f>MIN(E397:AE397)</f>
        <v>0</v>
      </c>
      <c r="D397" s="12">
        <f>MAX(E397:AE397)</f>
        <v>1</v>
      </c>
      <c r="E397" s="13">
        <v>0</v>
      </c>
      <c r="F397" s="13">
        <v>0</v>
      </c>
      <c r="G397" s="13">
        <v>0</v>
      </c>
      <c r="H397" s="13">
        <v>0</v>
      </c>
      <c r="I397" s="13">
        <v>0</v>
      </c>
      <c r="J397" s="13">
        <v>0</v>
      </c>
      <c r="K397" s="109">
        <v>0</v>
      </c>
      <c r="L397" s="13">
        <v>0</v>
      </c>
      <c r="M397" s="109">
        <v>1</v>
      </c>
      <c r="N397" s="13">
        <v>0</v>
      </c>
      <c r="O397" s="13">
        <v>0</v>
      </c>
      <c r="P397" s="13">
        <v>0</v>
      </c>
      <c r="Q397" s="13">
        <v>0</v>
      </c>
      <c r="R397" s="109">
        <v>1</v>
      </c>
      <c r="S397" s="13">
        <v>0</v>
      </c>
      <c r="T397" s="13">
        <v>0</v>
      </c>
      <c r="U397" s="13">
        <v>0</v>
      </c>
      <c r="V397" s="13">
        <v>0</v>
      </c>
      <c r="W397" s="13">
        <v>0</v>
      </c>
      <c r="X397" s="109">
        <v>1</v>
      </c>
      <c r="Y397" s="13">
        <v>0</v>
      </c>
      <c r="Z397" s="13">
        <v>0</v>
      </c>
      <c r="AA397" s="13">
        <v>0</v>
      </c>
      <c r="AB397" s="13">
        <v>0</v>
      </c>
      <c r="AC397" s="109">
        <v>0</v>
      </c>
      <c r="AD397" s="13">
        <v>0</v>
      </c>
      <c r="AE397" s="13">
        <v>0</v>
      </c>
      <c r="AF397" s="13">
        <v>0</v>
      </c>
      <c r="AG397" s="13"/>
      <c r="AH397" s="13"/>
    </row>
    <row r="398" spans="1:34" ht="12.75" customHeight="1">
      <c r="A398" s="10" t="s">
        <v>93</v>
      </c>
      <c r="B398" s="11">
        <f>AVERAGE(E398:AE398)</f>
        <v>0.1111111111111111</v>
      </c>
      <c r="C398" s="2">
        <f>MIN(E398:AE398)</f>
        <v>0</v>
      </c>
      <c r="D398" s="12">
        <f>MAX(E398:AE398)</f>
        <v>1</v>
      </c>
      <c r="E398" s="13">
        <v>0</v>
      </c>
      <c r="F398" s="13">
        <v>0</v>
      </c>
      <c r="G398" s="13">
        <v>0</v>
      </c>
      <c r="H398" s="13">
        <v>0</v>
      </c>
      <c r="I398" s="13">
        <v>0</v>
      </c>
      <c r="J398" s="13">
        <v>0</v>
      </c>
      <c r="K398" s="109">
        <v>0</v>
      </c>
      <c r="L398" s="13">
        <v>0</v>
      </c>
      <c r="M398" s="109">
        <v>1</v>
      </c>
      <c r="N398" s="13">
        <v>0</v>
      </c>
      <c r="O398" s="13">
        <v>0</v>
      </c>
      <c r="P398" s="13">
        <v>0</v>
      </c>
      <c r="Q398" s="13">
        <v>0</v>
      </c>
      <c r="R398" s="109">
        <v>1</v>
      </c>
      <c r="S398" s="13">
        <v>0</v>
      </c>
      <c r="T398" s="13">
        <v>0</v>
      </c>
      <c r="U398" s="13">
        <v>0</v>
      </c>
      <c r="V398" s="13">
        <v>0</v>
      </c>
      <c r="W398" s="13">
        <v>0</v>
      </c>
      <c r="X398" s="109">
        <v>1</v>
      </c>
      <c r="Y398" s="13">
        <v>0</v>
      </c>
      <c r="Z398" s="13">
        <v>0</v>
      </c>
      <c r="AA398" s="13">
        <v>0</v>
      </c>
      <c r="AB398" s="13">
        <v>0</v>
      </c>
      <c r="AC398" s="109">
        <v>0</v>
      </c>
      <c r="AD398" s="13">
        <v>0</v>
      </c>
      <c r="AE398" s="13">
        <v>0</v>
      </c>
      <c r="AF398" s="13">
        <v>0</v>
      </c>
      <c r="AG398" s="13"/>
      <c r="AH398" s="13"/>
    </row>
    <row r="399" spans="1:34" ht="12.75" customHeight="1">
      <c r="A399" s="10" t="s">
        <v>95</v>
      </c>
      <c r="B399" s="11">
        <f>AVERAGE(E399:AE399)</f>
        <v>0.1111111111111111</v>
      </c>
      <c r="C399" s="2">
        <f>MIN(E399:AE399)</f>
        <v>0</v>
      </c>
      <c r="D399" s="12">
        <f>MAX(E399:AE399)</f>
        <v>1</v>
      </c>
      <c r="E399" s="13">
        <v>0</v>
      </c>
      <c r="F399" s="13">
        <v>0</v>
      </c>
      <c r="G399" s="13">
        <v>0</v>
      </c>
      <c r="H399" s="13">
        <v>0</v>
      </c>
      <c r="I399" s="13">
        <v>0</v>
      </c>
      <c r="J399" s="13">
        <v>0</v>
      </c>
      <c r="K399" s="109">
        <v>0</v>
      </c>
      <c r="L399" s="13">
        <v>0</v>
      </c>
      <c r="M399" s="109">
        <v>1</v>
      </c>
      <c r="N399" s="13">
        <v>0</v>
      </c>
      <c r="O399" s="13">
        <v>0</v>
      </c>
      <c r="P399" s="13">
        <v>0</v>
      </c>
      <c r="Q399" s="13">
        <v>0</v>
      </c>
      <c r="R399" s="109">
        <v>1</v>
      </c>
      <c r="S399" s="13">
        <v>0</v>
      </c>
      <c r="T399" s="13">
        <v>0</v>
      </c>
      <c r="U399" s="13">
        <v>0</v>
      </c>
      <c r="V399" s="13">
        <v>0</v>
      </c>
      <c r="W399" s="13">
        <v>0</v>
      </c>
      <c r="X399" s="109">
        <v>1</v>
      </c>
      <c r="Y399" s="13">
        <v>0</v>
      </c>
      <c r="Z399" s="13">
        <v>0</v>
      </c>
      <c r="AA399" s="13">
        <v>0</v>
      </c>
      <c r="AB399" s="13">
        <v>0</v>
      </c>
      <c r="AC399" s="109">
        <v>0</v>
      </c>
      <c r="AD399" s="13">
        <v>0</v>
      </c>
      <c r="AE399" s="13">
        <v>0</v>
      </c>
      <c r="AF399" s="13">
        <v>0</v>
      </c>
      <c r="AG399" s="13"/>
      <c r="AH399" s="13"/>
    </row>
    <row r="400" spans="1:34" ht="12.75" customHeight="1">
      <c r="A400" s="10" t="s">
        <v>97</v>
      </c>
      <c r="B400" s="11">
        <f>AVERAGE(E400:AE400)</f>
        <v>0.1111111111111111</v>
      </c>
      <c r="C400" s="2">
        <f>MIN(E400:AE400)</f>
        <v>0</v>
      </c>
      <c r="D400" s="12">
        <f>MAX(E400:AE400)</f>
        <v>1</v>
      </c>
      <c r="E400" s="13">
        <v>0</v>
      </c>
      <c r="F400" s="13">
        <v>0</v>
      </c>
      <c r="G400" s="13">
        <v>0</v>
      </c>
      <c r="H400" s="13">
        <v>0</v>
      </c>
      <c r="I400" s="13">
        <v>0</v>
      </c>
      <c r="J400" s="13">
        <v>0</v>
      </c>
      <c r="K400" s="109">
        <v>0</v>
      </c>
      <c r="L400" s="13">
        <v>0</v>
      </c>
      <c r="M400" s="109">
        <v>1</v>
      </c>
      <c r="N400" s="13">
        <v>0</v>
      </c>
      <c r="O400" s="13">
        <v>0</v>
      </c>
      <c r="P400" s="13">
        <v>0</v>
      </c>
      <c r="Q400" s="13">
        <v>0</v>
      </c>
      <c r="R400" s="109">
        <v>1</v>
      </c>
      <c r="S400" s="13">
        <v>0</v>
      </c>
      <c r="T400" s="13">
        <v>0</v>
      </c>
      <c r="U400" s="13">
        <v>0</v>
      </c>
      <c r="V400" s="13">
        <v>0</v>
      </c>
      <c r="W400" s="13">
        <v>0</v>
      </c>
      <c r="X400" s="109">
        <v>1</v>
      </c>
      <c r="Y400" s="13">
        <v>0</v>
      </c>
      <c r="Z400" s="13">
        <v>0</v>
      </c>
      <c r="AA400" s="13">
        <v>0</v>
      </c>
      <c r="AB400" s="13">
        <v>0</v>
      </c>
      <c r="AC400" s="109">
        <v>0</v>
      </c>
      <c r="AD400" s="13">
        <v>0</v>
      </c>
      <c r="AE400" s="13">
        <v>0</v>
      </c>
      <c r="AF400" s="13">
        <v>0</v>
      </c>
      <c r="AG400" s="13"/>
      <c r="AH400" s="13"/>
    </row>
    <row r="401" spans="1:34" ht="12.75" customHeight="1">
      <c r="A401" s="10" t="s">
        <v>99</v>
      </c>
      <c r="B401" s="11">
        <f>AVERAGE(E401:AE401)</f>
        <v>0.1111111111111111</v>
      </c>
      <c r="C401" s="2">
        <f>MIN(E401:AE401)</f>
        <v>0</v>
      </c>
      <c r="D401" s="12">
        <f>MAX(E401:AE401)</f>
        <v>1</v>
      </c>
      <c r="E401" s="13">
        <v>0</v>
      </c>
      <c r="F401" s="13">
        <v>0</v>
      </c>
      <c r="G401" s="13">
        <v>0</v>
      </c>
      <c r="H401" s="13">
        <v>0</v>
      </c>
      <c r="I401" s="13">
        <v>0</v>
      </c>
      <c r="J401" s="13">
        <v>0</v>
      </c>
      <c r="K401" s="109">
        <v>0</v>
      </c>
      <c r="L401" s="13">
        <v>0</v>
      </c>
      <c r="M401" s="109">
        <v>1</v>
      </c>
      <c r="N401" s="13">
        <v>0</v>
      </c>
      <c r="O401" s="13">
        <v>0</v>
      </c>
      <c r="P401" s="13">
        <v>0</v>
      </c>
      <c r="Q401" s="13">
        <v>0</v>
      </c>
      <c r="R401" s="109">
        <v>1</v>
      </c>
      <c r="S401" s="13">
        <v>0</v>
      </c>
      <c r="T401" s="13">
        <v>0</v>
      </c>
      <c r="U401" s="13">
        <v>0</v>
      </c>
      <c r="V401" s="13">
        <v>0</v>
      </c>
      <c r="W401" s="13">
        <v>0</v>
      </c>
      <c r="X401" s="109">
        <v>1</v>
      </c>
      <c r="Y401" s="13">
        <v>0</v>
      </c>
      <c r="Z401" s="13">
        <v>0</v>
      </c>
      <c r="AA401" s="13">
        <v>0</v>
      </c>
      <c r="AB401" s="13">
        <v>0</v>
      </c>
      <c r="AC401" s="109">
        <v>0</v>
      </c>
      <c r="AD401" s="13">
        <v>0</v>
      </c>
      <c r="AE401" s="13">
        <v>0</v>
      </c>
      <c r="AF401" s="13">
        <v>0</v>
      </c>
      <c r="AG401" s="13"/>
      <c r="AH401" s="13"/>
    </row>
    <row r="402" spans="1:34" ht="12.75" customHeight="1">
      <c r="A402" s="10" t="s">
        <v>101</v>
      </c>
      <c r="B402" s="11">
        <f>AVERAGE(E402:AE402)</f>
        <v>0.1111111111111111</v>
      </c>
      <c r="C402" s="2">
        <f>MIN(E402:AE402)</f>
        <v>0</v>
      </c>
      <c r="D402" s="12">
        <f>MAX(E402:AE402)</f>
        <v>1</v>
      </c>
      <c r="E402" s="13">
        <v>0</v>
      </c>
      <c r="F402" s="13">
        <v>0</v>
      </c>
      <c r="G402" s="13">
        <v>0</v>
      </c>
      <c r="H402" s="13">
        <v>0</v>
      </c>
      <c r="I402" s="13">
        <v>0</v>
      </c>
      <c r="J402" s="13">
        <v>0</v>
      </c>
      <c r="K402" s="109">
        <v>0</v>
      </c>
      <c r="L402" s="13">
        <v>0</v>
      </c>
      <c r="M402" s="109">
        <v>1</v>
      </c>
      <c r="N402" s="13">
        <v>0</v>
      </c>
      <c r="O402" s="13">
        <v>0</v>
      </c>
      <c r="P402" s="13">
        <v>0</v>
      </c>
      <c r="Q402" s="13">
        <v>0</v>
      </c>
      <c r="R402" s="109">
        <v>1</v>
      </c>
      <c r="S402" s="13">
        <v>0</v>
      </c>
      <c r="T402" s="13">
        <v>0</v>
      </c>
      <c r="U402" s="13">
        <v>0</v>
      </c>
      <c r="V402" s="13">
        <v>0</v>
      </c>
      <c r="W402" s="13">
        <v>0</v>
      </c>
      <c r="X402" s="109">
        <v>1</v>
      </c>
      <c r="Y402" s="13">
        <v>0</v>
      </c>
      <c r="Z402" s="13">
        <v>0</v>
      </c>
      <c r="AA402" s="13">
        <v>0</v>
      </c>
      <c r="AB402" s="13">
        <v>0</v>
      </c>
      <c r="AC402" s="109">
        <v>0</v>
      </c>
      <c r="AD402" s="13">
        <v>0</v>
      </c>
      <c r="AE402" s="13">
        <v>0</v>
      </c>
      <c r="AF402" s="13">
        <v>0</v>
      </c>
      <c r="AG402" s="13"/>
      <c r="AH402" s="13"/>
    </row>
    <row r="403" spans="1:34" ht="12.75" customHeight="1">
      <c r="A403" s="10" t="s">
        <v>103</v>
      </c>
      <c r="B403" s="11">
        <f>AVERAGE(E403:AE403)</f>
        <v>0.1111111111111111</v>
      </c>
      <c r="C403" s="2">
        <f>MIN(E403:AE403)</f>
        <v>0</v>
      </c>
      <c r="D403" s="12">
        <f>MAX(E403:AE403)</f>
        <v>1</v>
      </c>
      <c r="E403" s="13">
        <v>0</v>
      </c>
      <c r="F403" s="13">
        <v>0</v>
      </c>
      <c r="G403" s="13">
        <v>0</v>
      </c>
      <c r="H403" s="13">
        <v>0</v>
      </c>
      <c r="I403" s="13">
        <v>0</v>
      </c>
      <c r="J403" s="13">
        <v>0</v>
      </c>
      <c r="K403" s="109">
        <v>0</v>
      </c>
      <c r="L403" s="13">
        <v>0</v>
      </c>
      <c r="M403" s="109">
        <v>1</v>
      </c>
      <c r="N403" s="13">
        <v>0</v>
      </c>
      <c r="O403" s="13">
        <v>0</v>
      </c>
      <c r="P403" s="13">
        <v>0</v>
      </c>
      <c r="Q403" s="13">
        <v>0</v>
      </c>
      <c r="R403" s="109">
        <v>1</v>
      </c>
      <c r="S403" s="13">
        <v>0</v>
      </c>
      <c r="T403" s="13">
        <v>0</v>
      </c>
      <c r="U403" s="13">
        <v>0</v>
      </c>
      <c r="V403" s="13">
        <v>0</v>
      </c>
      <c r="W403" s="13">
        <v>0</v>
      </c>
      <c r="X403" s="109">
        <v>1</v>
      </c>
      <c r="Y403" s="13">
        <v>0</v>
      </c>
      <c r="Z403" s="13">
        <v>0</v>
      </c>
      <c r="AA403" s="13">
        <v>0</v>
      </c>
      <c r="AB403" s="13">
        <v>0</v>
      </c>
      <c r="AC403" s="109">
        <v>0</v>
      </c>
      <c r="AD403" s="13">
        <v>0</v>
      </c>
      <c r="AE403" s="13">
        <v>0</v>
      </c>
      <c r="AF403" s="13">
        <v>0</v>
      </c>
      <c r="AG403" s="13"/>
      <c r="AH403" s="13"/>
    </row>
    <row r="404" spans="1:34" ht="12.75" customHeight="1">
      <c r="A404" s="10" t="s">
        <v>105</v>
      </c>
      <c r="B404" s="11">
        <f>AVERAGE(E404:AE404)</f>
        <v>0.1111111111111111</v>
      </c>
      <c r="C404" s="2">
        <f>MIN(E404:AE404)</f>
        <v>0</v>
      </c>
      <c r="D404" s="12">
        <f>MAX(E404:AE404)</f>
        <v>1</v>
      </c>
      <c r="E404" s="13">
        <v>0</v>
      </c>
      <c r="F404" s="13">
        <v>0</v>
      </c>
      <c r="G404" s="13">
        <v>0</v>
      </c>
      <c r="H404" s="13">
        <v>0</v>
      </c>
      <c r="I404" s="13">
        <v>0</v>
      </c>
      <c r="J404" s="13">
        <v>0</v>
      </c>
      <c r="K404" s="13">
        <v>0</v>
      </c>
      <c r="L404" s="13">
        <v>0</v>
      </c>
      <c r="M404" s="109">
        <v>1</v>
      </c>
      <c r="N404" s="13">
        <v>0</v>
      </c>
      <c r="O404" s="13">
        <v>0</v>
      </c>
      <c r="P404" s="13">
        <v>0</v>
      </c>
      <c r="Q404" s="13">
        <v>0</v>
      </c>
      <c r="R404" s="109">
        <v>1</v>
      </c>
      <c r="S404" s="13">
        <v>0</v>
      </c>
      <c r="T404" s="13">
        <v>0</v>
      </c>
      <c r="U404" s="13">
        <v>0</v>
      </c>
      <c r="V404" s="13">
        <v>0</v>
      </c>
      <c r="W404" s="13">
        <v>0</v>
      </c>
      <c r="X404" s="109">
        <v>1</v>
      </c>
      <c r="Y404" s="13">
        <v>0</v>
      </c>
      <c r="Z404" s="13">
        <v>0</v>
      </c>
      <c r="AA404" s="13">
        <v>0</v>
      </c>
      <c r="AB404" s="13">
        <v>0</v>
      </c>
      <c r="AC404" s="109">
        <v>0</v>
      </c>
      <c r="AD404" s="13">
        <v>0</v>
      </c>
      <c r="AE404" s="13">
        <v>0</v>
      </c>
      <c r="AF404" s="13">
        <v>0</v>
      </c>
      <c r="AG404" s="13"/>
      <c r="AH404" s="13"/>
    </row>
    <row r="405" spans="1:34" ht="12.75" customHeight="1">
      <c r="A405" s="10" t="s">
        <v>107</v>
      </c>
      <c r="B405" s="11">
        <f>AVERAGE(E405:AE405)</f>
        <v>0.1111111111111111</v>
      </c>
      <c r="C405" s="2">
        <f>MIN(E405:AE405)</f>
        <v>0</v>
      </c>
      <c r="D405" s="12">
        <f>MAX(E405:AE405)</f>
        <v>1</v>
      </c>
      <c r="E405" s="13">
        <v>0</v>
      </c>
      <c r="F405" s="13">
        <v>0</v>
      </c>
      <c r="G405" s="13">
        <v>0</v>
      </c>
      <c r="H405" s="13">
        <v>0</v>
      </c>
      <c r="I405" s="13">
        <v>0</v>
      </c>
      <c r="J405" s="13">
        <v>0</v>
      </c>
      <c r="K405" s="13">
        <v>0</v>
      </c>
      <c r="L405" s="13">
        <v>0</v>
      </c>
      <c r="M405" s="109">
        <v>1</v>
      </c>
      <c r="N405" s="13">
        <v>0</v>
      </c>
      <c r="O405" s="13">
        <v>0</v>
      </c>
      <c r="P405" s="13">
        <v>0</v>
      </c>
      <c r="Q405" s="13">
        <v>0</v>
      </c>
      <c r="R405" s="109">
        <v>1</v>
      </c>
      <c r="S405" s="13">
        <v>0</v>
      </c>
      <c r="T405" s="13">
        <v>0</v>
      </c>
      <c r="U405" s="13">
        <v>0</v>
      </c>
      <c r="V405" s="13">
        <v>0</v>
      </c>
      <c r="W405" s="13">
        <v>0</v>
      </c>
      <c r="X405" s="109">
        <v>1</v>
      </c>
      <c r="Y405" s="13">
        <v>0</v>
      </c>
      <c r="Z405" s="13">
        <v>0</v>
      </c>
      <c r="AA405" s="13">
        <v>0</v>
      </c>
      <c r="AB405" s="13">
        <v>0</v>
      </c>
      <c r="AC405" s="109">
        <v>0</v>
      </c>
      <c r="AD405" s="13">
        <v>0</v>
      </c>
      <c r="AE405" s="13">
        <v>0</v>
      </c>
      <c r="AF405" s="13">
        <v>0</v>
      </c>
      <c r="AG405" s="13"/>
      <c r="AH405" s="13"/>
    </row>
    <row r="406" spans="1:34" ht="12.75" customHeight="1">
      <c r="A406" s="10" t="s">
        <v>110</v>
      </c>
      <c r="B406" s="11">
        <f>AVERAGE(E406:AE406)</f>
        <v>0.1111111111111111</v>
      </c>
      <c r="C406" s="2">
        <f>MIN(E406:AE406)</f>
        <v>0</v>
      </c>
      <c r="D406" s="12">
        <f>MAX(E406:AE406)</f>
        <v>1</v>
      </c>
      <c r="E406" s="13">
        <v>0</v>
      </c>
      <c r="F406" s="13">
        <v>0</v>
      </c>
      <c r="G406" s="13">
        <v>0</v>
      </c>
      <c r="H406" s="13">
        <v>0</v>
      </c>
      <c r="I406" s="13">
        <v>0</v>
      </c>
      <c r="J406" s="13">
        <v>0</v>
      </c>
      <c r="K406" s="13">
        <v>0</v>
      </c>
      <c r="L406" s="13">
        <v>0</v>
      </c>
      <c r="M406" s="109">
        <v>1</v>
      </c>
      <c r="N406" s="13">
        <v>0</v>
      </c>
      <c r="O406" s="13">
        <v>0</v>
      </c>
      <c r="P406" s="13">
        <v>0</v>
      </c>
      <c r="Q406" s="13">
        <v>0</v>
      </c>
      <c r="R406" s="109">
        <v>1</v>
      </c>
      <c r="S406" s="13">
        <v>0</v>
      </c>
      <c r="T406" s="13">
        <v>0</v>
      </c>
      <c r="U406" s="13">
        <v>0</v>
      </c>
      <c r="V406" s="13">
        <v>0</v>
      </c>
      <c r="W406" s="13">
        <v>0</v>
      </c>
      <c r="X406" s="109">
        <v>1</v>
      </c>
      <c r="Y406" s="13">
        <v>0</v>
      </c>
      <c r="Z406" s="13">
        <v>0</v>
      </c>
      <c r="AA406" s="13">
        <v>0</v>
      </c>
      <c r="AB406" s="13">
        <v>0</v>
      </c>
      <c r="AC406" s="109">
        <v>0</v>
      </c>
      <c r="AD406" s="13">
        <v>0</v>
      </c>
      <c r="AE406" s="13">
        <v>0</v>
      </c>
      <c r="AF406" s="13">
        <v>0</v>
      </c>
      <c r="AG406" s="13"/>
      <c r="AH406" s="13"/>
    </row>
    <row r="407" spans="1:34" ht="12.75" customHeight="1">
      <c r="A407" s="10" t="s">
        <v>112</v>
      </c>
      <c r="B407" s="11">
        <f>AVERAGE(E407:AE407)</f>
        <v>0.1111111111111111</v>
      </c>
      <c r="C407" s="2">
        <f>MIN(E407:AE407)</f>
        <v>0</v>
      </c>
      <c r="D407" s="12">
        <f>MAX(E407:AE407)</f>
        <v>1</v>
      </c>
      <c r="E407" s="13">
        <v>0</v>
      </c>
      <c r="F407" s="13">
        <v>0</v>
      </c>
      <c r="G407" s="13">
        <v>0</v>
      </c>
      <c r="H407" s="13">
        <v>0</v>
      </c>
      <c r="I407" s="13">
        <v>0</v>
      </c>
      <c r="J407" s="13">
        <v>0</v>
      </c>
      <c r="K407" s="13">
        <v>0</v>
      </c>
      <c r="L407" s="13">
        <v>0</v>
      </c>
      <c r="M407" s="109">
        <v>1</v>
      </c>
      <c r="N407" s="13">
        <v>0</v>
      </c>
      <c r="O407" s="13">
        <v>0</v>
      </c>
      <c r="P407" s="13">
        <v>0</v>
      </c>
      <c r="Q407" s="13">
        <v>0</v>
      </c>
      <c r="R407" s="109">
        <v>1</v>
      </c>
      <c r="S407" s="13">
        <v>0</v>
      </c>
      <c r="T407" s="13">
        <v>0</v>
      </c>
      <c r="U407" s="13">
        <v>0</v>
      </c>
      <c r="V407" s="13">
        <v>0</v>
      </c>
      <c r="W407" s="13">
        <v>0</v>
      </c>
      <c r="X407" s="109">
        <v>1</v>
      </c>
      <c r="Y407" s="13">
        <v>0</v>
      </c>
      <c r="Z407" s="13">
        <v>0</v>
      </c>
      <c r="AA407" s="13">
        <v>0</v>
      </c>
      <c r="AB407" s="13">
        <v>0</v>
      </c>
      <c r="AC407" s="109">
        <v>0</v>
      </c>
      <c r="AD407" s="13">
        <v>0</v>
      </c>
      <c r="AE407" s="13">
        <v>0</v>
      </c>
      <c r="AF407" s="13">
        <v>0</v>
      </c>
      <c r="AG407" s="13"/>
      <c r="AH407" s="13"/>
    </row>
    <row r="408" spans="1:34" ht="12.75" customHeight="1">
      <c r="A408" s="10" t="s">
        <v>115</v>
      </c>
      <c r="B408" s="11">
        <f>AVERAGE(E408:AE408)</f>
        <v>0.1111111111111111</v>
      </c>
      <c r="C408" s="2">
        <f>MIN(E408:AE408)</f>
        <v>0</v>
      </c>
      <c r="D408" s="12">
        <f>MAX(E408:AE408)</f>
        <v>1</v>
      </c>
      <c r="E408" s="13">
        <v>0</v>
      </c>
      <c r="F408" s="13">
        <v>0</v>
      </c>
      <c r="G408" s="13">
        <v>0</v>
      </c>
      <c r="H408" s="13">
        <v>0</v>
      </c>
      <c r="I408" s="13">
        <v>0</v>
      </c>
      <c r="J408" s="13">
        <v>0</v>
      </c>
      <c r="K408" s="13">
        <v>0</v>
      </c>
      <c r="L408" s="13">
        <v>0</v>
      </c>
      <c r="M408" s="109">
        <v>1</v>
      </c>
      <c r="N408" s="13">
        <v>0</v>
      </c>
      <c r="O408" s="13">
        <v>0</v>
      </c>
      <c r="P408" s="13">
        <v>0</v>
      </c>
      <c r="Q408" s="13">
        <v>0</v>
      </c>
      <c r="R408" s="109">
        <v>1</v>
      </c>
      <c r="S408" s="13">
        <v>0</v>
      </c>
      <c r="T408" s="13">
        <v>0</v>
      </c>
      <c r="U408" s="13">
        <v>0</v>
      </c>
      <c r="V408" s="13">
        <v>0</v>
      </c>
      <c r="W408" s="13">
        <v>0</v>
      </c>
      <c r="X408" s="109">
        <v>1</v>
      </c>
      <c r="Y408" s="13">
        <v>0</v>
      </c>
      <c r="Z408" s="13">
        <v>0</v>
      </c>
      <c r="AA408" s="13">
        <v>0</v>
      </c>
      <c r="AB408" s="13">
        <v>0</v>
      </c>
      <c r="AC408" s="109">
        <v>0</v>
      </c>
      <c r="AD408" s="13">
        <v>0</v>
      </c>
      <c r="AE408" s="13">
        <v>0</v>
      </c>
      <c r="AF408" s="13">
        <v>0</v>
      </c>
      <c r="AG408" s="13"/>
      <c r="AH408" s="13"/>
    </row>
    <row r="409" spans="1:34" ht="12.75" customHeight="1">
      <c r="A409" s="10" t="s">
        <v>117</v>
      </c>
      <c r="B409" s="11">
        <f>AVERAGE(E409:AE409)</f>
        <v>0.1111111111111111</v>
      </c>
      <c r="C409" s="2">
        <f>MIN(E409:AE409)</f>
        <v>0</v>
      </c>
      <c r="D409" s="12">
        <f>MAX(E409:AE409)</f>
        <v>1</v>
      </c>
      <c r="E409" s="13">
        <v>0</v>
      </c>
      <c r="F409" s="13">
        <v>0</v>
      </c>
      <c r="G409" s="13">
        <v>0</v>
      </c>
      <c r="H409" s="13">
        <v>0</v>
      </c>
      <c r="I409" s="13">
        <v>0</v>
      </c>
      <c r="J409" s="13">
        <v>0</v>
      </c>
      <c r="K409" s="13">
        <v>0</v>
      </c>
      <c r="L409" s="13">
        <v>0</v>
      </c>
      <c r="M409" s="109">
        <v>1</v>
      </c>
      <c r="N409" s="13">
        <v>0</v>
      </c>
      <c r="O409" s="13">
        <v>0</v>
      </c>
      <c r="P409" s="13">
        <v>0</v>
      </c>
      <c r="Q409" s="13">
        <v>0</v>
      </c>
      <c r="R409" s="109">
        <v>1</v>
      </c>
      <c r="S409" s="13">
        <v>0</v>
      </c>
      <c r="T409" s="13">
        <v>0</v>
      </c>
      <c r="U409" s="13">
        <v>0</v>
      </c>
      <c r="V409" s="13">
        <v>0</v>
      </c>
      <c r="W409" s="13">
        <v>0</v>
      </c>
      <c r="X409" s="109">
        <v>1</v>
      </c>
      <c r="Y409" s="13">
        <v>0</v>
      </c>
      <c r="Z409" s="13">
        <v>0</v>
      </c>
      <c r="AA409" s="13">
        <v>0</v>
      </c>
      <c r="AB409" s="13">
        <v>0</v>
      </c>
      <c r="AC409" s="109">
        <v>0</v>
      </c>
      <c r="AD409" s="13">
        <v>0</v>
      </c>
      <c r="AE409" s="13">
        <v>0</v>
      </c>
      <c r="AF409" s="13">
        <v>0</v>
      </c>
      <c r="AG409" s="13"/>
      <c r="AH409" s="13"/>
    </row>
    <row r="410" spans="1:34" ht="12.75" customHeight="1">
      <c r="A410" s="10" t="s">
        <v>119</v>
      </c>
      <c r="B410" s="11">
        <f>AVERAGE(E410:AE410)</f>
        <v>0.1111111111111111</v>
      </c>
      <c r="C410" s="2">
        <f>MIN(E410:AE410)</f>
        <v>0</v>
      </c>
      <c r="D410" s="12">
        <f>MAX(E410:AE410)</f>
        <v>1</v>
      </c>
      <c r="E410" s="13">
        <v>0</v>
      </c>
      <c r="F410" s="13">
        <v>0</v>
      </c>
      <c r="G410" s="13">
        <v>0</v>
      </c>
      <c r="H410" s="13">
        <v>0</v>
      </c>
      <c r="I410" s="13">
        <v>0</v>
      </c>
      <c r="J410" s="13">
        <v>0</v>
      </c>
      <c r="K410" s="13">
        <v>0</v>
      </c>
      <c r="L410" s="13">
        <v>0</v>
      </c>
      <c r="M410" s="109">
        <v>1</v>
      </c>
      <c r="N410" s="13">
        <v>0</v>
      </c>
      <c r="O410" s="13">
        <v>0</v>
      </c>
      <c r="P410" s="13">
        <v>0</v>
      </c>
      <c r="Q410" s="13">
        <v>0</v>
      </c>
      <c r="R410" s="109">
        <v>1</v>
      </c>
      <c r="S410" s="13">
        <v>0</v>
      </c>
      <c r="T410" s="13">
        <v>0</v>
      </c>
      <c r="U410" s="13">
        <v>0</v>
      </c>
      <c r="V410" s="13">
        <v>0</v>
      </c>
      <c r="W410" s="13">
        <v>0</v>
      </c>
      <c r="X410" s="109">
        <v>1</v>
      </c>
      <c r="Y410" s="13">
        <v>0</v>
      </c>
      <c r="Z410" s="13">
        <v>0</v>
      </c>
      <c r="AA410" s="13">
        <v>0</v>
      </c>
      <c r="AB410" s="13">
        <v>0</v>
      </c>
      <c r="AC410" s="109">
        <v>0</v>
      </c>
      <c r="AD410" s="13">
        <v>0</v>
      </c>
      <c r="AE410" s="13">
        <v>0</v>
      </c>
      <c r="AF410" s="13">
        <v>0</v>
      </c>
      <c r="AG410" s="13"/>
      <c r="AH410" s="13"/>
    </row>
    <row r="411" spans="1:34" ht="12.75" customHeight="1">
      <c r="A411" s="10" t="s">
        <v>122</v>
      </c>
      <c r="B411" s="11">
        <f>AVERAGE(E411:AE411)</f>
        <v>0.1111111111111111</v>
      </c>
      <c r="C411" s="2">
        <f>MIN(E411:AE411)</f>
        <v>0</v>
      </c>
      <c r="D411" s="12">
        <f>MAX(E411:AE411)</f>
        <v>1</v>
      </c>
      <c r="E411" s="13">
        <v>0</v>
      </c>
      <c r="F411" s="13">
        <v>0</v>
      </c>
      <c r="G411" s="13">
        <v>0</v>
      </c>
      <c r="H411" s="13">
        <v>0</v>
      </c>
      <c r="I411" s="13">
        <v>0</v>
      </c>
      <c r="J411" s="13">
        <v>0</v>
      </c>
      <c r="K411" s="13">
        <v>0</v>
      </c>
      <c r="L411" s="13">
        <v>0</v>
      </c>
      <c r="M411" s="109">
        <v>1</v>
      </c>
      <c r="N411" s="13">
        <v>0</v>
      </c>
      <c r="O411" s="13">
        <v>0</v>
      </c>
      <c r="P411" s="13">
        <v>0</v>
      </c>
      <c r="Q411" s="13">
        <v>0</v>
      </c>
      <c r="R411" s="109">
        <v>1</v>
      </c>
      <c r="S411" s="13">
        <v>0</v>
      </c>
      <c r="T411" s="13">
        <v>0</v>
      </c>
      <c r="U411" s="13">
        <v>0</v>
      </c>
      <c r="V411" s="13">
        <v>0</v>
      </c>
      <c r="W411" s="13">
        <v>0</v>
      </c>
      <c r="X411" s="109">
        <v>1</v>
      </c>
      <c r="Y411" s="13">
        <v>0</v>
      </c>
      <c r="Z411" s="13">
        <v>0</v>
      </c>
      <c r="AA411" s="13">
        <v>0</v>
      </c>
      <c r="AB411" s="13">
        <v>0</v>
      </c>
      <c r="AC411" s="109">
        <v>0</v>
      </c>
      <c r="AD411" s="13">
        <v>0</v>
      </c>
      <c r="AE411" s="13">
        <v>0</v>
      </c>
      <c r="AF411" s="13">
        <v>0</v>
      </c>
      <c r="AG411" s="13"/>
      <c r="AH411" s="13"/>
    </row>
    <row r="412" spans="1:34" ht="12.75" customHeight="1">
      <c r="A412" s="10" t="s">
        <v>124</v>
      </c>
      <c r="B412" s="11">
        <f>AVERAGE(E412:AE412)</f>
        <v>0.1111111111111111</v>
      </c>
      <c r="C412" s="2">
        <f>MIN(E412:AE412)</f>
        <v>0</v>
      </c>
      <c r="D412" s="12">
        <f>MAX(E412:AE412)</f>
        <v>1</v>
      </c>
      <c r="E412" s="13">
        <v>0</v>
      </c>
      <c r="F412" s="13">
        <v>0</v>
      </c>
      <c r="G412" s="13">
        <v>0</v>
      </c>
      <c r="H412" s="13">
        <v>0</v>
      </c>
      <c r="I412" s="13">
        <v>0</v>
      </c>
      <c r="J412" s="13">
        <v>0</v>
      </c>
      <c r="K412" s="13">
        <v>0</v>
      </c>
      <c r="L412" s="13">
        <v>0</v>
      </c>
      <c r="M412" s="109">
        <v>1</v>
      </c>
      <c r="N412" s="13">
        <v>0</v>
      </c>
      <c r="O412" s="13">
        <v>0</v>
      </c>
      <c r="P412" s="13">
        <v>0</v>
      </c>
      <c r="Q412" s="13">
        <v>0</v>
      </c>
      <c r="R412" s="109">
        <v>1</v>
      </c>
      <c r="S412" s="13">
        <v>0</v>
      </c>
      <c r="T412" s="13">
        <v>0</v>
      </c>
      <c r="U412" s="13">
        <v>0</v>
      </c>
      <c r="V412" s="13">
        <v>0</v>
      </c>
      <c r="W412" s="13">
        <v>0</v>
      </c>
      <c r="X412" s="109">
        <v>1</v>
      </c>
      <c r="Y412" s="13">
        <v>0</v>
      </c>
      <c r="Z412" s="13">
        <v>0</v>
      </c>
      <c r="AA412" s="13">
        <v>0</v>
      </c>
      <c r="AB412" s="13">
        <v>0</v>
      </c>
      <c r="AC412" s="109">
        <v>0</v>
      </c>
      <c r="AD412" s="13">
        <v>0</v>
      </c>
      <c r="AE412" s="13">
        <v>0</v>
      </c>
      <c r="AF412" s="13">
        <v>0</v>
      </c>
      <c r="AG412" s="13"/>
      <c r="AH412" s="13"/>
    </row>
    <row r="413" spans="1:34" ht="12.75" customHeight="1">
      <c r="A413" s="10" t="s">
        <v>127</v>
      </c>
      <c r="B413" s="11">
        <f>AVERAGE(E413:AE413)</f>
        <v>0.1111111111111111</v>
      </c>
      <c r="C413" s="2">
        <f>MIN(E413:AE413)</f>
        <v>0</v>
      </c>
      <c r="D413" s="12">
        <f>MAX(E413:AE413)</f>
        <v>1</v>
      </c>
      <c r="E413" s="13">
        <v>0</v>
      </c>
      <c r="F413" s="13">
        <v>0</v>
      </c>
      <c r="G413" s="13">
        <v>0</v>
      </c>
      <c r="H413" s="13">
        <v>0</v>
      </c>
      <c r="I413" s="13">
        <v>0</v>
      </c>
      <c r="J413" s="13">
        <v>0</v>
      </c>
      <c r="K413" s="13">
        <v>0</v>
      </c>
      <c r="L413" s="13">
        <v>0</v>
      </c>
      <c r="M413" s="109">
        <v>1</v>
      </c>
      <c r="N413" s="13">
        <v>0</v>
      </c>
      <c r="O413" s="13">
        <v>0</v>
      </c>
      <c r="P413" s="13">
        <v>0</v>
      </c>
      <c r="Q413" s="13">
        <v>0</v>
      </c>
      <c r="R413" s="109">
        <v>1</v>
      </c>
      <c r="S413" s="13">
        <v>0</v>
      </c>
      <c r="T413" s="13">
        <v>0</v>
      </c>
      <c r="U413" s="13">
        <v>0</v>
      </c>
      <c r="V413" s="13">
        <v>0</v>
      </c>
      <c r="W413" s="13">
        <v>0</v>
      </c>
      <c r="X413" s="109">
        <v>1</v>
      </c>
      <c r="Y413" s="13">
        <v>0</v>
      </c>
      <c r="Z413" s="13">
        <v>0</v>
      </c>
      <c r="AA413" s="13">
        <v>0</v>
      </c>
      <c r="AB413" s="13">
        <v>0</v>
      </c>
      <c r="AC413" s="109">
        <v>0</v>
      </c>
      <c r="AD413" s="13">
        <v>0</v>
      </c>
      <c r="AE413" s="13">
        <v>0</v>
      </c>
      <c r="AF413" s="13">
        <v>0</v>
      </c>
      <c r="AG413" s="13"/>
      <c r="AH413" s="13"/>
    </row>
    <row r="414" spans="1:34" ht="12.75" customHeight="1">
      <c r="A414" s="10" t="s">
        <v>144</v>
      </c>
      <c r="B414" s="11">
        <f>AVERAGE(E414:AE414)</f>
        <v>0.1111111111111111</v>
      </c>
      <c r="C414" s="2">
        <f>MIN(E414:AE414)</f>
        <v>0</v>
      </c>
      <c r="D414" s="12">
        <f>MAX(E414:AE414)</f>
        <v>1</v>
      </c>
      <c r="E414" s="13">
        <v>0</v>
      </c>
      <c r="F414" s="13">
        <v>0</v>
      </c>
      <c r="G414" s="13">
        <v>0</v>
      </c>
      <c r="H414" s="13">
        <v>0</v>
      </c>
      <c r="I414" s="13">
        <v>0</v>
      </c>
      <c r="J414" s="13">
        <v>0</v>
      </c>
      <c r="K414" s="13">
        <v>0</v>
      </c>
      <c r="L414" s="13">
        <v>0</v>
      </c>
      <c r="M414" s="109">
        <v>1</v>
      </c>
      <c r="N414" s="13">
        <v>0</v>
      </c>
      <c r="O414" s="13">
        <v>0</v>
      </c>
      <c r="P414" s="13">
        <v>0</v>
      </c>
      <c r="Q414" s="13">
        <v>0</v>
      </c>
      <c r="R414" s="109">
        <v>1</v>
      </c>
      <c r="S414" s="13">
        <v>0</v>
      </c>
      <c r="T414" s="13">
        <v>0</v>
      </c>
      <c r="U414" s="13">
        <v>0</v>
      </c>
      <c r="V414" s="13">
        <v>0</v>
      </c>
      <c r="W414" s="13">
        <v>0</v>
      </c>
      <c r="X414" s="109">
        <v>1</v>
      </c>
      <c r="Y414" s="13">
        <v>0</v>
      </c>
      <c r="Z414" s="13">
        <v>0</v>
      </c>
      <c r="AA414" s="13">
        <v>0</v>
      </c>
      <c r="AB414" s="13">
        <v>0</v>
      </c>
      <c r="AC414" s="109">
        <v>0</v>
      </c>
      <c r="AD414" s="13">
        <v>0</v>
      </c>
      <c r="AE414" s="13">
        <v>0</v>
      </c>
      <c r="AF414" s="13">
        <v>0</v>
      </c>
      <c r="AG414" s="13"/>
      <c r="AH414" s="13"/>
    </row>
    <row r="415" spans="1:34" ht="12.75" customHeight="1">
      <c r="A415" s="10" t="s">
        <v>147</v>
      </c>
      <c r="B415" s="11">
        <f>AVERAGE(E415:AE415)</f>
        <v>0.1111111111111111</v>
      </c>
      <c r="C415" s="2">
        <f>MIN(E415:AE415)</f>
        <v>0</v>
      </c>
      <c r="D415" s="12">
        <f>MAX(E415:AE415)</f>
        <v>1</v>
      </c>
      <c r="E415" s="13">
        <v>0</v>
      </c>
      <c r="F415" s="13">
        <v>0</v>
      </c>
      <c r="G415" s="13">
        <v>0</v>
      </c>
      <c r="H415" s="13">
        <v>0</v>
      </c>
      <c r="I415" s="13">
        <v>0</v>
      </c>
      <c r="J415" s="13">
        <v>0</v>
      </c>
      <c r="K415" s="13">
        <v>0</v>
      </c>
      <c r="L415" s="13">
        <v>0</v>
      </c>
      <c r="M415" s="109">
        <v>1</v>
      </c>
      <c r="N415" s="13">
        <v>0</v>
      </c>
      <c r="O415" s="13">
        <v>0</v>
      </c>
      <c r="P415" s="13">
        <v>0</v>
      </c>
      <c r="Q415" s="13">
        <v>0</v>
      </c>
      <c r="R415" s="109">
        <v>1</v>
      </c>
      <c r="S415" s="13">
        <v>0</v>
      </c>
      <c r="T415" s="13">
        <v>0</v>
      </c>
      <c r="U415" s="13">
        <v>0</v>
      </c>
      <c r="V415" s="13">
        <v>0</v>
      </c>
      <c r="W415" s="13">
        <v>0</v>
      </c>
      <c r="X415" s="109">
        <v>1</v>
      </c>
      <c r="Y415" s="13">
        <v>0</v>
      </c>
      <c r="Z415" s="13">
        <v>0</v>
      </c>
      <c r="AA415" s="13">
        <v>0</v>
      </c>
      <c r="AB415" s="13">
        <v>0</v>
      </c>
      <c r="AC415" s="109">
        <v>0</v>
      </c>
      <c r="AD415" s="13">
        <v>0</v>
      </c>
      <c r="AE415" s="13">
        <v>0</v>
      </c>
      <c r="AF415" s="13">
        <v>0</v>
      </c>
      <c r="AG415" s="13"/>
      <c r="AH415" s="13"/>
    </row>
    <row r="416" spans="1:34" ht="12.75" customHeight="1">
      <c r="A416" s="10" t="s">
        <v>149</v>
      </c>
      <c r="B416" s="11">
        <f>AVERAGE(E416:AE416)</f>
        <v>0.1111111111111111</v>
      </c>
      <c r="C416" s="2">
        <f>MIN(E416:AE416)</f>
        <v>0</v>
      </c>
      <c r="D416" s="12">
        <f>MAX(E416:AE416)</f>
        <v>1</v>
      </c>
      <c r="E416" s="13">
        <v>0</v>
      </c>
      <c r="F416" s="13">
        <v>0</v>
      </c>
      <c r="G416" s="13">
        <v>0</v>
      </c>
      <c r="H416" s="13">
        <v>0</v>
      </c>
      <c r="I416" s="13">
        <v>0</v>
      </c>
      <c r="J416" s="13">
        <v>0</v>
      </c>
      <c r="K416" s="13">
        <v>0</v>
      </c>
      <c r="L416" s="13">
        <v>0</v>
      </c>
      <c r="M416" s="109">
        <v>1</v>
      </c>
      <c r="N416" s="109">
        <v>0</v>
      </c>
      <c r="O416" s="13">
        <v>0</v>
      </c>
      <c r="P416" s="13">
        <v>0</v>
      </c>
      <c r="Q416" s="13">
        <v>0</v>
      </c>
      <c r="R416" s="109">
        <v>1</v>
      </c>
      <c r="S416" s="13">
        <v>0</v>
      </c>
      <c r="T416" s="13">
        <v>0</v>
      </c>
      <c r="U416" s="13">
        <v>0</v>
      </c>
      <c r="V416" s="13">
        <v>0</v>
      </c>
      <c r="W416" s="13">
        <v>0</v>
      </c>
      <c r="X416" s="109">
        <v>1</v>
      </c>
      <c r="Y416" s="13">
        <v>0</v>
      </c>
      <c r="Z416" s="13">
        <v>0</v>
      </c>
      <c r="AA416" s="13">
        <v>0</v>
      </c>
      <c r="AB416" s="13">
        <v>0</v>
      </c>
      <c r="AC416" s="109">
        <v>0</v>
      </c>
      <c r="AD416" s="13">
        <v>0</v>
      </c>
      <c r="AE416" s="13">
        <v>0</v>
      </c>
      <c r="AF416" s="13">
        <v>0</v>
      </c>
      <c r="AG416" s="13"/>
      <c r="AH416" s="13"/>
    </row>
    <row r="417" spans="1:34" ht="12.75" customHeight="1">
      <c r="A417" s="10" t="s">
        <v>151</v>
      </c>
      <c r="B417" s="11">
        <f>AVERAGE(E417:AE417)</f>
        <v>0.1111111111111111</v>
      </c>
      <c r="C417" s="2">
        <f>MIN(E417:AE417)</f>
        <v>0</v>
      </c>
      <c r="D417" s="12">
        <f>MAX(E417:AE417)</f>
        <v>1</v>
      </c>
      <c r="E417" s="13">
        <v>0</v>
      </c>
      <c r="F417" s="13">
        <v>0</v>
      </c>
      <c r="G417" s="13">
        <v>0</v>
      </c>
      <c r="H417" s="13">
        <v>0</v>
      </c>
      <c r="I417" s="13">
        <v>0</v>
      </c>
      <c r="J417" s="13">
        <v>0</v>
      </c>
      <c r="K417" s="13">
        <v>0</v>
      </c>
      <c r="L417" s="13">
        <v>0</v>
      </c>
      <c r="M417" s="109">
        <v>1</v>
      </c>
      <c r="N417" s="109">
        <v>0</v>
      </c>
      <c r="O417" s="13">
        <v>0</v>
      </c>
      <c r="P417" s="13">
        <v>0</v>
      </c>
      <c r="Q417" s="13">
        <v>0</v>
      </c>
      <c r="R417" s="109">
        <v>1</v>
      </c>
      <c r="S417" s="13">
        <v>0</v>
      </c>
      <c r="T417" s="13">
        <v>0</v>
      </c>
      <c r="U417" s="13">
        <v>0</v>
      </c>
      <c r="V417" s="13">
        <v>0</v>
      </c>
      <c r="W417" s="13">
        <v>0</v>
      </c>
      <c r="X417" s="109">
        <v>1</v>
      </c>
      <c r="Y417" s="13">
        <v>0</v>
      </c>
      <c r="Z417" s="13">
        <v>0</v>
      </c>
      <c r="AA417" s="13">
        <v>0</v>
      </c>
      <c r="AB417" s="13">
        <v>0</v>
      </c>
      <c r="AC417" s="109">
        <v>0</v>
      </c>
      <c r="AD417" s="13">
        <v>0</v>
      </c>
      <c r="AE417" s="13">
        <v>0</v>
      </c>
      <c r="AF417" s="13">
        <v>0</v>
      </c>
      <c r="AG417" s="13"/>
      <c r="AH417" s="13"/>
    </row>
    <row r="418" spans="1:34" ht="12.75" customHeight="1">
      <c r="A418" s="10" t="s">
        <v>154</v>
      </c>
      <c r="B418" s="11">
        <f>AVERAGE(E418:AE418)</f>
        <v>0.1111111111111111</v>
      </c>
      <c r="C418" s="2">
        <f>MIN(E418:AE418)</f>
        <v>0</v>
      </c>
      <c r="D418" s="12">
        <f>MAX(E418:AE418)</f>
        <v>1</v>
      </c>
      <c r="E418" s="13">
        <v>0</v>
      </c>
      <c r="F418" s="13">
        <v>0</v>
      </c>
      <c r="G418" s="13">
        <v>0</v>
      </c>
      <c r="H418" s="13">
        <v>0</v>
      </c>
      <c r="I418" s="13">
        <v>0</v>
      </c>
      <c r="J418" s="13">
        <v>0</v>
      </c>
      <c r="K418" s="13">
        <v>0</v>
      </c>
      <c r="L418" s="13">
        <v>0</v>
      </c>
      <c r="M418" s="109">
        <v>1</v>
      </c>
      <c r="N418" s="109">
        <v>0</v>
      </c>
      <c r="O418" s="13">
        <v>0</v>
      </c>
      <c r="P418" s="13">
        <v>0</v>
      </c>
      <c r="Q418" s="13">
        <v>0</v>
      </c>
      <c r="R418" s="109">
        <v>1</v>
      </c>
      <c r="S418" s="13">
        <v>0</v>
      </c>
      <c r="T418" s="13">
        <v>0</v>
      </c>
      <c r="U418" s="13">
        <v>0</v>
      </c>
      <c r="V418" s="13">
        <v>0</v>
      </c>
      <c r="W418" s="13">
        <v>0</v>
      </c>
      <c r="X418" s="109">
        <v>1</v>
      </c>
      <c r="Y418" s="13">
        <v>0</v>
      </c>
      <c r="Z418" s="13">
        <v>0</v>
      </c>
      <c r="AA418" s="13">
        <v>0</v>
      </c>
      <c r="AB418" s="13">
        <v>0</v>
      </c>
      <c r="AC418" s="109">
        <v>0</v>
      </c>
      <c r="AD418" s="13">
        <v>0</v>
      </c>
      <c r="AE418" s="13">
        <v>0</v>
      </c>
      <c r="AF418" s="13">
        <v>0</v>
      </c>
      <c r="AG418" s="13"/>
      <c r="AH418" s="13"/>
    </row>
    <row r="419" spans="1:34" ht="12.75" customHeight="1">
      <c r="A419" s="10" t="s">
        <v>156</v>
      </c>
      <c r="B419" s="11">
        <f>AVERAGE(E419:AE419)</f>
        <v>0.1111111111111111</v>
      </c>
      <c r="C419" s="2">
        <f>MIN(E419:AE419)</f>
        <v>0</v>
      </c>
      <c r="D419" s="12">
        <f>MAX(E419:AE419)</f>
        <v>1</v>
      </c>
      <c r="E419" s="13">
        <v>0</v>
      </c>
      <c r="F419" s="13">
        <v>0</v>
      </c>
      <c r="G419" s="13">
        <v>0</v>
      </c>
      <c r="H419" s="13">
        <v>0</v>
      </c>
      <c r="I419" s="13">
        <v>0</v>
      </c>
      <c r="J419" s="13">
        <v>0</v>
      </c>
      <c r="K419" s="13">
        <v>0</v>
      </c>
      <c r="L419" s="13">
        <v>0</v>
      </c>
      <c r="M419" s="109">
        <v>1</v>
      </c>
      <c r="N419" s="109">
        <v>0</v>
      </c>
      <c r="O419" s="13">
        <v>0</v>
      </c>
      <c r="P419" s="13">
        <v>0</v>
      </c>
      <c r="Q419" s="13">
        <v>0</v>
      </c>
      <c r="R419" s="109">
        <v>1</v>
      </c>
      <c r="S419" s="13">
        <v>0</v>
      </c>
      <c r="T419" s="13">
        <v>0</v>
      </c>
      <c r="U419" s="13">
        <v>0</v>
      </c>
      <c r="V419" s="13">
        <v>0</v>
      </c>
      <c r="W419" s="13">
        <v>0</v>
      </c>
      <c r="X419" s="109">
        <v>1</v>
      </c>
      <c r="Y419" s="13">
        <v>0</v>
      </c>
      <c r="Z419" s="13">
        <v>0</v>
      </c>
      <c r="AA419" s="13">
        <v>0</v>
      </c>
      <c r="AB419" s="13">
        <v>0</v>
      </c>
      <c r="AC419" s="109">
        <v>0</v>
      </c>
      <c r="AD419" s="13">
        <v>0</v>
      </c>
      <c r="AE419" s="13">
        <v>0</v>
      </c>
      <c r="AF419" s="13">
        <v>0</v>
      </c>
      <c r="AG419" s="13"/>
      <c r="AH419" s="13"/>
    </row>
    <row r="420" spans="1:34" ht="12.75" customHeight="1">
      <c r="A420" s="10" t="s">
        <v>157</v>
      </c>
      <c r="B420" s="11">
        <f>AVERAGE(E420:AE420)</f>
        <v>0.1111111111111111</v>
      </c>
      <c r="C420" s="2">
        <f>MIN(E420:AE420)</f>
        <v>0</v>
      </c>
      <c r="D420" s="12">
        <f>MAX(E420:AE420)</f>
        <v>1</v>
      </c>
      <c r="E420" s="13">
        <v>0</v>
      </c>
      <c r="F420" s="13">
        <v>0</v>
      </c>
      <c r="G420" s="13">
        <v>0</v>
      </c>
      <c r="H420" s="13">
        <v>0</v>
      </c>
      <c r="I420" s="13">
        <v>0</v>
      </c>
      <c r="J420" s="13">
        <v>0</v>
      </c>
      <c r="K420" s="13">
        <v>0</v>
      </c>
      <c r="L420" s="13">
        <v>0</v>
      </c>
      <c r="M420" s="109">
        <v>1</v>
      </c>
      <c r="N420" s="109">
        <v>0</v>
      </c>
      <c r="O420" s="13">
        <v>0</v>
      </c>
      <c r="P420" s="13">
        <v>0</v>
      </c>
      <c r="Q420" s="13">
        <v>0</v>
      </c>
      <c r="R420" s="109">
        <v>1</v>
      </c>
      <c r="S420" s="13">
        <v>0</v>
      </c>
      <c r="T420" s="13">
        <v>0</v>
      </c>
      <c r="U420" s="13">
        <v>0</v>
      </c>
      <c r="V420" s="13">
        <v>0</v>
      </c>
      <c r="W420" s="13">
        <v>0</v>
      </c>
      <c r="X420" s="109">
        <v>1</v>
      </c>
      <c r="Y420" s="13">
        <v>0</v>
      </c>
      <c r="Z420" s="13">
        <v>0</v>
      </c>
      <c r="AA420" s="13">
        <v>0</v>
      </c>
      <c r="AB420" s="13">
        <v>0</v>
      </c>
      <c r="AC420" s="109">
        <v>0</v>
      </c>
      <c r="AD420" s="13">
        <v>0</v>
      </c>
      <c r="AE420" s="13">
        <v>0</v>
      </c>
      <c r="AF420" s="13">
        <v>0</v>
      </c>
      <c r="AG420" s="13"/>
      <c r="AH420" s="13"/>
    </row>
    <row r="421" spans="1:34" ht="12.75" customHeight="1">
      <c r="A421" s="10" t="s">
        <v>158</v>
      </c>
      <c r="B421" s="11">
        <f>AVERAGE(E421:AE421)</f>
        <v>0.1111111111111111</v>
      </c>
      <c r="C421" s="2">
        <f>MIN(E421:AE421)</f>
        <v>0</v>
      </c>
      <c r="D421" s="12">
        <f>MAX(E421:AE421)</f>
        <v>1</v>
      </c>
      <c r="E421" s="13">
        <v>0</v>
      </c>
      <c r="F421" s="13">
        <v>0</v>
      </c>
      <c r="G421" s="13">
        <v>0</v>
      </c>
      <c r="H421" s="13">
        <v>0</v>
      </c>
      <c r="I421" s="13">
        <v>0</v>
      </c>
      <c r="J421" s="13">
        <v>0</v>
      </c>
      <c r="K421" s="13">
        <v>0</v>
      </c>
      <c r="L421" s="13">
        <v>0</v>
      </c>
      <c r="M421" s="109">
        <v>1</v>
      </c>
      <c r="N421" s="109">
        <v>0</v>
      </c>
      <c r="O421" s="13">
        <v>0</v>
      </c>
      <c r="P421" s="13">
        <v>0</v>
      </c>
      <c r="Q421" s="13">
        <v>0</v>
      </c>
      <c r="R421" s="109">
        <v>1</v>
      </c>
      <c r="S421" s="13">
        <v>0</v>
      </c>
      <c r="T421" s="13">
        <v>0</v>
      </c>
      <c r="U421" s="13">
        <v>0</v>
      </c>
      <c r="V421" s="13">
        <v>0</v>
      </c>
      <c r="W421" s="13">
        <v>0</v>
      </c>
      <c r="X421" s="109">
        <v>1</v>
      </c>
      <c r="Y421" s="13">
        <v>0</v>
      </c>
      <c r="Z421" s="13">
        <v>0</v>
      </c>
      <c r="AA421" s="13">
        <v>0</v>
      </c>
      <c r="AB421" s="13">
        <v>0</v>
      </c>
      <c r="AC421" s="109">
        <v>0</v>
      </c>
      <c r="AD421" s="13">
        <v>0</v>
      </c>
      <c r="AE421" s="13">
        <v>0</v>
      </c>
      <c r="AF421" s="13">
        <v>0</v>
      </c>
      <c r="AG421" s="13"/>
      <c r="AH421" s="13"/>
    </row>
    <row r="422" spans="1:34" ht="12.75" customHeight="1">
      <c r="A422" s="10" t="s">
        <v>159</v>
      </c>
      <c r="B422" s="11">
        <f>AVERAGE(E422:AE422)</f>
        <v>0.1111111111111111</v>
      </c>
      <c r="C422" s="2">
        <f>MIN(E422:AE422)</f>
        <v>0</v>
      </c>
      <c r="D422" s="12">
        <f>MAX(E422:AE422)</f>
        <v>1</v>
      </c>
      <c r="E422" s="13">
        <v>0</v>
      </c>
      <c r="F422" s="13">
        <v>0</v>
      </c>
      <c r="G422" s="13">
        <v>0</v>
      </c>
      <c r="H422" s="13">
        <v>0</v>
      </c>
      <c r="I422" s="13">
        <v>0</v>
      </c>
      <c r="J422" s="13">
        <v>0</v>
      </c>
      <c r="K422" s="13">
        <v>0</v>
      </c>
      <c r="L422" s="13">
        <v>0</v>
      </c>
      <c r="M422" s="109">
        <v>1</v>
      </c>
      <c r="N422" s="109">
        <v>0</v>
      </c>
      <c r="O422" s="13">
        <v>0</v>
      </c>
      <c r="P422" s="13">
        <v>0</v>
      </c>
      <c r="Q422" s="13">
        <v>0</v>
      </c>
      <c r="R422" s="109">
        <v>1</v>
      </c>
      <c r="S422" s="13">
        <v>0</v>
      </c>
      <c r="T422" s="13">
        <v>0</v>
      </c>
      <c r="U422" s="13">
        <v>0</v>
      </c>
      <c r="V422" s="13">
        <v>0</v>
      </c>
      <c r="W422" s="13">
        <v>0</v>
      </c>
      <c r="X422" s="109">
        <v>1</v>
      </c>
      <c r="Y422" s="13">
        <v>0</v>
      </c>
      <c r="Z422" s="13">
        <v>0</v>
      </c>
      <c r="AA422" s="13">
        <v>0</v>
      </c>
      <c r="AB422" s="13">
        <v>0</v>
      </c>
      <c r="AC422" s="109">
        <v>0</v>
      </c>
      <c r="AD422" s="13">
        <v>0</v>
      </c>
      <c r="AE422" s="13">
        <v>0</v>
      </c>
      <c r="AF422" s="13">
        <v>0</v>
      </c>
      <c r="AG422" s="13"/>
      <c r="AH422" s="13"/>
    </row>
    <row r="423" spans="1:34" ht="12.75" customHeight="1">
      <c r="A423" s="10" t="s">
        <v>160</v>
      </c>
      <c r="B423" s="11">
        <f>AVERAGE(E423:AE423)</f>
        <v>0.1111111111111111</v>
      </c>
      <c r="C423" s="2">
        <f>MIN(E423:AE423)</f>
        <v>0</v>
      </c>
      <c r="D423" s="12">
        <f>MAX(E423:AE423)</f>
        <v>1</v>
      </c>
      <c r="E423" s="13">
        <v>0</v>
      </c>
      <c r="F423" s="13">
        <v>0</v>
      </c>
      <c r="G423" s="13">
        <v>0</v>
      </c>
      <c r="H423" s="13">
        <v>0</v>
      </c>
      <c r="I423" s="13">
        <v>0</v>
      </c>
      <c r="J423" s="13">
        <v>0</v>
      </c>
      <c r="K423" s="13">
        <v>0</v>
      </c>
      <c r="L423" s="13">
        <v>0</v>
      </c>
      <c r="M423" s="109">
        <v>1</v>
      </c>
      <c r="N423" s="109">
        <v>0</v>
      </c>
      <c r="O423" s="13">
        <v>0</v>
      </c>
      <c r="P423" s="13">
        <v>0</v>
      </c>
      <c r="Q423" s="13">
        <v>0</v>
      </c>
      <c r="R423" s="109">
        <v>1</v>
      </c>
      <c r="S423" s="13">
        <v>0</v>
      </c>
      <c r="T423" s="13">
        <v>0</v>
      </c>
      <c r="U423" s="13">
        <v>0</v>
      </c>
      <c r="V423" s="13">
        <v>0</v>
      </c>
      <c r="W423" s="13">
        <v>0</v>
      </c>
      <c r="X423" s="109">
        <v>1</v>
      </c>
      <c r="Y423" s="13">
        <v>0</v>
      </c>
      <c r="Z423" s="13">
        <v>0</v>
      </c>
      <c r="AA423" s="13">
        <v>0</v>
      </c>
      <c r="AB423" s="13">
        <v>0</v>
      </c>
      <c r="AC423" s="109">
        <v>0</v>
      </c>
      <c r="AD423" s="13">
        <v>0</v>
      </c>
      <c r="AE423" s="13">
        <v>0</v>
      </c>
      <c r="AF423" s="13">
        <v>0</v>
      </c>
      <c r="AG423" s="13"/>
      <c r="AH423" s="13"/>
    </row>
    <row r="424" spans="1:34" ht="12.75" customHeight="1">
      <c r="A424" s="10" t="s">
        <v>161</v>
      </c>
      <c r="B424" s="11">
        <f>AVERAGE(E424:AE424)</f>
        <v>0.1111111111111111</v>
      </c>
      <c r="C424" s="2">
        <f>MIN(E424:AE424)</f>
        <v>0</v>
      </c>
      <c r="D424" s="12">
        <f>MAX(E424:AE424)</f>
        <v>1</v>
      </c>
      <c r="E424" s="13">
        <v>0</v>
      </c>
      <c r="F424" s="13">
        <v>0</v>
      </c>
      <c r="G424" s="13">
        <v>0</v>
      </c>
      <c r="H424" s="13">
        <v>0</v>
      </c>
      <c r="I424" s="13">
        <v>0</v>
      </c>
      <c r="J424" s="13">
        <v>0</v>
      </c>
      <c r="K424" s="13">
        <v>0</v>
      </c>
      <c r="L424" s="13">
        <v>0</v>
      </c>
      <c r="M424" s="109">
        <v>1</v>
      </c>
      <c r="N424" s="109">
        <v>0</v>
      </c>
      <c r="O424" s="13">
        <v>0</v>
      </c>
      <c r="P424" s="13">
        <v>0</v>
      </c>
      <c r="Q424" s="13">
        <v>0</v>
      </c>
      <c r="R424" s="109">
        <v>1</v>
      </c>
      <c r="S424" s="13">
        <v>0</v>
      </c>
      <c r="T424" s="13">
        <v>0</v>
      </c>
      <c r="U424" s="13">
        <v>0</v>
      </c>
      <c r="V424" s="13">
        <v>0</v>
      </c>
      <c r="W424" s="13">
        <v>0</v>
      </c>
      <c r="X424" s="109">
        <v>1</v>
      </c>
      <c r="Y424" s="13">
        <v>0</v>
      </c>
      <c r="Z424" s="13">
        <v>0</v>
      </c>
      <c r="AA424" s="13">
        <v>0</v>
      </c>
      <c r="AB424" s="13">
        <v>0</v>
      </c>
      <c r="AC424" s="109">
        <v>0</v>
      </c>
      <c r="AD424" s="13">
        <v>0</v>
      </c>
      <c r="AE424" s="13">
        <v>0</v>
      </c>
      <c r="AF424" s="13">
        <v>0</v>
      </c>
      <c r="AG424" s="13"/>
      <c r="AH424" s="13"/>
    </row>
    <row r="425" spans="1:34" ht="12.75" customHeight="1">
      <c r="A425" s="10" t="s">
        <v>162</v>
      </c>
      <c r="B425" s="11">
        <f>AVERAGE(E425:AE425)</f>
        <v>0.1111111111111111</v>
      </c>
      <c r="C425" s="2">
        <f>MIN(E425:AE425)</f>
        <v>0</v>
      </c>
      <c r="D425" s="12">
        <f>MAX(E425:AE425)</f>
        <v>1</v>
      </c>
      <c r="E425" s="13">
        <v>0</v>
      </c>
      <c r="F425" s="13">
        <v>0</v>
      </c>
      <c r="G425" s="13">
        <v>0</v>
      </c>
      <c r="H425" s="13">
        <v>0</v>
      </c>
      <c r="I425" s="13">
        <v>0</v>
      </c>
      <c r="J425" s="13">
        <v>0</v>
      </c>
      <c r="K425" s="13">
        <v>0</v>
      </c>
      <c r="L425" s="13">
        <v>0</v>
      </c>
      <c r="M425" s="109">
        <v>1</v>
      </c>
      <c r="N425" s="109">
        <v>0</v>
      </c>
      <c r="O425" s="13">
        <v>0</v>
      </c>
      <c r="P425" s="13">
        <v>0</v>
      </c>
      <c r="Q425" s="13">
        <v>0</v>
      </c>
      <c r="R425" s="109">
        <v>1</v>
      </c>
      <c r="S425" s="13">
        <v>0</v>
      </c>
      <c r="T425" s="13">
        <v>0</v>
      </c>
      <c r="U425" s="13">
        <v>0</v>
      </c>
      <c r="V425" s="13">
        <v>0</v>
      </c>
      <c r="W425" s="13">
        <v>0</v>
      </c>
      <c r="X425" s="109">
        <v>1</v>
      </c>
      <c r="Y425" s="13">
        <v>0</v>
      </c>
      <c r="Z425" s="13">
        <v>0</v>
      </c>
      <c r="AA425" s="13">
        <v>0</v>
      </c>
      <c r="AB425" s="13">
        <v>0</v>
      </c>
      <c r="AC425" s="109">
        <v>0</v>
      </c>
      <c r="AD425" s="13">
        <v>0</v>
      </c>
      <c r="AE425" s="13">
        <v>0</v>
      </c>
      <c r="AF425" s="13">
        <v>0</v>
      </c>
      <c r="AG425" s="13"/>
      <c r="AH425" s="13"/>
    </row>
    <row r="426" spans="1:34" ht="12.75" customHeight="1">
      <c r="A426" s="10" t="s">
        <v>163</v>
      </c>
      <c r="B426" s="11">
        <f>AVERAGE(E426:AE426)</f>
        <v>0.1111111111111111</v>
      </c>
      <c r="C426" s="2">
        <f>MIN(E426:AE426)</f>
        <v>0</v>
      </c>
      <c r="D426" s="12">
        <f>MAX(E426:AE426)</f>
        <v>1</v>
      </c>
      <c r="E426" s="13">
        <v>0</v>
      </c>
      <c r="F426" s="13">
        <v>0</v>
      </c>
      <c r="G426" s="13">
        <v>0</v>
      </c>
      <c r="H426" s="13">
        <v>0</v>
      </c>
      <c r="I426" s="13">
        <v>0</v>
      </c>
      <c r="J426" s="13">
        <v>0</v>
      </c>
      <c r="K426" s="13">
        <v>0</v>
      </c>
      <c r="L426" s="13">
        <v>0</v>
      </c>
      <c r="M426" s="109">
        <v>1</v>
      </c>
      <c r="N426" s="109">
        <v>0</v>
      </c>
      <c r="O426" s="13">
        <v>0</v>
      </c>
      <c r="P426" s="13">
        <v>0</v>
      </c>
      <c r="Q426" s="13">
        <v>0</v>
      </c>
      <c r="R426" s="109">
        <v>1</v>
      </c>
      <c r="S426" s="13">
        <v>0</v>
      </c>
      <c r="T426" s="13">
        <v>0</v>
      </c>
      <c r="U426" s="13">
        <v>0</v>
      </c>
      <c r="V426" s="13">
        <v>0</v>
      </c>
      <c r="W426" s="13">
        <v>0</v>
      </c>
      <c r="X426" s="109">
        <v>1</v>
      </c>
      <c r="Y426" s="13">
        <v>0</v>
      </c>
      <c r="Z426" s="13">
        <v>0</v>
      </c>
      <c r="AA426" s="13">
        <v>0</v>
      </c>
      <c r="AB426" s="13">
        <v>0</v>
      </c>
      <c r="AC426" s="109">
        <v>0</v>
      </c>
      <c r="AD426" s="13">
        <v>0</v>
      </c>
      <c r="AE426" s="13">
        <v>0</v>
      </c>
      <c r="AF426" s="13">
        <v>0</v>
      </c>
      <c r="AG426" s="13"/>
      <c r="AH426" s="13"/>
    </row>
    <row r="427" spans="1:34" ht="12.75" customHeight="1">
      <c r="A427" s="10" t="s">
        <v>164</v>
      </c>
      <c r="B427" s="11">
        <f>AVERAGE(E427:AE427)</f>
        <v>0.1111111111111111</v>
      </c>
      <c r="C427" s="2">
        <f>MIN(E427:AE427)</f>
        <v>0</v>
      </c>
      <c r="D427" s="12">
        <f>MAX(E427:AE427)</f>
        <v>1</v>
      </c>
      <c r="E427" s="13">
        <v>0</v>
      </c>
      <c r="F427" s="13">
        <v>0</v>
      </c>
      <c r="G427" s="13">
        <v>0</v>
      </c>
      <c r="H427" s="13">
        <v>0</v>
      </c>
      <c r="I427" s="13">
        <v>0</v>
      </c>
      <c r="J427" s="13">
        <v>0</v>
      </c>
      <c r="K427" s="13">
        <v>0</v>
      </c>
      <c r="L427" s="13">
        <v>0</v>
      </c>
      <c r="M427" s="109">
        <v>1</v>
      </c>
      <c r="N427" s="109">
        <v>0</v>
      </c>
      <c r="O427" s="13">
        <v>0</v>
      </c>
      <c r="P427" s="13">
        <v>0</v>
      </c>
      <c r="Q427" s="13">
        <v>0</v>
      </c>
      <c r="R427" s="109">
        <v>1</v>
      </c>
      <c r="S427" s="13">
        <v>0</v>
      </c>
      <c r="T427" s="13">
        <v>0</v>
      </c>
      <c r="U427" s="109">
        <v>0</v>
      </c>
      <c r="V427" s="13">
        <v>0</v>
      </c>
      <c r="W427" s="13">
        <v>0</v>
      </c>
      <c r="X427" s="109">
        <v>1</v>
      </c>
      <c r="Y427" s="13">
        <v>0</v>
      </c>
      <c r="Z427" s="13">
        <v>0</v>
      </c>
      <c r="AA427" s="13">
        <v>0</v>
      </c>
      <c r="AB427" s="13">
        <v>0</v>
      </c>
      <c r="AC427" s="109">
        <v>0</v>
      </c>
      <c r="AD427" s="13">
        <v>0</v>
      </c>
      <c r="AE427" s="13">
        <v>0</v>
      </c>
      <c r="AF427" s="13">
        <v>0</v>
      </c>
      <c r="AG427" s="13"/>
      <c r="AH427" s="13"/>
    </row>
    <row r="428" spans="1:34" ht="12.75" customHeight="1">
      <c r="A428" s="10" t="s">
        <v>165</v>
      </c>
      <c r="B428" s="11">
        <f>AVERAGE(E428:AE428)</f>
        <v>0.1111111111111111</v>
      </c>
      <c r="C428" s="2">
        <f>MIN(E428:AE428)</f>
        <v>0</v>
      </c>
      <c r="D428" s="12">
        <f>MAX(E428:AE428)</f>
        <v>1</v>
      </c>
      <c r="E428" s="13">
        <v>0</v>
      </c>
      <c r="F428" s="13">
        <v>0</v>
      </c>
      <c r="G428" s="13">
        <v>0</v>
      </c>
      <c r="H428" s="13">
        <v>0</v>
      </c>
      <c r="I428" s="13">
        <v>0</v>
      </c>
      <c r="J428" s="13">
        <v>0</v>
      </c>
      <c r="K428" s="13">
        <v>0</v>
      </c>
      <c r="L428" s="13">
        <v>0</v>
      </c>
      <c r="M428" s="109">
        <v>1</v>
      </c>
      <c r="N428" s="109">
        <v>0</v>
      </c>
      <c r="O428" s="13">
        <v>0</v>
      </c>
      <c r="P428" s="13">
        <v>0</v>
      </c>
      <c r="Q428" s="13">
        <v>0</v>
      </c>
      <c r="R428" s="109">
        <v>1</v>
      </c>
      <c r="S428" s="13">
        <v>0</v>
      </c>
      <c r="T428" s="13">
        <v>0</v>
      </c>
      <c r="U428" s="109">
        <v>0</v>
      </c>
      <c r="V428" s="13">
        <v>0</v>
      </c>
      <c r="W428" s="13">
        <v>0</v>
      </c>
      <c r="X428" s="109">
        <v>1</v>
      </c>
      <c r="Y428" s="13">
        <v>0</v>
      </c>
      <c r="Z428" s="13">
        <v>0</v>
      </c>
      <c r="AA428" s="13">
        <v>0</v>
      </c>
      <c r="AB428" s="13">
        <v>0</v>
      </c>
      <c r="AC428" s="109">
        <v>0</v>
      </c>
      <c r="AD428" s="13">
        <v>0</v>
      </c>
      <c r="AE428" s="13">
        <v>0</v>
      </c>
      <c r="AF428" s="13">
        <v>0</v>
      </c>
      <c r="AG428" s="13"/>
      <c r="AH428" s="13"/>
    </row>
    <row r="429" spans="1:34" ht="12.75" customHeight="1">
      <c r="A429" s="10" t="s">
        <v>166</v>
      </c>
      <c r="B429" s="11">
        <f>AVERAGE(E429:AE429)</f>
        <v>0.14814814814814814</v>
      </c>
      <c r="C429" s="2">
        <f>MIN(E429:AE429)</f>
        <v>0</v>
      </c>
      <c r="D429" s="12">
        <f>MAX(E429:AE429)</f>
        <v>1</v>
      </c>
      <c r="E429" s="13">
        <v>0</v>
      </c>
      <c r="F429" s="13">
        <v>0</v>
      </c>
      <c r="G429" s="13">
        <v>0</v>
      </c>
      <c r="H429" s="13">
        <v>1</v>
      </c>
      <c r="I429" s="13">
        <v>0</v>
      </c>
      <c r="J429" s="13">
        <v>0</v>
      </c>
      <c r="K429" s="13">
        <v>0</v>
      </c>
      <c r="L429" s="13">
        <v>0</v>
      </c>
      <c r="M429" s="109">
        <v>1</v>
      </c>
      <c r="N429" s="109">
        <v>0</v>
      </c>
      <c r="O429" s="13">
        <v>0</v>
      </c>
      <c r="P429" s="13">
        <v>0</v>
      </c>
      <c r="Q429" s="13">
        <v>0</v>
      </c>
      <c r="R429" s="109">
        <v>1</v>
      </c>
      <c r="S429" s="13">
        <v>0</v>
      </c>
      <c r="T429" s="13">
        <v>0</v>
      </c>
      <c r="U429" s="109">
        <v>0</v>
      </c>
      <c r="V429" s="13">
        <v>0</v>
      </c>
      <c r="W429" s="13">
        <v>0</v>
      </c>
      <c r="X429" s="109">
        <v>1</v>
      </c>
      <c r="Y429" s="13">
        <v>0</v>
      </c>
      <c r="Z429" s="13">
        <v>0</v>
      </c>
      <c r="AA429" s="13">
        <v>0</v>
      </c>
      <c r="AB429" s="13">
        <v>0</v>
      </c>
      <c r="AC429" s="109">
        <v>0</v>
      </c>
      <c r="AD429" s="13">
        <v>0</v>
      </c>
      <c r="AE429" s="13">
        <v>0</v>
      </c>
      <c r="AF429" s="13">
        <v>0</v>
      </c>
      <c r="AG429" s="13"/>
      <c r="AH429" s="13"/>
    </row>
    <row r="430" spans="1:34" ht="12.75" customHeight="1">
      <c r="A430" s="10" t="s">
        <v>167</v>
      </c>
      <c r="B430" s="11">
        <f>AVERAGE(E430:AE430)</f>
        <v>0.14814814814814814</v>
      </c>
      <c r="C430" s="2">
        <f>MIN(E430:AE430)</f>
        <v>0</v>
      </c>
      <c r="D430" s="12">
        <f>MAX(E430:AE430)</f>
        <v>1</v>
      </c>
      <c r="E430" s="13">
        <v>0</v>
      </c>
      <c r="F430" s="13">
        <v>0</v>
      </c>
      <c r="G430" s="13">
        <v>0</v>
      </c>
      <c r="H430" s="13">
        <v>1</v>
      </c>
      <c r="I430" s="13">
        <v>0</v>
      </c>
      <c r="J430" s="13">
        <v>0</v>
      </c>
      <c r="K430" s="109">
        <v>0</v>
      </c>
      <c r="L430" s="109">
        <v>0</v>
      </c>
      <c r="M430" s="109">
        <v>1</v>
      </c>
      <c r="N430" s="109">
        <v>0</v>
      </c>
      <c r="O430" s="109">
        <v>0</v>
      </c>
      <c r="P430" s="109">
        <v>0</v>
      </c>
      <c r="Q430" s="13">
        <v>0</v>
      </c>
      <c r="R430" s="109">
        <v>1</v>
      </c>
      <c r="S430" s="13">
        <v>0</v>
      </c>
      <c r="T430" s="13">
        <v>0</v>
      </c>
      <c r="U430" s="109">
        <v>0</v>
      </c>
      <c r="V430" s="13">
        <v>0</v>
      </c>
      <c r="W430" s="13">
        <v>0</v>
      </c>
      <c r="X430" s="109">
        <v>1</v>
      </c>
      <c r="Y430" s="13">
        <v>0</v>
      </c>
      <c r="Z430" s="13">
        <v>0</v>
      </c>
      <c r="AA430" s="13">
        <v>0</v>
      </c>
      <c r="AB430" s="13">
        <v>0</v>
      </c>
      <c r="AC430" s="109">
        <v>0</v>
      </c>
      <c r="AD430" s="13">
        <v>0</v>
      </c>
      <c r="AE430" s="13">
        <v>0</v>
      </c>
      <c r="AF430" s="13">
        <v>0</v>
      </c>
      <c r="AG430" s="13"/>
      <c r="AH430" s="13"/>
    </row>
    <row r="431" spans="1:34" ht="12.75" customHeight="1">
      <c r="A431" s="10" t="s">
        <v>168</v>
      </c>
      <c r="B431" s="11">
        <f>AVERAGE(E431:AE431)</f>
        <v>0.14814814814814814</v>
      </c>
      <c r="C431" s="2">
        <f>MIN(E431:AE431)</f>
        <v>0</v>
      </c>
      <c r="D431" s="12">
        <f>MAX(E431:AE431)</f>
        <v>1</v>
      </c>
      <c r="E431" s="13">
        <v>0</v>
      </c>
      <c r="F431" s="13">
        <v>0</v>
      </c>
      <c r="G431" s="13">
        <v>0</v>
      </c>
      <c r="H431" s="13">
        <v>1</v>
      </c>
      <c r="I431" s="13">
        <v>0</v>
      </c>
      <c r="J431" s="13">
        <v>0</v>
      </c>
      <c r="K431" s="109">
        <v>0</v>
      </c>
      <c r="L431" s="109">
        <v>0</v>
      </c>
      <c r="M431" s="109">
        <v>1</v>
      </c>
      <c r="N431" s="109">
        <v>0</v>
      </c>
      <c r="O431" s="109">
        <v>0</v>
      </c>
      <c r="P431" s="109">
        <v>0</v>
      </c>
      <c r="Q431" s="13">
        <v>0</v>
      </c>
      <c r="R431" s="109">
        <v>1</v>
      </c>
      <c r="S431" s="13">
        <v>0</v>
      </c>
      <c r="T431" s="13">
        <v>0</v>
      </c>
      <c r="U431" s="109">
        <v>0</v>
      </c>
      <c r="V431" s="13">
        <v>0</v>
      </c>
      <c r="W431" s="13">
        <v>0</v>
      </c>
      <c r="X431" s="109">
        <v>1</v>
      </c>
      <c r="Y431" s="13">
        <v>0</v>
      </c>
      <c r="Z431" s="13">
        <v>0</v>
      </c>
      <c r="AA431" s="13">
        <v>0</v>
      </c>
      <c r="AB431" s="13">
        <v>0</v>
      </c>
      <c r="AC431" s="109">
        <v>0</v>
      </c>
      <c r="AD431" s="13">
        <v>0</v>
      </c>
      <c r="AE431" s="13">
        <v>0</v>
      </c>
      <c r="AF431" s="13">
        <v>0</v>
      </c>
      <c r="AG431" s="13"/>
      <c r="AH431" s="13"/>
    </row>
    <row r="432" spans="1:34" ht="12.75" customHeight="1">
      <c r="A432" s="10" t="s">
        <v>169</v>
      </c>
      <c r="B432" s="11">
        <f>AVERAGE(E432:AE432)</f>
        <v>0.14814814814814814</v>
      </c>
      <c r="C432" s="2">
        <f>MIN(E432:AE432)</f>
        <v>0</v>
      </c>
      <c r="D432" s="12">
        <f>MAX(E432:AE432)</f>
        <v>1</v>
      </c>
      <c r="E432" s="13">
        <v>0</v>
      </c>
      <c r="F432" s="13">
        <v>0</v>
      </c>
      <c r="G432" s="13">
        <v>0</v>
      </c>
      <c r="H432" s="13">
        <v>1</v>
      </c>
      <c r="I432" s="13">
        <v>0</v>
      </c>
      <c r="J432" s="13">
        <v>0</v>
      </c>
      <c r="K432" s="109">
        <v>0</v>
      </c>
      <c r="L432" s="109">
        <v>0</v>
      </c>
      <c r="M432" s="109">
        <v>1</v>
      </c>
      <c r="N432" s="109">
        <v>0</v>
      </c>
      <c r="O432" s="109">
        <v>0</v>
      </c>
      <c r="P432" s="109">
        <v>0</v>
      </c>
      <c r="Q432" s="13">
        <v>0</v>
      </c>
      <c r="R432" s="109">
        <v>1</v>
      </c>
      <c r="S432" s="13">
        <v>0</v>
      </c>
      <c r="T432" s="13">
        <v>0</v>
      </c>
      <c r="U432" s="109">
        <v>0</v>
      </c>
      <c r="V432" s="13">
        <v>0</v>
      </c>
      <c r="W432" s="13">
        <v>0</v>
      </c>
      <c r="X432" s="109">
        <v>1</v>
      </c>
      <c r="Y432" s="13">
        <v>0</v>
      </c>
      <c r="Z432" s="13">
        <v>0</v>
      </c>
      <c r="AA432" s="13">
        <v>0</v>
      </c>
      <c r="AB432" s="13">
        <v>0</v>
      </c>
      <c r="AC432" s="109">
        <v>0</v>
      </c>
      <c r="AD432" s="13">
        <v>0</v>
      </c>
      <c r="AE432" s="13">
        <v>0</v>
      </c>
      <c r="AF432" s="13">
        <v>0</v>
      </c>
      <c r="AG432" s="13"/>
      <c r="AH432" s="13"/>
    </row>
    <row r="433" spans="1:34" ht="12.75" customHeight="1">
      <c r="A433" s="10" t="s">
        <v>170</v>
      </c>
      <c r="B433" s="11">
        <f>AVERAGE(E433:AE433)</f>
        <v>0.14814814814814814</v>
      </c>
      <c r="C433" s="2">
        <f>MIN(E433:AE433)</f>
        <v>0</v>
      </c>
      <c r="D433" s="12">
        <f>MAX(E433:AE433)</f>
        <v>1</v>
      </c>
      <c r="E433" s="13">
        <v>0</v>
      </c>
      <c r="F433" s="109">
        <v>0</v>
      </c>
      <c r="G433" s="13">
        <v>0</v>
      </c>
      <c r="H433" s="13">
        <v>1</v>
      </c>
      <c r="I433" s="13">
        <v>0</v>
      </c>
      <c r="J433" s="13">
        <v>0</v>
      </c>
      <c r="K433" s="109">
        <v>0</v>
      </c>
      <c r="L433" s="109">
        <v>0</v>
      </c>
      <c r="M433" s="109">
        <v>1</v>
      </c>
      <c r="N433" s="109">
        <v>0</v>
      </c>
      <c r="O433" s="109">
        <v>0</v>
      </c>
      <c r="P433" s="109">
        <v>0</v>
      </c>
      <c r="Q433" s="13">
        <v>0</v>
      </c>
      <c r="R433" s="109">
        <v>1</v>
      </c>
      <c r="S433" s="13">
        <v>0</v>
      </c>
      <c r="T433" s="13">
        <v>0</v>
      </c>
      <c r="U433" s="109">
        <v>0</v>
      </c>
      <c r="V433" s="13">
        <v>0</v>
      </c>
      <c r="W433" s="13">
        <v>0</v>
      </c>
      <c r="X433" s="109">
        <v>1</v>
      </c>
      <c r="Y433" s="13">
        <v>0</v>
      </c>
      <c r="Z433" s="13">
        <v>0</v>
      </c>
      <c r="AA433" s="13">
        <v>0</v>
      </c>
      <c r="AB433" s="13">
        <v>0</v>
      </c>
      <c r="AC433" s="109">
        <v>0</v>
      </c>
      <c r="AD433" s="13">
        <v>0</v>
      </c>
      <c r="AE433" s="13">
        <v>0</v>
      </c>
      <c r="AF433" s="13">
        <v>0</v>
      </c>
      <c r="AG433" s="13"/>
      <c r="AH433" s="13"/>
    </row>
    <row r="434" spans="1:34" ht="12.75" customHeight="1">
      <c r="A434" s="10" t="s">
        <v>171</v>
      </c>
      <c r="B434" s="11">
        <f>AVERAGE(E434:AE434)</f>
        <v>0.18518518518518517</v>
      </c>
      <c r="C434" s="2">
        <f>MIN(E434:AE434)</f>
        <v>0</v>
      </c>
      <c r="D434" s="12">
        <f>MAX(E434:AE434)</f>
        <v>2</v>
      </c>
      <c r="E434" s="13">
        <v>0</v>
      </c>
      <c r="F434" s="109">
        <v>0</v>
      </c>
      <c r="G434" s="13">
        <v>0</v>
      </c>
      <c r="H434" s="13">
        <v>1</v>
      </c>
      <c r="I434" s="13">
        <v>0</v>
      </c>
      <c r="J434" s="13">
        <v>0</v>
      </c>
      <c r="K434" s="109">
        <v>0</v>
      </c>
      <c r="L434" s="109">
        <v>0</v>
      </c>
      <c r="M434" s="109">
        <v>2</v>
      </c>
      <c r="N434" s="109">
        <v>0</v>
      </c>
      <c r="O434" s="109">
        <v>0</v>
      </c>
      <c r="P434" s="109">
        <v>0</v>
      </c>
      <c r="Q434" s="13">
        <v>0</v>
      </c>
      <c r="R434" s="109">
        <v>1</v>
      </c>
      <c r="S434" s="13">
        <v>0</v>
      </c>
      <c r="T434" s="13">
        <v>0</v>
      </c>
      <c r="U434" s="109">
        <v>0</v>
      </c>
      <c r="V434" s="13">
        <v>0</v>
      </c>
      <c r="W434" s="13">
        <v>0</v>
      </c>
      <c r="X434" s="109">
        <v>1</v>
      </c>
      <c r="Y434" s="13">
        <v>0</v>
      </c>
      <c r="Z434" s="13">
        <v>0</v>
      </c>
      <c r="AA434" s="13">
        <v>0</v>
      </c>
      <c r="AB434" s="13">
        <v>0</v>
      </c>
      <c r="AC434" s="109">
        <v>0</v>
      </c>
      <c r="AD434" s="13">
        <v>0</v>
      </c>
      <c r="AE434" s="13">
        <v>0</v>
      </c>
      <c r="AF434" s="13">
        <v>0</v>
      </c>
      <c r="AG434" s="13"/>
      <c r="AH434" s="13"/>
    </row>
    <row r="435" spans="1:34" ht="12.75" customHeight="1">
      <c r="A435" s="10" t="s">
        <v>172</v>
      </c>
      <c r="B435" s="11">
        <f>AVERAGE(E435:AE435)</f>
        <v>0.18518518518518517</v>
      </c>
      <c r="C435" s="2">
        <f>MIN(E435:AE435)</f>
        <v>0</v>
      </c>
      <c r="D435" s="12">
        <f>MAX(E435:AE435)</f>
        <v>2</v>
      </c>
      <c r="E435" s="13">
        <v>0</v>
      </c>
      <c r="F435" s="109">
        <v>0</v>
      </c>
      <c r="G435" s="13">
        <v>0</v>
      </c>
      <c r="H435" s="13">
        <v>1</v>
      </c>
      <c r="I435" s="13">
        <v>0</v>
      </c>
      <c r="J435" s="13">
        <v>0</v>
      </c>
      <c r="K435" s="109">
        <v>0</v>
      </c>
      <c r="L435" s="109">
        <v>0</v>
      </c>
      <c r="M435" s="109">
        <v>2</v>
      </c>
      <c r="N435" s="109">
        <v>0</v>
      </c>
      <c r="O435" s="109">
        <v>0</v>
      </c>
      <c r="P435" s="109">
        <v>0</v>
      </c>
      <c r="Q435" s="13">
        <v>0</v>
      </c>
      <c r="R435" s="109">
        <v>1</v>
      </c>
      <c r="S435" s="13">
        <v>0</v>
      </c>
      <c r="T435" s="13">
        <v>0</v>
      </c>
      <c r="U435" s="109">
        <v>0</v>
      </c>
      <c r="V435" s="13">
        <v>0</v>
      </c>
      <c r="W435" s="13">
        <v>0</v>
      </c>
      <c r="X435" s="109">
        <v>1</v>
      </c>
      <c r="Y435" s="13">
        <v>0</v>
      </c>
      <c r="Z435" s="13">
        <v>0</v>
      </c>
      <c r="AA435" s="13">
        <v>0</v>
      </c>
      <c r="AB435" s="13">
        <v>0</v>
      </c>
      <c r="AC435" s="109">
        <v>0</v>
      </c>
      <c r="AD435" s="13">
        <v>0</v>
      </c>
      <c r="AE435" s="13">
        <v>0</v>
      </c>
      <c r="AF435" s="13">
        <v>0</v>
      </c>
      <c r="AG435" s="13"/>
      <c r="AH435" s="13"/>
    </row>
    <row r="436" spans="1:34" ht="12.75" customHeight="1">
      <c r="A436" s="10" t="s">
        <v>173</v>
      </c>
      <c r="B436" s="11">
        <f>AVERAGE(E436:AE436)</f>
        <v>0.22222222222222221</v>
      </c>
      <c r="C436" s="2">
        <f>MIN(E436:AE436)</f>
        <v>0</v>
      </c>
      <c r="D436" s="12">
        <f>MAX(E436:AE436)</f>
        <v>2</v>
      </c>
      <c r="E436" s="13">
        <v>0</v>
      </c>
      <c r="F436" s="109">
        <v>0</v>
      </c>
      <c r="G436" s="13">
        <v>0</v>
      </c>
      <c r="H436" s="13">
        <v>1</v>
      </c>
      <c r="I436" s="13">
        <v>0</v>
      </c>
      <c r="J436" s="13">
        <v>0</v>
      </c>
      <c r="K436" s="109">
        <v>0</v>
      </c>
      <c r="L436" s="109">
        <v>0</v>
      </c>
      <c r="M436" s="109">
        <v>2</v>
      </c>
      <c r="N436" s="109">
        <v>1</v>
      </c>
      <c r="O436" s="109">
        <v>0</v>
      </c>
      <c r="P436" s="109">
        <v>0</v>
      </c>
      <c r="Q436" s="13">
        <v>0</v>
      </c>
      <c r="R436" s="109">
        <v>1</v>
      </c>
      <c r="S436" s="13">
        <v>0</v>
      </c>
      <c r="T436" s="13">
        <v>0</v>
      </c>
      <c r="U436" s="109">
        <v>0</v>
      </c>
      <c r="V436" s="13">
        <v>0</v>
      </c>
      <c r="W436" s="13">
        <v>0</v>
      </c>
      <c r="X436" s="109">
        <v>1</v>
      </c>
      <c r="Y436" s="13">
        <v>0</v>
      </c>
      <c r="Z436" s="13">
        <v>0</v>
      </c>
      <c r="AA436" s="13">
        <v>0</v>
      </c>
      <c r="AB436" s="13">
        <v>0</v>
      </c>
      <c r="AC436" s="109">
        <v>0</v>
      </c>
      <c r="AD436" s="13">
        <v>0</v>
      </c>
      <c r="AE436" s="13">
        <v>0</v>
      </c>
      <c r="AF436" s="13">
        <v>0</v>
      </c>
      <c r="AG436" s="13"/>
      <c r="AH436" s="13"/>
    </row>
    <row r="437" spans="1:34" ht="12.75" customHeight="1">
      <c r="A437" s="10" t="s">
        <v>174</v>
      </c>
      <c r="B437" s="11">
        <f>AVERAGE(E437:AE437)</f>
        <v>0.22222222222222221</v>
      </c>
      <c r="C437" s="2">
        <f>MIN(E437:AE437)</f>
        <v>0</v>
      </c>
      <c r="D437" s="12">
        <f>MAX(E437:AE437)</f>
        <v>2</v>
      </c>
      <c r="E437" s="13">
        <v>0</v>
      </c>
      <c r="F437" s="109">
        <v>0</v>
      </c>
      <c r="G437" s="13">
        <v>0</v>
      </c>
      <c r="H437" s="13">
        <v>1</v>
      </c>
      <c r="I437" s="13">
        <v>0</v>
      </c>
      <c r="J437" s="13">
        <v>0</v>
      </c>
      <c r="K437" s="109">
        <v>0</v>
      </c>
      <c r="L437" s="109">
        <v>0</v>
      </c>
      <c r="M437" s="109">
        <v>2</v>
      </c>
      <c r="N437" s="109">
        <v>1</v>
      </c>
      <c r="O437" s="109">
        <v>0</v>
      </c>
      <c r="P437" s="109">
        <v>0</v>
      </c>
      <c r="Q437" s="13">
        <v>0</v>
      </c>
      <c r="R437" s="109">
        <v>1</v>
      </c>
      <c r="S437" s="13">
        <v>0</v>
      </c>
      <c r="T437" s="13">
        <v>0</v>
      </c>
      <c r="U437" s="109">
        <v>0</v>
      </c>
      <c r="V437" s="13">
        <v>0</v>
      </c>
      <c r="W437" s="13">
        <v>0</v>
      </c>
      <c r="X437" s="109">
        <v>1</v>
      </c>
      <c r="Y437" s="13">
        <v>0</v>
      </c>
      <c r="Z437" s="13">
        <v>0</v>
      </c>
      <c r="AA437" s="13">
        <v>0</v>
      </c>
      <c r="AB437" s="13">
        <v>0</v>
      </c>
      <c r="AC437" s="109">
        <v>0</v>
      </c>
      <c r="AD437" s="13">
        <v>0</v>
      </c>
      <c r="AE437" s="13">
        <v>0</v>
      </c>
      <c r="AF437" s="13">
        <v>0</v>
      </c>
      <c r="AG437" s="13"/>
      <c r="AH437" s="13"/>
    </row>
    <row r="438" spans="1:34" ht="12.75" customHeight="1">
      <c r="A438" s="10" t="s">
        <v>175</v>
      </c>
      <c r="B438" s="11">
        <f>AVERAGE(E438:AE438)</f>
        <v>0.22222222222222221</v>
      </c>
      <c r="C438" s="2">
        <f>MIN(E438:AE438)</f>
        <v>0</v>
      </c>
      <c r="D438" s="12">
        <f>MAX(E438:AE438)</f>
        <v>2</v>
      </c>
      <c r="E438" s="13">
        <v>0</v>
      </c>
      <c r="F438" s="109">
        <v>0</v>
      </c>
      <c r="G438" s="13">
        <v>0</v>
      </c>
      <c r="H438" s="13">
        <v>1</v>
      </c>
      <c r="I438" s="13">
        <v>0</v>
      </c>
      <c r="J438" s="13">
        <v>0</v>
      </c>
      <c r="K438" s="109">
        <v>0</v>
      </c>
      <c r="L438" s="109">
        <v>0</v>
      </c>
      <c r="M438" s="109">
        <v>2</v>
      </c>
      <c r="N438" s="109">
        <v>1</v>
      </c>
      <c r="O438" s="109">
        <v>0</v>
      </c>
      <c r="P438" s="109">
        <v>0</v>
      </c>
      <c r="Q438" s="13">
        <v>0</v>
      </c>
      <c r="R438" s="109">
        <v>1</v>
      </c>
      <c r="S438" s="13">
        <v>0</v>
      </c>
      <c r="T438" s="13">
        <v>0</v>
      </c>
      <c r="U438" s="109">
        <v>0</v>
      </c>
      <c r="V438" s="13">
        <v>0</v>
      </c>
      <c r="W438" s="13">
        <v>0</v>
      </c>
      <c r="X438" s="109">
        <v>1</v>
      </c>
      <c r="Y438" s="13">
        <v>0</v>
      </c>
      <c r="Z438" s="13">
        <v>0</v>
      </c>
      <c r="AA438" s="13">
        <v>0</v>
      </c>
      <c r="AB438" s="13">
        <v>0</v>
      </c>
      <c r="AC438" s="109">
        <v>0</v>
      </c>
      <c r="AD438" s="13">
        <v>0</v>
      </c>
      <c r="AE438" s="13">
        <v>0</v>
      </c>
      <c r="AF438" s="13">
        <v>0</v>
      </c>
      <c r="AG438" s="13"/>
      <c r="AH438" s="13"/>
    </row>
    <row r="439" spans="1:34" ht="12.75" customHeight="1">
      <c r="A439" s="10" t="s">
        <v>176</v>
      </c>
      <c r="B439" s="11">
        <f>AVERAGE(E439:AE439)</f>
        <v>0.22222222222222221</v>
      </c>
      <c r="C439" s="2">
        <f>MIN(E439:AE439)</f>
        <v>0</v>
      </c>
      <c r="D439" s="12">
        <f>MAX(E439:AE439)</f>
        <v>2</v>
      </c>
      <c r="E439" s="13">
        <v>0</v>
      </c>
      <c r="F439" s="109">
        <v>0</v>
      </c>
      <c r="G439" s="13">
        <v>0</v>
      </c>
      <c r="H439" s="13">
        <v>1</v>
      </c>
      <c r="I439" s="13">
        <v>0</v>
      </c>
      <c r="J439" s="13">
        <v>0</v>
      </c>
      <c r="K439" s="109">
        <v>0</v>
      </c>
      <c r="L439" s="109">
        <v>0</v>
      </c>
      <c r="M439" s="109">
        <v>2</v>
      </c>
      <c r="N439" s="109">
        <v>1</v>
      </c>
      <c r="O439" s="109">
        <v>0</v>
      </c>
      <c r="P439" s="109">
        <v>0</v>
      </c>
      <c r="Q439" s="13">
        <v>0</v>
      </c>
      <c r="R439" s="109">
        <v>1</v>
      </c>
      <c r="S439" s="13">
        <v>0</v>
      </c>
      <c r="T439" s="13">
        <v>0</v>
      </c>
      <c r="U439" s="109">
        <v>0</v>
      </c>
      <c r="V439" s="13">
        <v>0</v>
      </c>
      <c r="W439" s="13">
        <v>0</v>
      </c>
      <c r="X439" s="109">
        <v>1</v>
      </c>
      <c r="Y439" s="13">
        <v>0</v>
      </c>
      <c r="Z439" s="13">
        <v>0</v>
      </c>
      <c r="AA439" s="13">
        <v>0</v>
      </c>
      <c r="AB439" s="13">
        <v>0</v>
      </c>
      <c r="AC439" s="109">
        <v>0</v>
      </c>
      <c r="AD439" s="13">
        <v>0</v>
      </c>
      <c r="AE439" s="13">
        <v>0</v>
      </c>
      <c r="AF439" s="13">
        <v>0</v>
      </c>
      <c r="AG439" s="13"/>
      <c r="AH439" s="13"/>
    </row>
    <row r="440" spans="1:34" ht="12.75" customHeight="1">
      <c r="A440" s="10" t="s">
        <v>177</v>
      </c>
      <c r="B440" s="11">
        <f>AVERAGE(E440:AE440)</f>
        <v>0.22222222222222221</v>
      </c>
      <c r="C440" s="2">
        <f>MIN(E440:AE440)</f>
        <v>0</v>
      </c>
      <c r="D440" s="12">
        <f>MAX(E440:AE440)</f>
        <v>2</v>
      </c>
      <c r="E440" s="13">
        <v>0</v>
      </c>
      <c r="F440" s="109">
        <v>0</v>
      </c>
      <c r="G440" s="13">
        <v>0</v>
      </c>
      <c r="H440" s="13">
        <v>1</v>
      </c>
      <c r="I440" s="13">
        <v>0</v>
      </c>
      <c r="J440" s="13">
        <v>0</v>
      </c>
      <c r="K440" s="109">
        <v>0</v>
      </c>
      <c r="L440" s="109">
        <v>0</v>
      </c>
      <c r="M440" s="109">
        <v>2</v>
      </c>
      <c r="N440" s="109">
        <v>1</v>
      </c>
      <c r="O440" s="109">
        <v>0</v>
      </c>
      <c r="P440" s="109">
        <v>0</v>
      </c>
      <c r="Q440" s="13">
        <v>0</v>
      </c>
      <c r="R440" s="109">
        <v>1</v>
      </c>
      <c r="S440" s="13">
        <v>0</v>
      </c>
      <c r="T440" s="13">
        <v>0</v>
      </c>
      <c r="U440" s="109">
        <v>0</v>
      </c>
      <c r="V440" s="13">
        <v>0</v>
      </c>
      <c r="W440" s="13">
        <v>0</v>
      </c>
      <c r="X440" s="109">
        <v>1</v>
      </c>
      <c r="Y440" s="13">
        <v>0</v>
      </c>
      <c r="Z440" s="13">
        <v>0</v>
      </c>
      <c r="AA440" s="13">
        <v>0</v>
      </c>
      <c r="AB440" s="13">
        <v>0</v>
      </c>
      <c r="AC440" s="109">
        <v>0</v>
      </c>
      <c r="AD440" s="13">
        <v>0</v>
      </c>
      <c r="AE440" s="13">
        <v>0</v>
      </c>
      <c r="AF440" s="13">
        <v>0</v>
      </c>
      <c r="AG440" s="13"/>
      <c r="AH440" s="13"/>
    </row>
    <row r="441" spans="1:34" ht="12.75" customHeight="1">
      <c r="A441" s="10" t="s">
        <v>178</v>
      </c>
      <c r="B441" s="11">
        <f>AVERAGE(E441:AE441)</f>
        <v>0.22222222222222221</v>
      </c>
      <c r="C441" s="2">
        <f>MIN(E441:AE441)</f>
        <v>0</v>
      </c>
      <c r="D441" s="12">
        <f>MAX(E441:AE441)</f>
        <v>2</v>
      </c>
      <c r="E441" s="13">
        <v>0</v>
      </c>
      <c r="F441" s="109">
        <v>0</v>
      </c>
      <c r="G441" s="13">
        <v>0</v>
      </c>
      <c r="H441" s="13">
        <v>1</v>
      </c>
      <c r="I441" s="13">
        <v>0</v>
      </c>
      <c r="J441" s="13">
        <v>0</v>
      </c>
      <c r="K441" s="109">
        <v>0</v>
      </c>
      <c r="L441" s="109">
        <v>0</v>
      </c>
      <c r="M441" s="109">
        <v>2</v>
      </c>
      <c r="N441" s="109">
        <v>1</v>
      </c>
      <c r="O441" s="109">
        <v>0</v>
      </c>
      <c r="P441" s="109">
        <v>0</v>
      </c>
      <c r="Q441" s="13">
        <v>0</v>
      </c>
      <c r="R441" s="109">
        <v>1</v>
      </c>
      <c r="S441" s="13">
        <v>0</v>
      </c>
      <c r="T441" s="13">
        <v>0</v>
      </c>
      <c r="U441" s="109">
        <v>0</v>
      </c>
      <c r="V441" s="13">
        <v>0</v>
      </c>
      <c r="W441" s="13">
        <v>0</v>
      </c>
      <c r="X441" s="109">
        <v>1</v>
      </c>
      <c r="Y441" s="13">
        <v>0</v>
      </c>
      <c r="Z441" s="13">
        <v>0</v>
      </c>
      <c r="AA441" s="13">
        <v>0</v>
      </c>
      <c r="AB441" s="13">
        <v>0</v>
      </c>
      <c r="AC441" s="109">
        <v>0</v>
      </c>
      <c r="AD441" s="13">
        <v>0</v>
      </c>
      <c r="AE441" s="13">
        <v>0</v>
      </c>
      <c r="AF441" s="13">
        <v>0</v>
      </c>
      <c r="AG441" s="13"/>
      <c r="AH441" s="13"/>
    </row>
    <row r="442" spans="1:34" ht="12.75" customHeight="1">
      <c r="A442" s="10" t="s">
        <v>179</v>
      </c>
      <c r="B442" s="11">
        <f>AVERAGE(E442:AE442)</f>
        <v>0.22222222222222221</v>
      </c>
      <c r="C442" s="2">
        <f>MIN(E442:AE442)</f>
        <v>0</v>
      </c>
      <c r="D442" s="12">
        <f>MAX(E442:AE442)</f>
        <v>2</v>
      </c>
      <c r="E442" s="13">
        <v>0</v>
      </c>
      <c r="F442" s="109">
        <v>0</v>
      </c>
      <c r="G442" s="13">
        <v>0</v>
      </c>
      <c r="H442" s="13">
        <v>1</v>
      </c>
      <c r="I442" s="13">
        <v>0</v>
      </c>
      <c r="J442" s="13">
        <v>0</v>
      </c>
      <c r="K442" s="109">
        <v>0</v>
      </c>
      <c r="L442" s="109">
        <v>0</v>
      </c>
      <c r="M442" s="109">
        <v>2</v>
      </c>
      <c r="N442" s="109">
        <v>1</v>
      </c>
      <c r="O442" s="109">
        <v>0</v>
      </c>
      <c r="P442" s="109">
        <v>0</v>
      </c>
      <c r="Q442" s="13">
        <v>0</v>
      </c>
      <c r="R442" s="109">
        <v>1</v>
      </c>
      <c r="S442" s="13">
        <v>0</v>
      </c>
      <c r="T442" s="13">
        <v>0</v>
      </c>
      <c r="U442" s="109">
        <v>0</v>
      </c>
      <c r="V442" s="13">
        <v>0</v>
      </c>
      <c r="W442" s="13">
        <v>0</v>
      </c>
      <c r="X442" s="109">
        <v>1</v>
      </c>
      <c r="Y442" s="13">
        <v>0</v>
      </c>
      <c r="Z442" s="13">
        <v>0</v>
      </c>
      <c r="AA442" s="13">
        <v>0</v>
      </c>
      <c r="AB442" s="13">
        <v>0</v>
      </c>
      <c r="AC442" s="109">
        <v>0</v>
      </c>
      <c r="AD442" s="13">
        <v>0</v>
      </c>
      <c r="AE442" s="13">
        <v>0</v>
      </c>
      <c r="AF442" s="13">
        <v>0</v>
      </c>
      <c r="AG442" s="13"/>
      <c r="AH442" s="13"/>
    </row>
    <row r="443" spans="1:34" ht="12.75" customHeight="1">
      <c r="A443" s="10" t="s">
        <v>180</v>
      </c>
      <c r="B443" s="11">
        <f>AVERAGE(E443:AE443)</f>
        <v>0.22222222222222221</v>
      </c>
      <c r="C443" s="2">
        <f>MIN(E443:AE443)</f>
        <v>0</v>
      </c>
      <c r="D443" s="12">
        <f>MAX(E443:AE443)</f>
        <v>2</v>
      </c>
      <c r="E443" s="13">
        <v>0</v>
      </c>
      <c r="F443" s="109">
        <v>0</v>
      </c>
      <c r="G443" s="13">
        <v>0</v>
      </c>
      <c r="H443" s="13">
        <v>1</v>
      </c>
      <c r="I443" s="13">
        <v>0</v>
      </c>
      <c r="J443" s="13">
        <v>0</v>
      </c>
      <c r="K443" s="109">
        <v>0</v>
      </c>
      <c r="L443" s="109">
        <v>0</v>
      </c>
      <c r="M443" s="109">
        <v>2</v>
      </c>
      <c r="N443" s="109">
        <v>1</v>
      </c>
      <c r="O443" s="109">
        <v>0</v>
      </c>
      <c r="P443" s="109">
        <v>0</v>
      </c>
      <c r="Q443" s="13">
        <v>0</v>
      </c>
      <c r="R443" s="109">
        <v>1</v>
      </c>
      <c r="S443" s="13">
        <v>0</v>
      </c>
      <c r="T443" s="13">
        <v>0</v>
      </c>
      <c r="U443" s="109">
        <v>0</v>
      </c>
      <c r="V443" s="13">
        <v>0</v>
      </c>
      <c r="W443" s="13">
        <v>0</v>
      </c>
      <c r="X443" s="109">
        <v>1</v>
      </c>
      <c r="Y443" s="13">
        <v>0</v>
      </c>
      <c r="Z443" s="13">
        <v>0</v>
      </c>
      <c r="AA443" s="13">
        <v>0</v>
      </c>
      <c r="AB443" s="13">
        <v>0</v>
      </c>
      <c r="AC443" s="109">
        <v>0</v>
      </c>
      <c r="AD443" s="13">
        <v>0</v>
      </c>
      <c r="AE443" s="13">
        <v>0</v>
      </c>
      <c r="AF443" s="13">
        <v>0</v>
      </c>
      <c r="AG443" s="13"/>
      <c r="AH443" s="13"/>
    </row>
    <row r="444" spans="1:34" ht="12.75" customHeight="1">
      <c r="A444" s="10" t="s">
        <v>181</v>
      </c>
      <c r="B444" s="11">
        <f>AVERAGE(E444:AE444)</f>
        <v>0.22222222222222221</v>
      </c>
      <c r="C444" s="2">
        <f>MIN(E444:AE444)</f>
        <v>0</v>
      </c>
      <c r="D444" s="12">
        <f>MAX(E444:AE444)</f>
        <v>2</v>
      </c>
      <c r="E444" s="13">
        <v>0</v>
      </c>
      <c r="F444" s="109">
        <v>0</v>
      </c>
      <c r="G444" s="13">
        <v>0</v>
      </c>
      <c r="H444" s="13">
        <v>1</v>
      </c>
      <c r="I444" s="13">
        <v>0</v>
      </c>
      <c r="J444" s="13">
        <v>0</v>
      </c>
      <c r="K444" s="109">
        <v>0</v>
      </c>
      <c r="L444" s="109">
        <v>0</v>
      </c>
      <c r="M444" s="109">
        <v>2</v>
      </c>
      <c r="N444" s="109">
        <v>1</v>
      </c>
      <c r="O444" s="109">
        <v>0</v>
      </c>
      <c r="P444" s="109">
        <v>0</v>
      </c>
      <c r="Q444" s="13">
        <v>0</v>
      </c>
      <c r="R444" s="109">
        <v>1</v>
      </c>
      <c r="S444" s="13">
        <v>0</v>
      </c>
      <c r="T444" s="13">
        <v>0</v>
      </c>
      <c r="U444" s="109">
        <v>0</v>
      </c>
      <c r="V444" s="13">
        <v>0</v>
      </c>
      <c r="W444" s="13">
        <v>0</v>
      </c>
      <c r="X444" s="109">
        <v>1</v>
      </c>
      <c r="Y444" s="13">
        <v>0</v>
      </c>
      <c r="Z444" s="13">
        <v>0</v>
      </c>
      <c r="AA444" s="13">
        <v>0</v>
      </c>
      <c r="AB444" s="13">
        <v>0</v>
      </c>
      <c r="AC444" s="109">
        <v>0</v>
      </c>
      <c r="AD444" s="13">
        <v>0</v>
      </c>
      <c r="AE444" s="13">
        <v>0</v>
      </c>
      <c r="AF444" s="13">
        <v>0</v>
      </c>
      <c r="AG444" s="13"/>
      <c r="AH444" s="13"/>
    </row>
    <row r="445" spans="1:34" ht="12.75" customHeight="1">
      <c r="A445" s="10" t="s">
        <v>185</v>
      </c>
      <c r="B445" s="11">
        <f>AVERAGE(E445:AE445)</f>
        <v>0.25925925925925924</v>
      </c>
      <c r="C445" s="2">
        <f>MIN(E445:AE445)</f>
        <v>0</v>
      </c>
      <c r="D445" s="12">
        <f>MAX(E445:AE445)</f>
        <v>2</v>
      </c>
      <c r="E445" s="13">
        <v>0</v>
      </c>
      <c r="F445" s="109">
        <v>0</v>
      </c>
      <c r="G445" s="13">
        <v>0</v>
      </c>
      <c r="H445" s="13">
        <v>1</v>
      </c>
      <c r="I445" s="13">
        <v>0</v>
      </c>
      <c r="J445" s="13">
        <v>0</v>
      </c>
      <c r="K445" s="109">
        <v>0</v>
      </c>
      <c r="L445" s="109">
        <v>0</v>
      </c>
      <c r="M445" s="109">
        <v>2</v>
      </c>
      <c r="N445" s="109">
        <v>1</v>
      </c>
      <c r="O445" s="109">
        <v>0</v>
      </c>
      <c r="P445" s="109">
        <v>0</v>
      </c>
      <c r="Q445" s="13">
        <v>0</v>
      </c>
      <c r="R445" s="109">
        <v>1</v>
      </c>
      <c r="S445" s="13">
        <v>0</v>
      </c>
      <c r="T445" s="13">
        <v>0</v>
      </c>
      <c r="U445" s="109">
        <v>0</v>
      </c>
      <c r="V445" s="13">
        <v>0</v>
      </c>
      <c r="W445" s="13">
        <v>0</v>
      </c>
      <c r="X445" s="109">
        <v>1</v>
      </c>
      <c r="Y445" s="13">
        <v>0</v>
      </c>
      <c r="Z445" s="13">
        <v>0</v>
      </c>
      <c r="AA445" s="13">
        <v>0</v>
      </c>
      <c r="AB445" s="13">
        <v>0</v>
      </c>
      <c r="AC445" s="109">
        <v>1</v>
      </c>
      <c r="AD445" s="13">
        <v>0</v>
      </c>
      <c r="AE445" s="13">
        <v>0</v>
      </c>
      <c r="AF445" s="13">
        <v>0</v>
      </c>
      <c r="AG445" s="13"/>
      <c r="AH445" s="13"/>
    </row>
    <row r="446" spans="1:34" ht="12.75" customHeight="1">
      <c r="A446" s="10" t="s">
        <v>186</v>
      </c>
      <c r="B446" s="11">
        <f>AVERAGE(E446:AE446)</f>
        <v>0.25925925925925924</v>
      </c>
      <c r="C446" s="2">
        <f>MIN(E446:AE446)</f>
        <v>0</v>
      </c>
      <c r="D446" s="12">
        <f>MAX(E446:AE446)</f>
        <v>2</v>
      </c>
      <c r="E446" s="13">
        <v>0</v>
      </c>
      <c r="F446" s="109">
        <v>0</v>
      </c>
      <c r="G446" s="13">
        <v>0</v>
      </c>
      <c r="H446" s="13">
        <v>1</v>
      </c>
      <c r="I446" s="13">
        <v>0</v>
      </c>
      <c r="J446" s="13">
        <v>0</v>
      </c>
      <c r="K446" s="109">
        <v>0</v>
      </c>
      <c r="L446" s="109">
        <v>0</v>
      </c>
      <c r="M446" s="109">
        <v>2</v>
      </c>
      <c r="N446" s="109">
        <v>1</v>
      </c>
      <c r="O446" s="109">
        <v>0</v>
      </c>
      <c r="P446" s="109">
        <v>0</v>
      </c>
      <c r="Q446" s="13">
        <v>0</v>
      </c>
      <c r="R446" s="109">
        <v>1</v>
      </c>
      <c r="S446" s="13">
        <v>0</v>
      </c>
      <c r="T446" s="13">
        <v>0</v>
      </c>
      <c r="U446" s="109">
        <v>0</v>
      </c>
      <c r="V446" s="13">
        <v>0</v>
      </c>
      <c r="W446" s="13">
        <v>0</v>
      </c>
      <c r="X446" s="109">
        <v>1</v>
      </c>
      <c r="Y446" s="13">
        <v>0</v>
      </c>
      <c r="Z446" s="13">
        <v>0</v>
      </c>
      <c r="AA446" s="13">
        <v>0</v>
      </c>
      <c r="AB446" s="13">
        <v>0</v>
      </c>
      <c r="AC446" s="109">
        <v>1</v>
      </c>
      <c r="AD446" s="13">
        <v>0</v>
      </c>
      <c r="AE446" s="13">
        <v>0</v>
      </c>
      <c r="AF446" s="13">
        <v>0</v>
      </c>
      <c r="AG446" s="13"/>
      <c r="AH446" s="13"/>
    </row>
    <row r="447" spans="1:34" ht="12.75" customHeight="1">
      <c r="A447" s="10" t="s">
        <v>187</v>
      </c>
      <c r="B447" s="11">
        <f>AVERAGE(E447:AE447)</f>
        <v>0.25925925925925924</v>
      </c>
      <c r="C447" s="2">
        <f>MIN(E447:AE447)</f>
        <v>0</v>
      </c>
      <c r="D447" s="12">
        <f>MAX(E447:AE447)</f>
        <v>2</v>
      </c>
      <c r="E447" s="13">
        <v>0</v>
      </c>
      <c r="F447" s="109">
        <v>0</v>
      </c>
      <c r="G447" s="13">
        <v>0</v>
      </c>
      <c r="H447" s="13">
        <v>1</v>
      </c>
      <c r="I447" s="13">
        <v>0</v>
      </c>
      <c r="J447" s="13">
        <v>0</v>
      </c>
      <c r="K447" s="109">
        <v>0</v>
      </c>
      <c r="L447" s="109">
        <v>0</v>
      </c>
      <c r="M447" s="109">
        <v>2</v>
      </c>
      <c r="N447" s="109">
        <v>1</v>
      </c>
      <c r="O447" s="109">
        <v>0</v>
      </c>
      <c r="P447" s="109">
        <v>0</v>
      </c>
      <c r="Q447" s="13">
        <v>0</v>
      </c>
      <c r="R447" s="109">
        <v>1</v>
      </c>
      <c r="S447" s="13">
        <v>0</v>
      </c>
      <c r="T447" s="13">
        <v>0</v>
      </c>
      <c r="U447" s="109">
        <v>0</v>
      </c>
      <c r="V447" s="13">
        <v>0</v>
      </c>
      <c r="W447" s="13">
        <v>0</v>
      </c>
      <c r="X447" s="109">
        <v>1</v>
      </c>
      <c r="Y447" s="13">
        <v>0</v>
      </c>
      <c r="Z447" s="13">
        <v>0</v>
      </c>
      <c r="AA447" s="13">
        <v>0</v>
      </c>
      <c r="AB447" s="13">
        <v>0</v>
      </c>
      <c r="AC447" s="109">
        <v>1</v>
      </c>
      <c r="AD447" s="13">
        <v>0</v>
      </c>
      <c r="AE447" s="13">
        <v>0</v>
      </c>
      <c r="AF447" s="13">
        <v>0</v>
      </c>
      <c r="AG447" s="13"/>
      <c r="AH447" s="13"/>
    </row>
    <row r="448" spans="1:34" ht="12.75" customHeight="1">
      <c r="A448" s="10" t="s">
        <v>188</v>
      </c>
      <c r="B448" s="11">
        <f>AVERAGE(E448:AE448)</f>
        <v>0.25925925925925924</v>
      </c>
      <c r="C448" s="2">
        <f>MIN(E448:AE448)</f>
        <v>0</v>
      </c>
      <c r="D448" s="12">
        <f>MAX(E448:AE448)</f>
        <v>2</v>
      </c>
      <c r="E448" s="13">
        <v>0</v>
      </c>
      <c r="F448" s="109">
        <v>0</v>
      </c>
      <c r="G448" s="13">
        <v>0</v>
      </c>
      <c r="H448" s="13">
        <v>1</v>
      </c>
      <c r="I448" s="13">
        <v>0</v>
      </c>
      <c r="J448" s="13">
        <v>0</v>
      </c>
      <c r="K448" s="109">
        <v>0</v>
      </c>
      <c r="L448" s="109">
        <v>0</v>
      </c>
      <c r="M448" s="109">
        <v>2</v>
      </c>
      <c r="N448" s="109">
        <v>1</v>
      </c>
      <c r="O448" s="109">
        <v>0</v>
      </c>
      <c r="P448" s="109">
        <v>0</v>
      </c>
      <c r="Q448" s="13">
        <v>0</v>
      </c>
      <c r="R448" s="109">
        <v>1</v>
      </c>
      <c r="S448" s="13">
        <v>0</v>
      </c>
      <c r="T448" s="13">
        <v>0</v>
      </c>
      <c r="U448" s="109">
        <v>0</v>
      </c>
      <c r="V448" s="109">
        <v>0</v>
      </c>
      <c r="W448" s="13">
        <v>0</v>
      </c>
      <c r="X448" s="109">
        <v>1</v>
      </c>
      <c r="Y448" s="13">
        <v>0</v>
      </c>
      <c r="Z448" s="13">
        <v>0</v>
      </c>
      <c r="AA448" s="13">
        <v>0</v>
      </c>
      <c r="AB448" s="13">
        <v>0</v>
      </c>
      <c r="AC448" s="109">
        <v>1</v>
      </c>
      <c r="AD448" s="13">
        <v>0</v>
      </c>
      <c r="AE448" s="13">
        <v>0</v>
      </c>
      <c r="AF448" s="13">
        <v>0</v>
      </c>
      <c r="AG448" s="13"/>
      <c r="AH448" s="13"/>
    </row>
    <row r="449" spans="1:34" ht="12.75" customHeight="1">
      <c r="A449" s="10" t="s">
        <v>189</v>
      </c>
      <c r="B449" s="11">
        <f>AVERAGE(E449:AE449)</f>
        <v>0.25925925925925924</v>
      </c>
      <c r="C449" s="2">
        <f>MIN(E449:AE449)</f>
        <v>0</v>
      </c>
      <c r="D449" s="12">
        <f>MAX(E449:AE449)</f>
        <v>2</v>
      </c>
      <c r="E449" s="13">
        <v>0</v>
      </c>
      <c r="F449" s="109">
        <v>0</v>
      </c>
      <c r="G449" s="13">
        <v>0</v>
      </c>
      <c r="H449" s="13">
        <v>1</v>
      </c>
      <c r="I449" s="13">
        <v>0</v>
      </c>
      <c r="J449" s="13">
        <v>0</v>
      </c>
      <c r="K449" s="109">
        <v>0</v>
      </c>
      <c r="L449" s="109">
        <v>0</v>
      </c>
      <c r="M449" s="109">
        <v>2</v>
      </c>
      <c r="N449" s="109">
        <v>1</v>
      </c>
      <c r="O449" s="109">
        <v>0</v>
      </c>
      <c r="P449" s="109">
        <v>0</v>
      </c>
      <c r="Q449" s="13">
        <v>0</v>
      </c>
      <c r="R449" s="109">
        <v>1</v>
      </c>
      <c r="S449" s="13">
        <v>0</v>
      </c>
      <c r="T449" s="109">
        <v>0</v>
      </c>
      <c r="U449" s="109">
        <v>0</v>
      </c>
      <c r="V449" s="109">
        <v>0</v>
      </c>
      <c r="W449" s="13">
        <v>0</v>
      </c>
      <c r="X449" s="109">
        <v>1</v>
      </c>
      <c r="Y449" s="13">
        <v>0</v>
      </c>
      <c r="Z449" s="13">
        <v>0</v>
      </c>
      <c r="AA449" s="109">
        <v>0</v>
      </c>
      <c r="AB449" s="13">
        <v>0</v>
      </c>
      <c r="AC449" s="109">
        <v>1</v>
      </c>
      <c r="AD449" s="13">
        <v>0</v>
      </c>
      <c r="AE449" s="13">
        <v>0</v>
      </c>
      <c r="AF449" s="13">
        <v>0</v>
      </c>
      <c r="AG449" s="13"/>
      <c r="AH449" s="13"/>
    </row>
    <row r="450" spans="1:34" ht="12.75" customHeight="1">
      <c r="A450" s="10" t="s">
        <v>190</v>
      </c>
      <c r="B450" s="11">
        <f>AVERAGE(E450:AE450)</f>
        <v>0.25925925925925924</v>
      </c>
      <c r="C450" s="2">
        <f>MIN(E450:AE450)</f>
        <v>0</v>
      </c>
      <c r="D450" s="12">
        <f>MAX(E450:AE450)</f>
        <v>2</v>
      </c>
      <c r="E450" s="13">
        <v>0</v>
      </c>
      <c r="F450" s="109">
        <v>0</v>
      </c>
      <c r="G450" s="13">
        <v>0</v>
      </c>
      <c r="H450" s="13">
        <v>1</v>
      </c>
      <c r="I450" s="13">
        <v>0</v>
      </c>
      <c r="J450" s="13">
        <v>0</v>
      </c>
      <c r="K450" s="109">
        <v>0</v>
      </c>
      <c r="L450" s="109">
        <v>0</v>
      </c>
      <c r="M450" s="109">
        <v>2</v>
      </c>
      <c r="N450" s="109">
        <v>1</v>
      </c>
      <c r="O450" s="109">
        <v>0</v>
      </c>
      <c r="P450" s="109">
        <v>0</v>
      </c>
      <c r="Q450" s="13">
        <v>0</v>
      </c>
      <c r="R450" s="109">
        <v>1</v>
      </c>
      <c r="S450" s="13">
        <v>0</v>
      </c>
      <c r="T450" s="109">
        <v>0</v>
      </c>
      <c r="U450" s="109">
        <v>0</v>
      </c>
      <c r="V450" s="109">
        <v>0</v>
      </c>
      <c r="W450" s="13">
        <v>0</v>
      </c>
      <c r="X450" s="109">
        <v>1</v>
      </c>
      <c r="Y450" s="13">
        <v>0</v>
      </c>
      <c r="Z450" s="13">
        <v>0</v>
      </c>
      <c r="AA450" s="109">
        <v>0</v>
      </c>
      <c r="AB450" s="13">
        <v>0</v>
      </c>
      <c r="AC450" s="109">
        <v>1</v>
      </c>
      <c r="AD450" s="13">
        <v>0</v>
      </c>
      <c r="AE450" s="109">
        <v>0</v>
      </c>
      <c r="AF450" s="109">
        <v>0</v>
      </c>
      <c r="AG450" s="13"/>
      <c r="AH450" s="13"/>
    </row>
    <row r="451" spans="1:34" ht="12.75" customHeight="1">
      <c r="A451" s="10" t="s">
        <v>191</v>
      </c>
      <c r="B451" s="11">
        <f>AVERAGE(E451:AE451)</f>
        <v>0.25925925925925924</v>
      </c>
      <c r="C451" s="2">
        <f>MIN(E451:AE451)</f>
        <v>0</v>
      </c>
      <c r="D451" s="12">
        <f>MAX(E451:AE451)</f>
        <v>2</v>
      </c>
      <c r="E451" s="13">
        <v>0</v>
      </c>
      <c r="F451" s="109">
        <v>0</v>
      </c>
      <c r="G451" s="13">
        <v>0</v>
      </c>
      <c r="H451" s="13">
        <v>1</v>
      </c>
      <c r="I451" s="13">
        <v>0</v>
      </c>
      <c r="J451" s="13">
        <v>0</v>
      </c>
      <c r="K451" s="109">
        <v>0</v>
      </c>
      <c r="L451" s="109">
        <v>0</v>
      </c>
      <c r="M451" s="109">
        <v>2</v>
      </c>
      <c r="N451" s="109">
        <v>1</v>
      </c>
      <c r="O451" s="109">
        <v>0</v>
      </c>
      <c r="P451" s="109">
        <v>0</v>
      </c>
      <c r="Q451" s="13">
        <v>0</v>
      </c>
      <c r="R451" s="109">
        <v>1</v>
      </c>
      <c r="S451" s="13">
        <v>0</v>
      </c>
      <c r="T451" s="109">
        <v>0</v>
      </c>
      <c r="U451" s="109">
        <v>0</v>
      </c>
      <c r="V451" s="109">
        <v>0</v>
      </c>
      <c r="W451" s="13">
        <v>0</v>
      </c>
      <c r="X451" s="109">
        <v>1</v>
      </c>
      <c r="Y451" s="13">
        <v>0</v>
      </c>
      <c r="Z451" s="13">
        <v>0</v>
      </c>
      <c r="AA451" s="109">
        <v>0</v>
      </c>
      <c r="AB451" s="13">
        <v>0</v>
      </c>
      <c r="AC451" s="109">
        <v>1</v>
      </c>
      <c r="AD451" s="13">
        <v>0</v>
      </c>
      <c r="AE451" s="109">
        <v>0</v>
      </c>
      <c r="AF451" s="109">
        <v>0</v>
      </c>
      <c r="AG451" s="13"/>
      <c r="AH451" s="13"/>
    </row>
    <row r="452" spans="1:34" ht="12.75" customHeight="1">
      <c r="A452" s="10" t="s">
        <v>192</v>
      </c>
      <c r="B452" s="11">
        <f>AVERAGE(E452:AE452)</f>
        <v>0.25925925925925924</v>
      </c>
      <c r="C452" s="2">
        <f>MIN(E452:AE452)</f>
        <v>0</v>
      </c>
      <c r="D452" s="12">
        <f>MAX(E452:AE452)</f>
        <v>2</v>
      </c>
      <c r="E452" s="13">
        <v>0</v>
      </c>
      <c r="F452" s="109">
        <v>0</v>
      </c>
      <c r="G452" s="13">
        <v>0</v>
      </c>
      <c r="H452" s="13">
        <v>1</v>
      </c>
      <c r="I452" s="13">
        <v>0</v>
      </c>
      <c r="J452" s="13">
        <v>0</v>
      </c>
      <c r="K452" s="109">
        <v>0</v>
      </c>
      <c r="L452" s="109">
        <v>0</v>
      </c>
      <c r="M452" s="109">
        <v>2</v>
      </c>
      <c r="N452" s="109">
        <v>1</v>
      </c>
      <c r="O452" s="109">
        <v>0</v>
      </c>
      <c r="P452" s="109">
        <v>0</v>
      </c>
      <c r="Q452" s="13">
        <v>0</v>
      </c>
      <c r="R452" s="109">
        <v>1</v>
      </c>
      <c r="S452" s="13">
        <v>0</v>
      </c>
      <c r="T452" s="109">
        <v>0</v>
      </c>
      <c r="U452" s="109">
        <v>0</v>
      </c>
      <c r="V452" s="109">
        <v>0</v>
      </c>
      <c r="W452" s="13">
        <v>0</v>
      </c>
      <c r="X452" s="109">
        <v>1</v>
      </c>
      <c r="Y452" s="13">
        <v>0</v>
      </c>
      <c r="Z452" s="13">
        <v>0</v>
      </c>
      <c r="AA452" s="109">
        <v>0</v>
      </c>
      <c r="AB452" s="13">
        <v>0</v>
      </c>
      <c r="AC452" s="109">
        <v>1</v>
      </c>
      <c r="AD452" s="13">
        <v>0</v>
      </c>
      <c r="AE452" s="109">
        <v>0</v>
      </c>
      <c r="AF452" s="109">
        <v>0</v>
      </c>
      <c r="AG452" s="13"/>
      <c r="AH452" s="13"/>
    </row>
    <row r="453" spans="1:34" ht="12.75" customHeight="1">
      <c r="A453" s="10" t="s">
        <v>193</v>
      </c>
      <c r="B453" s="11">
        <f>AVERAGE(E453:AE453)</f>
        <v>0.25925925925925924</v>
      </c>
      <c r="C453" s="2">
        <f>MIN(E453:AE453)</f>
        <v>0</v>
      </c>
      <c r="D453" s="12">
        <f>MAX(E453:AE453)</f>
        <v>2</v>
      </c>
      <c r="E453" s="13">
        <v>0</v>
      </c>
      <c r="F453" s="109">
        <v>0</v>
      </c>
      <c r="G453" s="13">
        <v>0</v>
      </c>
      <c r="H453" s="13">
        <v>1</v>
      </c>
      <c r="I453" s="13">
        <v>0</v>
      </c>
      <c r="J453" s="13">
        <v>0</v>
      </c>
      <c r="K453" s="109">
        <v>0</v>
      </c>
      <c r="L453" s="109">
        <v>0</v>
      </c>
      <c r="M453" s="109">
        <v>2</v>
      </c>
      <c r="N453" s="109">
        <v>1</v>
      </c>
      <c r="O453" s="109">
        <v>0</v>
      </c>
      <c r="P453" s="109">
        <v>0</v>
      </c>
      <c r="Q453" s="13">
        <v>0</v>
      </c>
      <c r="R453" s="109">
        <v>1</v>
      </c>
      <c r="S453" s="13">
        <v>0</v>
      </c>
      <c r="T453" s="109">
        <v>0</v>
      </c>
      <c r="U453" s="109">
        <v>0</v>
      </c>
      <c r="V453" s="109">
        <v>0</v>
      </c>
      <c r="W453" s="13">
        <v>0</v>
      </c>
      <c r="X453" s="109">
        <v>1</v>
      </c>
      <c r="Y453" s="13">
        <v>0</v>
      </c>
      <c r="Z453" s="13">
        <v>0</v>
      </c>
      <c r="AA453" s="109">
        <v>0</v>
      </c>
      <c r="AB453" s="13">
        <v>0</v>
      </c>
      <c r="AC453" s="109">
        <v>1</v>
      </c>
      <c r="AD453" s="13">
        <v>0</v>
      </c>
      <c r="AE453" s="109">
        <v>0</v>
      </c>
      <c r="AF453" s="109">
        <v>0</v>
      </c>
      <c r="AG453" s="13"/>
      <c r="AH453" s="13"/>
    </row>
    <row r="454" spans="1:34" ht="12.75" customHeight="1">
      <c r="A454" s="10" t="s">
        <v>194</v>
      </c>
      <c r="B454" s="11">
        <f>AVERAGE(E454:AE454)</f>
        <v>0.25925925925925924</v>
      </c>
      <c r="C454" s="2">
        <f>MIN(E454:AE454)</f>
        <v>0</v>
      </c>
      <c r="D454" s="12">
        <f>MAX(E454:AE454)</f>
        <v>2</v>
      </c>
      <c r="E454" s="13">
        <v>0</v>
      </c>
      <c r="F454" s="109">
        <v>0</v>
      </c>
      <c r="G454" s="13">
        <v>0</v>
      </c>
      <c r="H454" s="13">
        <v>1</v>
      </c>
      <c r="I454" s="13">
        <v>0</v>
      </c>
      <c r="J454" s="13">
        <v>0</v>
      </c>
      <c r="K454" s="109">
        <v>0</v>
      </c>
      <c r="L454" s="109">
        <v>0</v>
      </c>
      <c r="M454" s="109">
        <v>2</v>
      </c>
      <c r="N454" s="109">
        <v>1</v>
      </c>
      <c r="O454" s="109">
        <v>0</v>
      </c>
      <c r="P454" s="109">
        <v>0</v>
      </c>
      <c r="Q454" s="13">
        <v>0</v>
      </c>
      <c r="R454" s="109">
        <v>1</v>
      </c>
      <c r="S454" s="13">
        <v>0</v>
      </c>
      <c r="T454" s="109">
        <v>0</v>
      </c>
      <c r="U454" s="109">
        <v>0</v>
      </c>
      <c r="V454" s="109">
        <v>0</v>
      </c>
      <c r="W454" s="13">
        <v>0</v>
      </c>
      <c r="X454" s="109">
        <v>1</v>
      </c>
      <c r="Y454" s="13">
        <v>0</v>
      </c>
      <c r="Z454" s="13">
        <v>0</v>
      </c>
      <c r="AA454" s="109">
        <v>0</v>
      </c>
      <c r="AB454" s="13">
        <v>0</v>
      </c>
      <c r="AC454" s="109">
        <v>1</v>
      </c>
      <c r="AD454" s="13">
        <v>0</v>
      </c>
      <c r="AE454" s="109">
        <v>0</v>
      </c>
      <c r="AF454" s="109">
        <v>0</v>
      </c>
      <c r="AG454" s="13"/>
      <c r="AH454" s="13"/>
    </row>
    <row r="455" spans="1:34" ht="12.75" customHeight="1">
      <c r="A455" s="10" t="s">
        <v>195</v>
      </c>
      <c r="B455" s="11">
        <f>AVERAGE(E455:AE455)</f>
        <v>0.25925925925925924</v>
      </c>
      <c r="C455" s="2">
        <f>MIN(E455:AE455)</f>
        <v>0</v>
      </c>
      <c r="D455" s="12">
        <f>MAX(E455:AE455)</f>
        <v>2</v>
      </c>
      <c r="E455" s="13">
        <v>0</v>
      </c>
      <c r="F455" s="109">
        <v>0</v>
      </c>
      <c r="G455" s="13">
        <v>0</v>
      </c>
      <c r="H455" s="13">
        <v>1</v>
      </c>
      <c r="I455" s="13">
        <v>0</v>
      </c>
      <c r="J455" s="13">
        <v>0</v>
      </c>
      <c r="K455" s="109">
        <v>0</v>
      </c>
      <c r="L455" s="109">
        <v>0</v>
      </c>
      <c r="M455" s="109">
        <v>2</v>
      </c>
      <c r="N455" s="109">
        <v>1</v>
      </c>
      <c r="O455" s="109">
        <v>0</v>
      </c>
      <c r="P455" s="109">
        <v>0</v>
      </c>
      <c r="Q455" s="13">
        <v>0</v>
      </c>
      <c r="R455" s="109">
        <v>1</v>
      </c>
      <c r="S455" s="13">
        <v>0</v>
      </c>
      <c r="T455" s="109">
        <v>0</v>
      </c>
      <c r="U455" s="109">
        <v>0</v>
      </c>
      <c r="V455" s="109">
        <v>0</v>
      </c>
      <c r="W455" s="13">
        <v>0</v>
      </c>
      <c r="X455" s="109">
        <v>1</v>
      </c>
      <c r="Y455" s="13">
        <v>0</v>
      </c>
      <c r="Z455" s="13">
        <v>0</v>
      </c>
      <c r="AA455" s="109">
        <v>0</v>
      </c>
      <c r="AB455" s="13">
        <v>0</v>
      </c>
      <c r="AC455" s="109">
        <v>1</v>
      </c>
      <c r="AD455" s="13">
        <v>0</v>
      </c>
      <c r="AE455" s="109">
        <v>0</v>
      </c>
      <c r="AF455" s="109">
        <v>0</v>
      </c>
      <c r="AG455" s="13"/>
      <c r="AH455" s="13"/>
    </row>
    <row r="456" spans="1:34" ht="12.75" customHeight="1">
      <c r="A456" s="10" t="s">
        <v>196</v>
      </c>
      <c r="B456" s="11">
        <f>AVERAGE(E456:AE456)</f>
        <v>0.25925925925925924</v>
      </c>
      <c r="C456" s="2">
        <f>MIN(E456:AE456)</f>
        <v>0</v>
      </c>
      <c r="D456" s="12">
        <f>MAX(E456:AE456)</f>
        <v>2</v>
      </c>
      <c r="E456" s="13">
        <v>0</v>
      </c>
      <c r="F456" s="109">
        <v>0</v>
      </c>
      <c r="G456" s="13">
        <v>0</v>
      </c>
      <c r="H456" s="13">
        <v>1</v>
      </c>
      <c r="I456" s="13">
        <v>0</v>
      </c>
      <c r="J456" s="13">
        <v>0</v>
      </c>
      <c r="K456" s="109">
        <v>0</v>
      </c>
      <c r="L456" s="109">
        <v>0</v>
      </c>
      <c r="M456" s="109">
        <v>2</v>
      </c>
      <c r="N456" s="109">
        <v>1</v>
      </c>
      <c r="O456" s="109">
        <v>0</v>
      </c>
      <c r="P456" s="109">
        <v>0</v>
      </c>
      <c r="Q456" s="13">
        <v>0</v>
      </c>
      <c r="R456" s="109">
        <v>1</v>
      </c>
      <c r="S456" s="13">
        <v>0</v>
      </c>
      <c r="T456" s="109">
        <v>0</v>
      </c>
      <c r="U456" s="109">
        <v>0</v>
      </c>
      <c r="V456" s="109">
        <v>0</v>
      </c>
      <c r="W456" s="13">
        <v>0</v>
      </c>
      <c r="X456" s="109">
        <v>1</v>
      </c>
      <c r="Y456" s="13">
        <v>0</v>
      </c>
      <c r="Z456" s="13">
        <v>0</v>
      </c>
      <c r="AA456" s="109">
        <v>0</v>
      </c>
      <c r="AB456" s="13">
        <v>0</v>
      </c>
      <c r="AC456" s="109">
        <v>1</v>
      </c>
      <c r="AD456" s="13">
        <v>0</v>
      </c>
      <c r="AE456" s="109">
        <v>0</v>
      </c>
      <c r="AF456" s="109">
        <v>0</v>
      </c>
      <c r="AG456" s="13"/>
      <c r="AH456" s="13"/>
    </row>
    <row r="457" spans="1:34" ht="12.75" customHeight="1">
      <c r="A457" s="10" t="s">
        <v>197</v>
      </c>
      <c r="B457" s="11">
        <f>AVERAGE(E457:AE457)</f>
        <v>0.25925925925925924</v>
      </c>
      <c r="C457" s="2">
        <f>MIN(E457:AE457)</f>
        <v>0</v>
      </c>
      <c r="D457" s="12">
        <f>MAX(E457:AE457)</f>
        <v>2</v>
      </c>
      <c r="E457" s="13">
        <v>0</v>
      </c>
      <c r="F457" s="109">
        <v>0</v>
      </c>
      <c r="G457" s="13">
        <v>0</v>
      </c>
      <c r="H457" s="13">
        <v>1</v>
      </c>
      <c r="I457" s="13">
        <v>0</v>
      </c>
      <c r="J457" s="13">
        <v>0</v>
      </c>
      <c r="K457" s="109">
        <v>0</v>
      </c>
      <c r="L457" s="109">
        <v>0</v>
      </c>
      <c r="M457" s="109">
        <v>2</v>
      </c>
      <c r="N457" s="109">
        <v>1</v>
      </c>
      <c r="O457" s="109">
        <v>0</v>
      </c>
      <c r="P457" s="109">
        <v>0</v>
      </c>
      <c r="Q457" s="13">
        <v>0</v>
      </c>
      <c r="R457" s="109">
        <v>1</v>
      </c>
      <c r="S457" s="13">
        <v>0</v>
      </c>
      <c r="T457" s="109">
        <v>0</v>
      </c>
      <c r="U457" s="109">
        <v>0</v>
      </c>
      <c r="V457" s="109">
        <v>0</v>
      </c>
      <c r="W457" s="13">
        <v>0</v>
      </c>
      <c r="X457" s="109">
        <v>1</v>
      </c>
      <c r="Y457" s="13">
        <v>0</v>
      </c>
      <c r="Z457" s="13">
        <v>0</v>
      </c>
      <c r="AA457" s="109">
        <v>0</v>
      </c>
      <c r="AB457" s="13">
        <v>0</v>
      </c>
      <c r="AC457" s="109">
        <v>1</v>
      </c>
      <c r="AD457" s="13">
        <v>0</v>
      </c>
      <c r="AE457" s="109">
        <v>0</v>
      </c>
      <c r="AF457" s="109">
        <v>0</v>
      </c>
      <c r="AG457" s="13"/>
      <c r="AH457" s="13"/>
    </row>
    <row r="458" spans="1:34" ht="12.75" customHeight="1">
      <c r="A458" s="10" t="s">
        <v>198</v>
      </c>
      <c r="B458" s="11">
        <f>AVERAGE(E458:AE458)</f>
        <v>0.29629629629629628</v>
      </c>
      <c r="C458" s="2">
        <f>MIN(E458:AE458)</f>
        <v>0</v>
      </c>
      <c r="D458" s="12">
        <f>MAX(E458:AE458)</f>
        <v>2</v>
      </c>
      <c r="E458" s="13">
        <v>0</v>
      </c>
      <c r="F458" s="109">
        <v>0</v>
      </c>
      <c r="G458" s="13">
        <v>0</v>
      </c>
      <c r="H458" s="13">
        <v>1</v>
      </c>
      <c r="I458" s="13">
        <v>0</v>
      </c>
      <c r="J458" s="13">
        <v>0</v>
      </c>
      <c r="K458" s="109">
        <v>0</v>
      </c>
      <c r="L458" s="109">
        <v>0</v>
      </c>
      <c r="M458" s="109">
        <v>2</v>
      </c>
      <c r="N458" s="109">
        <v>1</v>
      </c>
      <c r="O458" s="110">
        <v>1</v>
      </c>
      <c r="P458" s="109">
        <v>0</v>
      </c>
      <c r="Q458" s="13">
        <v>0</v>
      </c>
      <c r="R458" s="109">
        <v>1</v>
      </c>
      <c r="S458" s="13">
        <v>0</v>
      </c>
      <c r="T458" s="109">
        <v>0</v>
      </c>
      <c r="U458" s="109">
        <v>0</v>
      </c>
      <c r="V458" s="109">
        <v>0</v>
      </c>
      <c r="W458" s="13">
        <v>0</v>
      </c>
      <c r="X458" s="109">
        <v>1</v>
      </c>
      <c r="Y458" s="13">
        <v>0</v>
      </c>
      <c r="Z458" s="13">
        <v>0</v>
      </c>
      <c r="AA458" s="109">
        <v>0</v>
      </c>
      <c r="AB458" s="13">
        <v>0</v>
      </c>
      <c r="AC458" s="109">
        <v>1</v>
      </c>
      <c r="AD458" s="13">
        <v>0</v>
      </c>
      <c r="AE458" s="109">
        <v>0</v>
      </c>
      <c r="AF458" s="109">
        <v>0</v>
      </c>
      <c r="AG458" s="13"/>
      <c r="AH458" s="13"/>
    </row>
    <row r="459" spans="1:34" ht="12.75" customHeight="1">
      <c r="A459" s="10" t="s">
        <v>199</v>
      </c>
      <c r="B459" s="11">
        <f>AVERAGE(E459:AE459)</f>
        <v>0.29629629629629628</v>
      </c>
      <c r="C459" s="2">
        <f>MIN(E459:AE459)</f>
        <v>0</v>
      </c>
      <c r="D459" s="12">
        <f>MAX(E459:AE459)</f>
        <v>2</v>
      </c>
      <c r="E459" s="13">
        <v>0</v>
      </c>
      <c r="F459" s="109">
        <v>0</v>
      </c>
      <c r="G459" s="13">
        <v>0</v>
      </c>
      <c r="H459" s="13">
        <v>1</v>
      </c>
      <c r="I459" s="13">
        <v>0</v>
      </c>
      <c r="J459" s="13">
        <v>0</v>
      </c>
      <c r="K459" s="109">
        <v>0</v>
      </c>
      <c r="L459" s="109">
        <v>0</v>
      </c>
      <c r="M459" s="109">
        <v>2</v>
      </c>
      <c r="N459" s="109">
        <v>1</v>
      </c>
      <c r="O459" s="109">
        <v>1</v>
      </c>
      <c r="P459" s="109">
        <v>0</v>
      </c>
      <c r="Q459" s="13">
        <v>0</v>
      </c>
      <c r="R459" s="109">
        <v>1</v>
      </c>
      <c r="S459" s="13">
        <v>0</v>
      </c>
      <c r="T459" s="109">
        <v>0</v>
      </c>
      <c r="U459" s="109">
        <v>0</v>
      </c>
      <c r="V459" s="109">
        <v>0</v>
      </c>
      <c r="W459" s="13">
        <v>0</v>
      </c>
      <c r="X459" s="109">
        <v>1</v>
      </c>
      <c r="Y459" s="13">
        <v>0</v>
      </c>
      <c r="Z459" s="13">
        <v>0</v>
      </c>
      <c r="AA459" s="109">
        <v>0</v>
      </c>
      <c r="AB459" s="13">
        <v>0</v>
      </c>
      <c r="AC459" s="109">
        <v>1</v>
      </c>
      <c r="AD459" s="13">
        <v>0</v>
      </c>
      <c r="AE459" s="109">
        <v>0</v>
      </c>
      <c r="AF459" s="109">
        <v>0</v>
      </c>
      <c r="AG459" s="13"/>
      <c r="AH459" s="13"/>
    </row>
    <row r="460" spans="1:34" ht="12.75" customHeight="1">
      <c r="A460" s="10" t="s">
        <v>200</v>
      </c>
      <c r="B460" s="11">
        <f>AVERAGE(E460:AE460)</f>
        <v>0.29629629629629628</v>
      </c>
      <c r="C460" s="2">
        <f>MIN(E460:AE460)</f>
        <v>0</v>
      </c>
      <c r="D460" s="12">
        <f>MAX(E460:AE460)</f>
        <v>2</v>
      </c>
      <c r="E460" s="13">
        <v>0</v>
      </c>
      <c r="F460" s="109">
        <v>0</v>
      </c>
      <c r="G460" s="13">
        <v>0</v>
      </c>
      <c r="H460" s="13">
        <v>1</v>
      </c>
      <c r="I460" s="13">
        <v>0</v>
      </c>
      <c r="J460" s="13">
        <v>0</v>
      </c>
      <c r="K460" s="109">
        <v>0</v>
      </c>
      <c r="L460" s="109">
        <v>0</v>
      </c>
      <c r="M460" s="109">
        <v>2</v>
      </c>
      <c r="N460" s="109">
        <v>1</v>
      </c>
      <c r="O460" s="109">
        <v>1</v>
      </c>
      <c r="P460" s="109">
        <v>0</v>
      </c>
      <c r="Q460" s="13">
        <v>0</v>
      </c>
      <c r="R460" s="109">
        <v>1</v>
      </c>
      <c r="S460" s="13">
        <v>0</v>
      </c>
      <c r="T460" s="109">
        <v>0</v>
      </c>
      <c r="U460" s="109">
        <v>0</v>
      </c>
      <c r="V460" s="109">
        <v>0</v>
      </c>
      <c r="W460" s="13">
        <v>0</v>
      </c>
      <c r="X460" s="109">
        <v>1</v>
      </c>
      <c r="Y460" s="13">
        <v>0</v>
      </c>
      <c r="Z460" s="13">
        <v>0</v>
      </c>
      <c r="AA460" s="109">
        <v>0</v>
      </c>
      <c r="AB460" s="13">
        <v>0</v>
      </c>
      <c r="AC460" s="109">
        <v>1</v>
      </c>
      <c r="AD460" s="13">
        <v>0</v>
      </c>
      <c r="AE460" s="109">
        <v>0</v>
      </c>
      <c r="AF460" s="109">
        <v>0</v>
      </c>
      <c r="AG460" s="13"/>
      <c r="AH460" s="13"/>
    </row>
    <row r="461" spans="1:34" ht="12.75" customHeight="1">
      <c r="A461" s="10" t="s">
        <v>201</v>
      </c>
      <c r="B461" s="11">
        <f>AVERAGE(E461:AE461)</f>
        <v>0.33333333333333331</v>
      </c>
      <c r="C461" s="2">
        <f>MIN(E461:AE461)</f>
        <v>0</v>
      </c>
      <c r="D461" s="12">
        <f>MAX(E461:AE461)</f>
        <v>2</v>
      </c>
      <c r="E461" s="13">
        <v>0</v>
      </c>
      <c r="F461" s="109">
        <v>0</v>
      </c>
      <c r="G461" s="13">
        <v>0</v>
      </c>
      <c r="H461" s="13">
        <v>1</v>
      </c>
      <c r="I461" s="13">
        <v>0</v>
      </c>
      <c r="J461" s="13">
        <v>0</v>
      </c>
      <c r="K461" s="109">
        <v>0</v>
      </c>
      <c r="L461" s="109">
        <v>0</v>
      </c>
      <c r="M461" s="109">
        <v>2</v>
      </c>
      <c r="N461" s="109">
        <v>1</v>
      </c>
      <c r="O461" s="109">
        <v>1</v>
      </c>
      <c r="P461" s="109">
        <v>1</v>
      </c>
      <c r="Q461" s="13">
        <v>0</v>
      </c>
      <c r="R461" s="109">
        <v>1</v>
      </c>
      <c r="S461" s="13">
        <v>0</v>
      </c>
      <c r="T461" s="109">
        <v>0</v>
      </c>
      <c r="U461" s="109">
        <v>0</v>
      </c>
      <c r="V461" s="109">
        <v>0</v>
      </c>
      <c r="W461" s="13">
        <v>0</v>
      </c>
      <c r="X461" s="109">
        <v>1</v>
      </c>
      <c r="Y461" s="13">
        <v>0</v>
      </c>
      <c r="Z461" s="13">
        <v>0</v>
      </c>
      <c r="AA461" s="109">
        <v>0</v>
      </c>
      <c r="AB461" s="13">
        <v>0</v>
      </c>
      <c r="AC461" s="109">
        <v>1</v>
      </c>
      <c r="AD461" s="13">
        <v>0</v>
      </c>
      <c r="AE461" s="109">
        <v>0</v>
      </c>
      <c r="AF461" s="109">
        <v>0</v>
      </c>
      <c r="AG461" s="13"/>
      <c r="AH461" s="13"/>
    </row>
    <row r="462" spans="1:34" ht="12.75" customHeight="1">
      <c r="A462" s="10" t="s">
        <v>202</v>
      </c>
      <c r="B462" s="11">
        <f>AVERAGE(E462:AE462)</f>
        <v>0.33333333333333331</v>
      </c>
      <c r="C462" s="2">
        <f>MIN(E462:AE462)</f>
        <v>0</v>
      </c>
      <c r="D462" s="12">
        <f>MAX(E462:AE462)</f>
        <v>2</v>
      </c>
      <c r="E462" s="13">
        <v>0</v>
      </c>
      <c r="F462" s="109">
        <v>0</v>
      </c>
      <c r="G462" s="13">
        <v>0</v>
      </c>
      <c r="H462" s="13">
        <v>1</v>
      </c>
      <c r="I462" s="13">
        <v>0</v>
      </c>
      <c r="J462" s="13">
        <v>0</v>
      </c>
      <c r="K462" s="109">
        <v>0</v>
      </c>
      <c r="L462" s="109">
        <v>0</v>
      </c>
      <c r="M462" s="109">
        <v>2</v>
      </c>
      <c r="N462" s="109">
        <v>1</v>
      </c>
      <c r="O462" s="109">
        <v>1</v>
      </c>
      <c r="P462" s="109">
        <v>1</v>
      </c>
      <c r="Q462" s="13">
        <v>0</v>
      </c>
      <c r="R462" s="109">
        <v>1</v>
      </c>
      <c r="S462" s="13">
        <v>0</v>
      </c>
      <c r="T462" s="109">
        <v>0</v>
      </c>
      <c r="U462" s="109">
        <v>0</v>
      </c>
      <c r="V462" s="109">
        <v>0</v>
      </c>
      <c r="W462" s="13">
        <v>0</v>
      </c>
      <c r="X462" s="109">
        <v>1</v>
      </c>
      <c r="Y462" s="13">
        <v>0</v>
      </c>
      <c r="Z462" s="13">
        <v>0</v>
      </c>
      <c r="AA462" s="109">
        <v>0</v>
      </c>
      <c r="AB462" s="13">
        <v>0</v>
      </c>
      <c r="AC462" s="109">
        <v>1</v>
      </c>
      <c r="AD462" s="13">
        <v>0</v>
      </c>
      <c r="AE462" s="109">
        <v>0</v>
      </c>
      <c r="AF462" s="109">
        <v>0</v>
      </c>
      <c r="AG462" s="13"/>
      <c r="AH462" s="13"/>
    </row>
    <row r="463" spans="1:34" ht="12.75" customHeight="1">
      <c r="A463" s="10" t="s">
        <v>203</v>
      </c>
      <c r="B463" s="11">
        <f>AVERAGE(E463:AE463)</f>
        <v>0.33333333333333331</v>
      </c>
      <c r="C463" s="2">
        <f>MIN(E463:AE463)</f>
        <v>0</v>
      </c>
      <c r="D463" s="12">
        <f>MAX(E463:AE463)</f>
        <v>2</v>
      </c>
      <c r="E463" s="13">
        <v>0</v>
      </c>
      <c r="F463" s="109">
        <v>0</v>
      </c>
      <c r="G463" s="13">
        <v>0</v>
      </c>
      <c r="H463" s="13">
        <v>1</v>
      </c>
      <c r="I463" s="13">
        <v>0</v>
      </c>
      <c r="J463" s="13">
        <v>0</v>
      </c>
      <c r="K463" s="109">
        <v>0</v>
      </c>
      <c r="L463" s="109">
        <v>0</v>
      </c>
      <c r="M463" s="109">
        <v>2</v>
      </c>
      <c r="N463" s="109">
        <v>1</v>
      </c>
      <c r="O463" s="109">
        <v>1</v>
      </c>
      <c r="P463" s="109">
        <v>1</v>
      </c>
      <c r="Q463" s="109">
        <v>0</v>
      </c>
      <c r="R463" s="109">
        <v>1</v>
      </c>
      <c r="S463" s="13">
        <v>0</v>
      </c>
      <c r="T463" s="109">
        <v>0</v>
      </c>
      <c r="U463" s="109">
        <v>0</v>
      </c>
      <c r="V463" s="109">
        <v>0</v>
      </c>
      <c r="W463" s="13">
        <v>0</v>
      </c>
      <c r="X463" s="109">
        <v>1</v>
      </c>
      <c r="Y463" s="13">
        <v>0</v>
      </c>
      <c r="Z463" s="13">
        <v>0</v>
      </c>
      <c r="AA463" s="109">
        <v>0</v>
      </c>
      <c r="AB463" s="13">
        <v>0</v>
      </c>
      <c r="AC463" s="109">
        <v>1</v>
      </c>
      <c r="AD463" s="13">
        <v>0</v>
      </c>
      <c r="AE463" s="109">
        <v>0</v>
      </c>
      <c r="AF463" s="109">
        <v>0</v>
      </c>
      <c r="AG463" s="13"/>
      <c r="AH463" s="13"/>
    </row>
    <row r="464" spans="1:34" ht="12.75" customHeight="1">
      <c r="A464" s="10" t="s">
        <v>204</v>
      </c>
      <c r="B464" s="11">
        <f>AVERAGE(E464:AE464)</f>
        <v>0.33333333333333331</v>
      </c>
      <c r="C464" s="2">
        <f>MIN(E464:AE464)</f>
        <v>0</v>
      </c>
      <c r="D464" s="12">
        <f>MAX(E464:AE464)</f>
        <v>2</v>
      </c>
      <c r="E464" s="13">
        <v>0</v>
      </c>
      <c r="F464" s="109">
        <v>0</v>
      </c>
      <c r="G464" s="13">
        <v>0</v>
      </c>
      <c r="H464" s="13">
        <v>1</v>
      </c>
      <c r="I464" s="13">
        <v>0</v>
      </c>
      <c r="J464" s="13">
        <v>0</v>
      </c>
      <c r="K464" s="109">
        <v>0</v>
      </c>
      <c r="L464" s="109">
        <v>0</v>
      </c>
      <c r="M464" s="109">
        <v>2</v>
      </c>
      <c r="N464" s="109">
        <v>1</v>
      </c>
      <c r="O464" s="109">
        <v>1</v>
      </c>
      <c r="P464" s="109">
        <v>1</v>
      </c>
      <c r="Q464" s="109">
        <v>0</v>
      </c>
      <c r="R464" s="109">
        <v>1</v>
      </c>
      <c r="S464" s="13">
        <v>0</v>
      </c>
      <c r="T464" s="109">
        <v>0</v>
      </c>
      <c r="U464" s="109">
        <v>0</v>
      </c>
      <c r="V464" s="109">
        <v>0</v>
      </c>
      <c r="W464" s="13">
        <v>0</v>
      </c>
      <c r="X464" s="109">
        <v>1</v>
      </c>
      <c r="Y464" s="13">
        <v>0</v>
      </c>
      <c r="Z464" s="13">
        <v>0</v>
      </c>
      <c r="AA464" s="109">
        <v>0</v>
      </c>
      <c r="AB464" s="13">
        <v>0</v>
      </c>
      <c r="AC464" s="109">
        <v>1</v>
      </c>
      <c r="AD464" s="13">
        <v>0</v>
      </c>
      <c r="AE464" s="109">
        <v>0</v>
      </c>
      <c r="AF464" s="109">
        <v>0</v>
      </c>
      <c r="AG464" s="13"/>
      <c r="AH464" s="13"/>
    </row>
    <row r="465" spans="1:34" ht="12.75" customHeight="1">
      <c r="A465" s="10" t="s">
        <v>205</v>
      </c>
      <c r="B465" s="11">
        <f>AVERAGE(E465:AE465)</f>
        <v>0.33333333333333331</v>
      </c>
      <c r="C465" s="2">
        <f>MIN(E465:AE465)</f>
        <v>0</v>
      </c>
      <c r="D465" s="12">
        <f>MAX(E465:AE465)</f>
        <v>2</v>
      </c>
      <c r="E465" s="13">
        <v>0</v>
      </c>
      <c r="F465" s="109">
        <v>0</v>
      </c>
      <c r="G465" s="13">
        <v>0</v>
      </c>
      <c r="H465" s="13">
        <v>1</v>
      </c>
      <c r="I465" s="13">
        <v>0</v>
      </c>
      <c r="J465" s="13">
        <v>0</v>
      </c>
      <c r="K465" s="109">
        <v>0</v>
      </c>
      <c r="L465" s="109">
        <v>0</v>
      </c>
      <c r="M465" s="109">
        <v>2</v>
      </c>
      <c r="N465" s="109">
        <v>1</v>
      </c>
      <c r="O465" s="109">
        <v>1</v>
      </c>
      <c r="P465" s="109">
        <v>1</v>
      </c>
      <c r="Q465" s="109">
        <v>0</v>
      </c>
      <c r="R465" s="109">
        <v>1</v>
      </c>
      <c r="S465" s="13">
        <v>0</v>
      </c>
      <c r="T465" s="109">
        <v>0</v>
      </c>
      <c r="U465" s="109">
        <v>0</v>
      </c>
      <c r="V465" s="109">
        <v>0</v>
      </c>
      <c r="W465" s="13">
        <v>0</v>
      </c>
      <c r="X465" s="109">
        <v>1</v>
      </c>
      <c r="Y465" s="13">
        <v>0</v>
      </c>
      <c r="Z465" s="13">
        <v>0</v>
      </c>
      <c r="AA465" s="109">
        <v>0</v>
      </c>
      <c r="AB465" s="13">
        <v>0</v>
      </c>
      <c r="AC465" s="109">
        <v>1</v>
      </c>
      <c r="AD465" s="13">
        <v>0</v>
      </c>
      <c r="AE465" s="109">
        <v>0</v>
      </c>
      <c r="AF465" s="109">
        <v>0</v>
      </c>
      <c r="AG465" s="13"/>
      <c r="AH465" s="13"/>
    </row>
    <row r="466" spans="1:34" ht="12.75" customHeight="1">
      <c r="A466" s="10" t="s">
        <v>206</v>
      </c>
      <c r="B466" s="11">
        <f>AVERAGE(E466:AE466)</f>
        <v>0.37037037037037035</v>
      </c>
      <c r="C466" s="2">
        <f>MIN(E466:AE466)</f>
        <v>0</v>
      </c>
      <c r="D466" s="12">
        <f>MAX(E466:AE466)</f>
        <v>2</v>
      </c>
      <c r="E466" s="13">
        <v>0</v>
      </c>
      <c r="F466" s="109">
        <v>0</v>
      </c>
      <c r="G466" s="13">
        <v>0</v>
      </c>
      <c r="H466" s="13">
        <v>1</v>
      </c>
      <c r="I466" s="13">
        <v>0</v>
      </c>
      <c r="J466" s="13">
        <v>0</v>
      </c>
      <c r="K466" s="109">
        <v>0</v>
      </c>
      <c r="L466" s="109">
        <v>0</v>
      </c>
      <c r="M466" s="109">
        <v>2</v>
      </c>
      <c r="N466" s="109">
        <v>1</v>
      </c>
      <c r="O466" s="109">
        <v>1</v>
      </c>
      <c r="P466" s="109">
        <v>1</v>
      </c>
      <c r="Q466" s="109">
        <v>0</v>
      </c>
      <c r="R466" s="109">
        <v>1</v>
      </c>
      <c r="S466" s="13">
        <v>0</v>
      </c>
      <c r="T466" s="109">
        <v>0</v>
      </c>
      <c r="U466" s="109">
        <v>1</v>
      </c>
      <c r="V466" s="109">
        <v>0</v>
      </c>
      <c r="W466" s="13">
        <v>0</v>
      </c>
      <c r="X466" s="109">
        <v>1</v>
      </c>
      <c r="Y466" s="13">
        <v>0</v>
      </c>
      <c r="Z466" s="13">
        <v>0</v>
      </c>
      <c r="AA466" s="109">
        <v>0</v>
      </c>
      <c r="AB466" s="13">
        <v>0</v>
      </c>
      <c r="AC466" s="109">
        <v>1</v>
      </c>
      <c r="AD466" s="13">
        <v>0</v>
      </c>
      <c r="AE466" s="109">
        <v>0</v>
      </c>
      <c r="AF466" s="109">
        <v>0</v>
      </c>
      <c r="AG466" s="13"/>
      <c r="AH466" s="13"/>
    </row>
    <row r="467" spans="1:34" ht="12.75" customHeight="1">
      <c r="A467" s="10" t="s">
        <v>207</v>
      </c>
      <c r="B467" s="11">
        <f>AVERAGE(E467:AE467)</f>
        <v>0.37037037037037035</v>
      </c>
      <c r="C467" s="2">
        <f>MIN(E467:AE467)</f>
        <v>0</v>
      </c>
      <c r="D467" s="12">
        <f>MAX(E467:AE467)</f>
        <v>2</v>
      </c>
      <c r="E467" s="13">
        <v>0</v>
      </c>
      <c r="F467" s="109">
        <v>0</v>
      </c>
      <c r="G467" s="13">
        <v>0</v>
      </c>
      <c r="H467" s="13">
        <v>1</v>
      </c>
      <c r="I467" s="13">
        <v>0</v>
      </c>
      <c r="J467" s="13">
        <v>0</v>
      </c>
      <c r="K467" s="109">
        <v>0</v>
      </c>
      <c r="L467" s="109">
        <v>0</v>
      </c>
      <c r="M467" s="109">
        <v>2</v>
      </c>
      <c r="N467" s="109">
        <v>1</v>
      </c>
      <c r="O467" s="109">
        <v>1</v>
      </c>
      <c r="P467" s="109">
        <v>1</v>
      </c>
      <c r="Q467" s="109">
        <v>0</v>
      </c>
      <c r="R467" s="109">
        <v>1</v>
      </c>
      <c r="S467" s="13">
        <v>0</v>
      </c>
      <c r="T467" s="109">
        <v>0</v>
      </c>
      <c r="U467" s="109">
        <v>1</v>
      </c>
      <c r="V467" s="109">
        <v>0</v>
      </c>
      <c r="W467" s="13">
        <v>0</v>
      </c>
      <c r="X467" s="109">
        <v>1</v>
      </c>
      <c r="Y467" s="13">
        <v>0</v>
      </c>
      <c r="Z467" s="13">
        <v>0</v>
      </c>
      <c r="AA467" s="109">
        <v>0</v>
      </c>
      <c r="AB467" s="13">
        <v>0</v>
      </c>
      <c r="AC467" s="109">
        <v>1</v>
      </c>
      <c r="AD467" s="13">
        <v>0</v>
      </c>
      <c r="AE467" s="109">
        <v>0</v>
      </c>
      <c r="AF467" s="109">
        <v>0</v>
      </c>
      <c r="AG467" s="13"/>
      <c r="AH467" s="13"/>
    </row>
    <row r="468" spans="1:34" ht="12.75" customHeight="1">
      <c r="A468" s="10" t="s">
        <v>208</v>
      </c>
      <c r="B468" s="11">
        <f>AVERAGE(E468:AE468)</f>
        <v>0.37037037037037035</v>
      </c>
      <c r="C468" s="2">
        <f>MIN(E468:AE468)</f>
        <v>0</v>
      </c>
      <c r="D468" s="12">
        <f>MAX(E468:AE468)</f>
        <v>2</v>
      </c>
      <c r="E468" s="13">
        <v>0</v>
      </c>
      <c r="F468" s="109">
        <v>0</v>
      </c>
      <c r="G468" s="13">
        <v>0</v>
      </c>
      <c r="H468" s="13">
        <v>1</v>
      </c>
      <c r="I468" s="13">
        <v>0</v>
      </c>
      <c r="J468" s="13">
        <v>0</v>
      </c>
      <c r="K468" s="109">
        <v>0</v>
      </c>
      <c r="L468" s="109">
        <v>0</v>
      </c>
      <c r="M468" s="109">
        <v>2</v>
      </c>
      <c r="N468" s="109">
        <v>1</v>
      </c>
      <c r="O468" s="109">
        <v>1</v>
      </c>
      <c r="P468" s="109">
        <v>1</v>
      </c>
      <c r="Q468" s="109">
        <v>0</v>
      </c>
      <c r="R468" s="109">
        <v>1</v>
      </c>
      <c r="S468" s="13">
        <v>0</v>
      </c>
      <c r="T468" s="109">
        <v>0</v>
      </c>
      <c r="U468" s="109">
        <v>1</v>
      </c>
      <c r="V468" s="109">
        <v>0</v>
      </c>
      <c r="W468" s="13">
        <v>0</v>
      </c>
      <c r="X468" s="109">
        <v>1</v>
      </c>
      <c r="Y468" s="13">
        <v>0</v>
      </c>
      <c r="Z468" s="13">
        <v>0</v>
      </c>
      <c r="AA468" s="109">
        <v>0</v>
      </c>
      <c r="AB468" s="13">
        <v>0</v>
      </c>
      <c r="AC468" s="109">
        <v>1</v>
      </c>
      <c r="AD468" s="13">
        <v>0</v>
      </c>
      <c r="AE468" s="109">
        <v>0</v>
      </c>
      <c r="AF468" s="109">
        <v>0</v>
      </c>
      <c r="AG468" s="13"/>
      <c r="AH468" s="13"/>
    </row>
    <row r="469" spans="1:34" ht="12.75" customHeight="1">
      <c r="A469" s="10" t="s">
        <v>209</v>
      </c>
      <c r="B469" s="11">
        <f>AVERAGE(E469:AE469)</f>
        <v>0.40740740740740738</v>
      </c>
      <c r="C469" s="2">
        <f>MIN(E469:AE469)</f>
        <v>0</v>
      </c>
      <c r="D469" s="12">
        <f>MAX(E469:AE469)</f>
        <v>2</v>
      </c>
      <c r="E469" s="13">
        <v>0</v>
      </c>
      <c r="F469" s="109">
        <v>0</v>
      </c>
      <c r="G469" s="13">
        <v>0</v>
      </c>
      <c r="H469" s="13">
        <v>1</v>
      </c>
      <c r="I469" s="13">
        <v>0</v>
      </c>
      <c r="J469" s="13">
        <v>0</v>
      </c>
      <c r="K469" s="109">
        <v>0</v>
      </c>
      <c r="L469" s="109">
        <v>0</v>
      </c>
      <c r="M469" s="109">
        <v>2</v>
      </c>
      <c r="N469" s="109">
        <v>1</v>
      </c>
      <c r="O469" s="109">
        <v>1</v>
      </c>
      <c r="P469" s="109">
        <v>1</v>
      </c>
      <c r="Q469" s="109">
        <v>0</v>
      </c>
      <c r="R469" s="109">
        <v>1</v>
      </c>
      <c r="S469" s="13">
        <v>0</v>
      </c>
      <c r="T469" s="109">
        <v>1</v>
      </c>
      <c r="U469" s="109">
        <v>1</v>
      </c>
      <c r="V469" s="109">
        <v>0</v>
      </c>
      <c r="W469" s="13">
        <v>0</v>
      </c>
      <c r="X469" s="109">
        <v>1</v>
      </c>
      <c r="Y469" s="13">
        <v>0</v>
      </c>
      <c r="Z469" s="13">
        <v>0</v>
      </c>
      <c r="AA469" s="109">
        <v>0</v>
      </c>
      <c r="AB469" s="13">
        <v>0</v>
      </c>
      <c r="AC469" s="109">
        <v>1</v>
      </c>
      <c r="AD469" s="13">
        <v>0</v>
      </c>
      <c r="AE469" s="109">
        <v>0</v>
      </c>
      <c r="AF469" s="109">
        <v>0</v>
      </c>
      <c r="AG469" s="13"/>
      <c r="AH469" s="13"/>
    </row>
    <row r="470" spans="1:34" ht="12.75" customHeight="1">
      <c r="A470" s="10" t="s">
        <v>210</v>
      </c>
      <c r="B470" s="11">
        <f>AVERAGE(E470:AE470)</f>
        <v>0.44444444444444442</v>
      </c>
      <c r="C470" s="2">
        <f>MIN(E470:AE470)</f>
        <v>0</v>
      </c>
      <c r="D470" s="12">
        <f>MAX(E470:AE470)</f>
        <v>2</v>
      </c>
      <c r="E470" s="13">
        <v>0</v>
      </c>
      <c r="F470" s="109">
        <v>0</v>
      </c>
      <c r="G470" s="13">
        <v>0</v>
      </c>
      <c r="H470" s="13">
        <v>1</v>
      </c>
      <c r="I470" s="13">
        <v>0</v>
      </c>
      <c r="J470" s="13">
        <v>0</v>
      </c>
      <c r="K470" s="109">
        <v>0</v>
      </c>
      <c r="L470" s="109">
        <v>0</v>
      </c>
      <c r="M470" s="109">
        <v>2</v>
      </c>
      <c r="N470" s="109">
        <v>1</v>
      </c>
      <c r="O470" s="109">
        <v>1</v>
      </c>
      <c r="P470" s="109">
        <v>1</v>
      </c>
      <c r="Q470" s="109">
        <v>0</v>
      </c>
      <c r="R470" s="109">
        <v>1</v>
      </c>
      <c r="S470" s="13">
        <v>0</v>
      </c>
      <c r="T470" s="109">
        <v>1</v>
      </c>
      <c r="U470" s="109">
        <v>1</v>
      </c>
      <c r="V470" s="109">
        <v>0</v>
      </c>
      <c r="W470" s="13">
        <v>0</v>
      </c>
      <c r="X470" s="109">
        <v>2</v>
      </c>
      <c r="Y470" s="13">
        <v>0</v>
      </c>
      <c r="Z470" s="13">
        <v>0</v>
      </c>
      <c r="AA470" s="109">
        <v>0</v>
      </c>
      <c r="AB470" s="13">
        <v>0</v>
      </c>
      <c r="AC470" s="109">
        <v>1</v>
      </c>
      <c r="AD470" s="13">
        <v>0</v>
      </c>
      <c r="AE470" s="109">
        <v>0</v>
      </c>
      <c r="AF470" s="109">
        <v>0</v>
      </c>
      <c r="AG470" s="13"/>
      <c r="AH470" s="13"/>
    </row>
    <row r="471" spans="1:34" ht="12.75" customHeight="1">
      <c r="A471" s="10" t="s">
        <v>211</v>
      </c>
      <c r="B471" s="11">
        <f>AVERAGE(E471:AE471)</f>
        <v>0.48148148148148145</v>
      </c>
      <c r="C471" s="2">
        <f>MIN(E471:AE471)</f>
        <v>0</v>
      </c>
      <c r="D471" s="12">
        <f>MAX(E471:AE471)</f>
        <v>2</v>
      </c>
      <c r="E471" s="13">
        <v>0</v>
      </c>
      <c r="F471" s="109">
        <v>0</v>
      </c>
      <c r="G471" s="13">
        <v>0</v>
      </c>
      <c r="H471" s="13">
        <v>1</v>
      </c>
      <c r="I471" s="109">
        <v>0</v>
      </c>
      <c r="J471" s="13">
        <v>1</v>
      </c>
      <c r="K471" s="109">
        <v>0</v>
      </c>
      <c r="L471" s="109">
        <v>0</v>
      </c>
      <c r="M471" s="109">
        <v>2</v>
      </c>
      <c r="N471" s="109">
        <v>1</v>
      </c>
      <c r="O471" s="109">
        <v>1</v>
      </c>
      <c r="P471" s="109">
        <v>1</v>
      </c>
      <c r="Q471" s="109">
        <v>0</v>
      </c>
      <c r="R471" s="109">
        <v>1</v>
      </c>
      <c r="S471" s="13">
        <v>0</v>
      </c>
      <c r="T471" s="109">
        <v>1</v>
      </c>
      <c r="U471" s="109">
        <v>1</v>
      </c>
      <c r="V471" s="109">
        <v>0</v>
      </c>
      <c r="W471" s="13">
        <v>0</v>
      </c>
      <c r="X471" s="109">
        <v>2</v>
      </c>
      <c r="Y471" s="13">
        <v>0</v>
      </c>
      <c r="Z471" s="13">
        <v>0</v>
      </c>
      <c r="AA471" s="109">
        <v>0</v>
      </c>
      <c r="AB471" s="13">
        <v>0</v>
      </c>
      <c r="AC471" s="109">
        <v>1</v>
      </c>
      <c r="AD471" s="13">
        <v>0</v>
      </c>
      <c r="AE471" s="109">
        <v>0</v>
      </c>
      <c r="AF471" s="109">
        <v>0</v>
      </c>
      <c r="AG471" s="13"/>
      <c r="AH471" s="13"/>
    </row>
    <row r="472" spans="1:34" ht="12.75" customHeight="1">
      <c r="A472" s="10" t="s">
        <v>212</v>
      </c>
      <c r="B472" s="11">
        <f>AVERAGE(E472:AE472)</f>
        <v>0.48148148148148145</v>
      </c>
      <c r="C472" s="2">
        <f>MIN(E472:AE472)</f>
        <v>0</v>
      </c>
      <c r="D472" s="12">
        <f>MAX(E472:AE472)</f>
        <v>2</v>
      </c>
      <c r="E472" s="13">
        <v>0</v>
      </c>
      <c r="F472" s="109">
        <v>0</v>
      </c>
      <c r="G472" s="13">
        <v>0</v>
      </c>
      <c r="H472" s="13">
        <v>1</v>
      </c>
      <c r="I472" s="109">
        <v>0</v>
      </c>
      <c r="J472" s="13">
        <v>1</v>
      </c>
      <c r="K472" s="109">
        <v>0</v>
      </c>
      <c r="L472" s="109">
        <v>0</v>
      </c>
      <c r="M472" s="109">
        <v>2</v>
      </c>
      <c r="N472" s="109">
        <v>1</v>
      </c>
      <c r="O472" s="109">
        <v>1</v>
      </c>
      <c r="P472" s="109">
        <v>1</v>
      </c>
      <c r="Q472" s="109">
        <v>0</v>
      </c>
      <c r="R472" s="109">
        <v>1</v>
      </c>
      <c r="S472" s="13">
        <v>0</v>
      </c>
      <c r="T472" s="109">
        <v>1</v>
      </c>
      <c r="U472" s="109">
        <v>1</v>
      </c>
      <c r="V472" s="109">
        <v>0</v>
      </c>
      <c r="W472" s="13">
        <v>0</v>
      </c>
      <c r="X472" s="109">
        <v>2</v>
      </c>
      <c r="Y472" s="13">
        <v>0</v>
      </c>
      <c r="Z472" s="13">
        <v>0</v>
      </c>
      <c r="AA472" s="109">
        <v>0</v>
      </c>
      <c r="AB472" s="13">
        <v>0</v>
      </c>
      <c r="AC472" s="109">
        <v>1</v>
      </c>
      <c r="AD472" s="13">
        <v>0</v>
      </c>
      <c r="AE472" s="109">
        <v>0</v>
      </c>
      <c r="AF472" s="109">
        <v>0</v>
      </c>
      <c r="AG472" s="13"/>
      <c r="AH472" s="13"/>
    </row>
    <row r="473" spans="1:34" ht="12.75" customHeight="1">
      <c r="A473" s="10" t="s">
        <v>213</v>
      </c>
      <c r="B473" s="11">
        <f>AVERAGE(E473:AE473)</f>
        <v>0.48148148148148145</v>
      </c>
      <c r="C473" s="2">
        <f>MIN(E473:AE473)</f>
        <v>0</v>
      </c>
      <c r="D473" s="12">
        <f>MAX(E473:AE473)</f>
        <v>2</v>
      </c>
      <c r="E473" s="13">
        <v>0</v>
      </c>
      <c r="F473" s="109">
        <v>0</v>
      </c>
      <c r="G473" s="13">
        <v>0</v>
      </c>
      <c r="H473" s="13">
        <v>1</v>
      </c>
      <c r="I473" s="109">
        <v>0</v>
      </c>
      <c r="J473" s="13">
        <v>1</v>
      </c>
      <c r="K473" s="109">
        <v>0</v>
      </c>
      <c r="L473" s="109">
        <v>0</v>
      </c>
      <c r="M473" s="109">
        <v>2</v>
      </c>
      <c r="N473" s="109">
        <v>1</v>
      </c>
      <c r="O473" s="109">
        <v>1</v>
      </c>
      <c r="P473" s="109">
        <v>1</v>
      </c>
      <c r="Q473" s="109">
        <v>0</v>
      </c>
      <c r="R473" s="109">
        <v>1</v>
      </c>
      <c r="S473" s="13">
        <v>0</v>
      </c>
      <c r="T473" s="109">
        <v>1</v>
      </c>
      <c r="U473" s="109">
        <v>1</v>
      </c>
      <c r="V473" s="109">
        <v>0</v>
      </c>
      <c r="W473" s="13">
        <v>0</v>
      </c>
      <c r="X473" s="109">
        <v>2</v>
      </c>
      <c r="Y473" s="13">
        <v>0</v>
      </c>
      <c r="Z473" s="13">
        <v>0</v>
      </c>
      <c r="AA473" s="109">
        <v>0</v>
      </c>
      <c r="AB473" s="13">
        <v>0</v>
      </c>
      <c r="AC473" s="109">
        <v>1</v>
      </c>
      <c r="AD473" s="13">
        <v>0</v>
      </c>
      <c r="AE473" s="109">
        <v>0</v>
      </c>
      <c r="AF473" s="109">
        <v>0</v>
      </c>
      <c r="AG473" s="13"/>
      <c r="AH473" s="13"/>
    </row>
    <row r="474" spans="1:34" ht="12.75" customHeight="1">
      <c r="A474" s="10" t="s">
        <v>214</v>
      </c>
      <c r="B474" s="11">
        <f>AVERAGE(E474:AE474)</f>
        <v>0.48148148148148145</v>
      </c>
      <c r="C474" s="2">
        <f>MIN(E474:AE474)</f>
        <v>0</v>
      </c>
      <c r="D474" s="12">
        <f>MAX(E474:AE474)</f>
        <v>2</v>
      </c>
      <c r="E474" s="13">
        <v>0</v>
      </c>
      <c r="F474" s="109">
        <v>0</v>
      </c>
      <c r="G474" s="13">
        <v>0</v>
      </c>
      <c r="H474" s="13">
        <v>1</v>
      </c>
      <c r="I474" s="109">
        <v>0</v>
      </c>
      <c r="J474" s="13">
        <v>1</v>
      </c>
      <c r="K474" s="109">
        <v>0</v>
      </c>
      <c r="L474" s="109">
        <v>0</v>
      </c>
      <c r="M474" s="109">
        <v>2</v>
      </c>
      <c r="N474" s="109">
        <v>1</v>
      </c>
      <c r="O474" s="109">
        <v>1</v>
      </c>
      <c r="P474" s="109">
        <v>1</v>
      </c>
      <c r="Q474" s="109">
        <v>0</v>
      </c>
      <c r="R474" s="109">
        <v>1</v>
      </c>
      <c r="S474" s="13">
        <v>0</v>
      </c>
      <c r="T474" s="109">
        <v>1</v>
      </c>
      <c r="U474" s="109">
        <v>1</v>
      </c>
      <c r="V474" s="109">
        <v>0</v>
      </c>
      <c r="W474" s="13">
        <v>0</v>
      </c>
      <c r="X474" s="109">
        <v>2</v>
      </c>
      <c r="Y474" s="13">
        <v>0</v>
      </c>
      <c r="Z474" s="13">
        <v>0</v>
      </c>
      <c r="AA474" s="109">
        <v>0</v>
      </c>
      <c r="AB474" s="13">
        <v>0</v>
      </c>
      <c r="AC474" s="109">
        <v>1</v>
      </c>
      <c r="AD474" s="13">
        <v>0</v>
      </c>
      <c r="AE474" s="109">
        <v>0</v>
      </c>
      <c r="AF474" s="109">
        <v>0</v>
      </c>
      <c r="AG474" s="13"/>
      <c r="AH474" s="13"/>
    </row>
    <row r="475" spans="1:34" ht="12.75" customHeight="1">
      <c r="A475" s="10" t="s">
        <v>215</v>
      </c>
      <c r="B475" s="11">
        <f>AVERAGE(E475:AE475)</f>
        <v>0.48148148148148145</v>
      </c>
      <c r="C475" s="2">
        <f>MIN(E475:AE475)</f>
        <v>0</v>
      </c>
      <c r="D475" s="12">
        <f>MAX(E475:AE475)</f>
        <v>2</v>
      </c>
      <c r="E475" s="13">
        <v>0</v>
      </c>
      <c r="F475" s="109">
        <v>0</v>
      </c>
      <c r="G475" s="13">
        <v>0</v>
      </c>
      <c r="H475" s="13">
        <v>1</v>
      </c>
      <c r="I475" s="109">
        <v>0</v>
      </c>
      <c r="J475" s="13">
        <v>1</v>
      </c>
      <c r="K475" s="109">
        <v>0</v>
      </c>
      <c r="L475" s="109">
        <v>0</v>
      </c>
      <c r="M475" s="109">
        <v>2</v>
      </c>
      <c r="N475" s="109">
        <v>1</v>
      </c>
      <c r="O475" s="109">
        <v>1</v>
      </c>
      <c r="P475" s="109">
        <v>1</v>
      </c>
      <c r="Q475" s="109">
        <v>0</v>
      </c>
      <c r="R475" s="109">
        <v>1</v>
      </c>
      <c r="S475" s="13">
        <v>0</v>
      </c>
      <c r="T475" s="109">
        <v>1</v>
      </c>
      <c r="U475" s="109">
        <v>1</v>
      </c>
      <c r="V475" s="109">
        <v>0</v>
      </c>
      <c r="W475" s="13">
        <v>0</v>
      </c>
      <c r="X475" s="109">
        <v>2</v>
      </c>
      <c r="Y475" s="13">
        <v>0</v>
      </c>
      <c r="Z475" s="13">
        <v>0</v>
      </c>
      <c r="AA475" s="109">
        <v>0</v>
      </c>
      <c r="AB475" s="13">
        <v>0</v>
      </c>
      <c r="AC475" s="109">
        <v>1</v>
      </c>
      <c r="AD475" s="13">
        <v>0</v>
      </c>
      <c r="AE475" s="109">
        <v>0</v>
      </c>
      <c r="AF475" s="109">
        <v>0</v>
      </c>
      <c r="AG475" s="13"/>
      <c r="AH475" s="13"/>
    </row>
    <row r="476" spans="1:34" ht="12.75" customHeight="1">
      <c r="A476" s="10" t="s">
        <v>216</v>
      </c>
      <c r="B476" s="11">
        <f>AVERAGE(E476:AE476)</f>
        <v>0.48148148148148145</v>
      </c>
      <c r="C476" s="2">
        <f>MIN(E476:AE476)</f>
        <v>0</v>
      </c>
      <c r="D476" s="12">
        <f>MAX(E476:AE476)</f>
        <v>2</v>
      </c>
      <c r="E476" s="13">
        <v>0</v>
      </c>
      <c r="F476" s="109">
        <v>0</v>
      </c>
      <c r="G476" s="13">
        <v>0</v>
      </c>
      <c r="H476" s="13">
        <v>1</v>
      </c>
      <c r="I476" s="109">
        <v>0</v>
      </c>
      <c r="J476" s="13">
        <v>1</v>
      </c>
      <c r="K476" s="109">
        <v>0</v>
      </c>
      <c r="L476" s="109">
        <v>0</v>
      </c>
      <c r="M476" s="109">
        <v>2</v>
      </c>
      <c r="N476" s="109">
        <v>1</v>
      </c>
      <c r="O476" s="109">
        <v>1</v>
      </c>
      <c r="P476" s="109">
        <v>1</v>
      </c>
      <c r="Q476" s="109">
        <v>0</v>
      </c>
      <c r="R476" s="109">
        <v>1</v>
      </c>
      <c r="S476" s="13">
        <v>0</v>
      </c>
      <c r="T476" s="109">
        <v>1</v>
      </c>
      <c r="U476" s="109">
        <v>1</v>
      </c>
      <c r="V476" s="109">
        <v>0</v>
      </c>
      <c r="W476" s="13">
        <v>0</v>
      </c>
      <c r="X476" s="109">
        <v>2</v>
      </c>
      <c r="Y476" s="13">
        <v>0</v>
      </c>
      <c r="Z476" s="13">
        <v>0</v>
      </c>
      <c r="AA476" s="109">
        <v>0</v>
      </c>
      <c r="AB476" s="13">
        <v>0</v>
      </c>
      <c r="AC476" s="109">
        <v>1</v>
      </c>
      <c r="AD476" s="13">
        <v>0</v>
      </c>
      <c r="AE476" s="109">
        <v>0</v>
      </c>
      <c r="AF476" s="109">
        <v>0</v>
      </c>
      <c r="AG476" s="13"/>
      <c r="AH476" s="13"/>
    </row>
    <row r="477" spans="1:34" ht="12.75" customHeight="1">
      <c r="A477" s="10" t="s">
        <v>217</v>
      </c>
      <c r="B477" s="11">
        <f>AVERAGE(E477:AE477)</f>
        <v>0.51851851851851849</v>
      </c>
      <c r="C477" s="2">
        <f>MIN(E477:AE477)</f>
        <v>0</v>
      </c>
      <c r="D477" s="12">
        <f>MAX(E477:AE477)</f>
        <v>2</v>
      </c>
      <c r="E477" s="13">
        <v>0</v>
      </c>
      <c r="F477" s="109">
        <v>0</v>
      </c>
      <c r="G477" s="13">
        <v>0</v>
      </c>
      <c r="H477" s="13">
        <v>1</v>
      </c>
      <c r="I477" s="109">
        <v>0</v>
      </c>
      <c r="J477" s="13">
        <v>1</v>
      </c>
      <c r="K477" s="109">
        <v>0</v>
      </c>
      <c r="L477" s="109">
        <v>0</v>
      </c>
      <c r="M477" s="109">
        <v>2</v>
      </c>
      <c r="N477" s="109">
        <v>2</v>
      </c>
      <c r="O477" s="109">
        <v>1</v>
      </c>
      <c r="P477" s="109">
        <v>1</v>
      </c>
      <c r="Q477" s="109">
        <v>0</v>
      </c>
      <c r="R477" s="109">
        <v>1</v>
      </c>
      <c r="S477" s="13">
        <v>0</v>
      </c>
      <c r="T477" s="109">
        <v>1</v>
      </c>
      <c r="U477" s="109">
        <v>1</v>
      </c>
      <c r="V477" s="109">
        <v>0</v>
      </c>
      <c r="W477" s="13">
        <v>0</v>
      </c>
      <c r="X477" s="109">
        <v>2</v>
      </c>
      <c r="Y477" s="13">
        <v>0</v>
      </c>
      <c r="Z477" s="13">
        <v>0</v>
      </c>
      <c r="AA477" s="109">
        <v>0</v>
      </c>
      <c r="AB477" s="13">
        <v>0</v>
      </c>
      <c r="AC477" s="109">
        <v>1</v>
      </c>
      <c r="AD477" s="13">
        <v>0</v>
      </c>
      <c r="AE477" s="109">
        <v>0</v>
      </c>
      <c r="AF477" s="109">
        <v>0</v>
      </c>
      <c r="AG477" s="13"/>
      <c r="AH477" s="13"/>
    </row>
    <row r="478" spans="1:34" ht="12.75" customHeight="1">
      <c r="A478" s="10" t="s">
        <v>218</v>
      </c>
      <c r="B478" s="11">
        <f>AVERAGE(E478:AE478)</f>
        <v>0.51851851851851849</v>
      </c>
      <c r="C478" s="2">
        <f>MIN(E478:AE478)</f>
        <v>0</v>
      </c>
      <c r="D478" s="12">
        <f>MAX(E478:AE478)</f>
        <v>2</v>
      </c>
      <c r="E478" s="13">
        <v>0</v>
      </c>
      <c r="F478" s="109">
        <v>0</v>
      </c>
      <c r="G478" s="13">
        <v>0</v>
      </c>
      <c r="H478" s="13">
        <v>1</v>
      </c>
      <c r="I478" s="109">
        <v>0</v>
      </c>
      <c r="J478" s="13">
        <v>1</v>
      </c>
      <c r="K478" s="109">
        <v>0</v>
      </c>
      <c r="L478" s="109">
        <v>0</v>
      </c>
      <c r="M478" s="109">
        <v>2</v>
      </c>
      <c r="N478" s="110">
        <v>2</v>
      </c>
      <c r="O478" s="109">
        <v>1</v>
      </c>
      <c r="P478" s="109">
        <v>1</v>
      </c>
      <c r="Q478" s="109">
        <v>0</v>
      </c>
      <c r="R478" s="109">
        <v>1</v>
      </c>
      <c r="S478" s="13">
        <v>0</v>
      </c>
      <c r="T478" s="109">
        <v>1</v>
      </c>
      <c r="U478" s="109">
        <v>1</v>
      </c>
      <c r="V478" s="109">
        <v>0</v>
      </c>
      <c r="W478" s="13">
        <v>0</v>
      </c>
      <c r="X478" s="109">
        <v>2</v>
      </c>
      <c r="Y478" s="13">
        <v>0</v>
      </c>
      <c r="Z478" s="13">
        <v>0</v>
      </c>
      <c r="AA478" s="109">
        <v>0</v>
      </c>
      <c r="AB478" s="13">
        <v>0</v>
      </c>
      <c r="AC478" s="109">
        <v>1</v>
      </c>
      <c r="AD478" s="13">
        <v>0</v>
      </c>
      <c r="AE478" s="109">
        <v>0</v>
      </c>
      <c r="AF478" s="109">
        <v>0</v>
      </c>
      <c r="AG478" s="13"/>
      <c r="AH478" s="13"/>
    </row>
    <row r="479" spans="1:34" ht="12.75" customHeight="1">
      <c r="A479" s="10" t="s">
        <v>219</v>
      </c>
      <c r="B479" s="11">
        <f>AVERAGE(E479:AE479)</f>
        <v>0.51851851851851849</v>
      </c>
      <c r="C479" s="2">
        <f>MIN(E479:AE479)</f>
        <v>0</v>
      </c>
      <c r="D479" s="12">
        <f>MAX(E479:AE479)</f>
        <v>2</v>
      </c>
      <c r="E479" s="13">
        <v>0</v>
      </c>
      <c r="F479" s="109">
        <v>0</v>
      </c>
      <c r="G479" s="13">
        <v>0</v>
      </c>
      <c r="H479" s="109">
        <v>1</v>
      </c>
      <c r="I479" s="109">
        <v>0</v>
      </c>
      <c r="J479" s="13">
        <v>1</v>
      </c>
      <c r="K479" s="109">
        <v>0</v>
      </c>
      <c r="L479" s="109">
        <v>0</v>
      </c>
      <c r="M479" s="109">
        <v>2</v>
      </c>
      <c r="N479" s="109">
        <v>2</v>
      </c>
      <c r="O479" s="109">
        <v>1</v>
      </c>
      <c r="P479" s="109">
        <v>1</v>
      </c>
      <c r="Q479" s="109">
        <v>0</v>
      </c>
      <c r="R479" s="109">
        <v>1</v>
      </c>
      <c r="S479" s="13">
        <v>0</v>
      </c>
      <c r="T479" s="109">
        <v>1</v>
      </c>
      <c r="U479" s="109">
        <v>1</v>
      </c>
      <c r="V479" s="109">
        <v>0</v>
      </c>
      <c r="W479" s="13">
        <v>0</v>
      </c>
      <c r="X479" s="109">
        <v>2</v>
      </c>
      <c r="Y479" s="13">
        <v>0</v>
      </c>
      <c r="Z479" s="13">
        <v>0</v>
      </c>
      <c r="AA479" s="109">
        <v>0</v>
      </c>
      <c r="AB479" s="13">
        <v>0</v>
      </c>
      <c r="AC479" s="109">
        <v>1</v>
      </c>
      <c r="AD479" s="13">
        <v>0</v>
      </c>
      <c r="AE479" s="109">
        <v>0</v>
      </c>
      <c r="AF479" s="109">
        <v>0</v>
      </c>
      <c r="AG479" s="13"/>
      <c r="AH479" s="13"/>
    </row>
    <row r="480" spans="1:34" ht="12.75" customHeight="1">
      <c r="A480" s="10" t="s">
        <v>220</v>
      </c>
      <c r="B480" s="11">
        <f>AVERAGE(E480:AE480)</f>
        <v>0.55555555555555558</v>
      </c>
      <c r="C480" s="2">
        <f>MIN(E480:AE480)</f>
        <v>0</v>
      </c>
      <c r="D480" s="12">
        <f>MAX(E480:AE480)</f>
        <v>2</v>
      </c>
      <c r="E480" s="13">
        <v>0</v>
      </c>
      <c r="F480" s="109">
        <v>0</v>
      </c>
      <c r="G480" s="13">
        <v>0</v>
      </c>
      <c r="H480" s="109">
        <v>1</v>
      </c>
      <c r="I480" s="109">
        <v>0</v>
      </c>
      <c r="J480" s="13">
        <v>1</v>
      </c>
      <c r="K480" s="109">
        <v>0</v>
      </c>
      <c r="L480" s="109">
        <v>0</v>
      </c>
      <c r="M480" s="109">
        <v>2</v>
      </c>
      <c r="N480" s="109">
        <v>2</v>
      </c>
      <c r="O480" s="109">
        <v>1</v>
      </c>
      <c r="P480" s="109">
        <v>1</v>
      </c>
      <c r="Q480" s="109">
        <v>0</v>
      </c>
      <c r="R480" s="109">
        <v>1</v>
      </c>
      <c r="S480" s="13">
        <v>0</v>
      </c>
      <c r="T480" s="109">
        <v>2</v>
      </c>
      <c r="U480" s="109">
        <v>1</v>
      </c>
      <c r="V480" s="109">
        <v>0</v>
      </c>
      <c r="W480" s="13">
        <v>0</v>
      </c>
      <c r="X480" s="109">
        <v>2</v>
      </c>
      <c r="Y480" s="13">
        <v>0</v>
      </c>
      <c r="Z480" s="13">
        <v>0</v>
      </c>
      <c r="AA480" s="109">
        <v>0</v>
      </c>
      <c r="AB480" s="13">
        <v>0</v>
      </c>
      <c r="AC480" s="109">
        <v>1</v>
      </c>
      <c r="AD480" s="13">
        <v>0</v>
      </c>
      <c r="AE480" s="109">
        <v>0</v>
      </c>
      <c r="AF480" s="109">
        <v>0</v>
      </c>
      <c r="AG480" s="13"/>
      <c r="AH480" s="13"/>
    </row>
    <row r="481" spans="1:34" ht="12.75" customHeight="1">
      <c r="A481" s="10" t="s">
        <v>221</v>
      </c>
      <c r="B481" s="11">
        <f>AVERAGE(E481:AE481)</f>
        <v>0.55555555555555558</v>
      </c>
      <c r="C481" s="2">
        <f>MIN(E481:AE481)</f>
        <v>0</v>
      </c>
      <c r="D481" s="12">
        <f>MAX(E481:AE481)</f>
        <v>2</v>
      </c>
      <c r="E481" s="13">
        <v>0</v>
      </c>
      <c r="F481" s="109">
        <v>0</v>
      </c>
      <c r="G481" s="13">
        <v>0</v>
      </c>
      <c r="H481" s="109">
        <v>1</v>
      </c>
      <c r="I481" s="109">
        <v>0</v>
      </c>
      <c r="J481" s="13">
        <v>1</v>
      </c>
      <c r="K481" s="109">
        <v>0</v>
      </c>
      <c r="L481" s="109">
        <v>0</v>
      </c>
      <c r="M481" s="109">
        <v>2</v>
      </c>
      <c r="N481" s="109">
        <v>2</v>
      </c>
      <c r="O481" s="109">
        <v>1</v>
      </c>
      <c r="P481" s="109">
        <v>1</v>
      </c>
      <c r="Q481" s="109">
        <v>0</v>
      </c>
      <c r="R481" s="109">
        <v>1</v>
      </c>
      <c r="S481" s="13">
        <v>0</v>
      </c>
      <c r="T481" s="109">
        <v>2</v>
      </c>
      <c r="U481" s="109">
        <v>1</v>
      </c>
      <c r="V481" s="109">
        <v>0</v>
      </c>
      <c r="W481" s="13">
        <v>0</v>
      </c>
      <c r="X481" s="109">
        <v>2</v>
      </c>
      <c r="Y481" s="13">
        <v>0</v>
      </c>
      <c r="Z481" s="13">
        <v>0</v>
      </c>
      <c r="AA481" s="109">
        <v>0</v>
      </c>
      <c r="AB481" s="109">
        <v>0</v>
      </c>
      <c r="AC481" s="109">
        <v>1</v>
      </c>
      <c r="AD481" s="13">
        <v>0</v>
      </c>
      <c r="AE481" s="109">
        <v>0</v>
      </c>
      <c r="AF481" s="109">
        <v>0</v>
      </c>
      <c r="AG481" s="13"/>
      <c r="AH481" s="13"/>
    </row>
    <row r="482" spans="1:34" ht="12.75" customHeight="1">
      <c r="A482" s="10" t="s">
        <v>222</v>
      </c>
      <c r="B482" s="11">
        <f>AVERAGE(E482:AE482)</f>
        <v>0.55555555555555558</v>
      </c>
      <c r="C482" s="2">
        <f>MIN(E482:AE482)</f>
        <v>0</v>
      </c>
      <c r="D482" s="12">
        <f>MAX(E482:AE482)</f>
        <v>2</v>
      </c>
      <c r="E482" s="13">
        <v>0</v>
      </c>
      <c r="F482" s="109">
        <v>0</v>
      </c>
      <c r="G482" s="13">
        <v>0</v>
      </c>
      <c r="H482" s="109">
        <v>1</v>
      </c>
      <c r="I482" s="109">
        <v>0</v>
      </c>
      <c r="J482" s="13">
        <v>1</v>
      </c>
      <c r="K482" s="109">
        <v>0</v>
      </c>
      <c r="L482" s="109">
        <v>0</v>
      </c>
      <c r="M482" s="109">
        <v>2</v>
      </c>
      <c r="N482" s="109">
        <v>2</v>
      </c>
      <c r="O482" s="109">
        <v>1</v>
      </c>
      <c r="P482" s="109">
        <v>1</v>
      </c>
      <c r="Q482" s="109">
        <v>0</v>
      </c>
      <c r="R482" s="109">
        <v>1</v>
      </c>
      <c r="S482" s="13">
        <v>0</v>
      </c>
      <c r="T482" s="109">
        <v>2</v>
      </c>
      <c r="U482" s="109">
        <v>1</v>
      </c>
      <c r="V482" s="109">
        <v>0</v>
      </c>
      <c r="W482" s="13">
        <v>0</v>
      </c>
      <c r="X482" s="109">
        <v>2</v>
      </c>
      <c r="Y482" s="13">
        <v>0</v>
      </c>
      <c r="Z482" s="13">
        <v>0</v>
      </c>
      <c r="AA482" s="109">
        <v>0</v>
      </c>
      <c r="AB482" s="109">
        <v>0</v>
      </c>
      <c r="AC482" s="109">
        <v>1</v>
      </c>
      <c r="AD482" s="13">
        <v>0</v>
      </c>
      <c r="AE482" s="109">
        <v>0</v>
      </c>
      <c r="AF482" s="109">
        <v>0</v>
      </c>
      <c r="AG482" s="13"/>
      <c r="AH482" s="13"/>
    </row>
    <row r="483" spans="1:34" ht="12.75" customHeight="1">
      <c r="A483" s="10" t="s">
        <v>223</v>
      </c>
      <c r="B483" s="11">
        <f>AVERAGE(E483:AE483)</f>
        <v>0.55555555555555558</v>
      </c>
      <c r="C483" s="2">
        <f>MIN(E483:AE483)</f>
        <v>0</v>
      </c>
      <c r="D483" s="12">
        <f>MAX(E483:AE483)</f>
        <v>2</v>
      </c>
      <c r="E483" s="13">
        <v>0</v>
      </c>
      <c r="F483" s="109">
        <v>0</v>
      </c>
      <c r="G483" s="13">
        <v>0</v>
      </c>
      <c r="H483" s="109">
        <v>1</v>
      </c>
      <c r="I483" s="109">
        <v>0</v>
      </c>
      <c r="J483" s="13">
        <v>1</v>
      </c>
      <c r="K483" s="109">
        <v>0</v>
      </c>
      <c r="L483" s="109">
        <v>0</v>
      </c>
      <c r="M483" s="109">
        <v>2</v>
      </c>
      <c r="N483" s="109">
        <v>2</v>
      </c>
      <c r="O483" s="109">
        <v>1</v>
      </c>
      <c r="P483" s="109">
        <v>1</v>
      </c>
      <c r="Q483" s="109">
        <v>0</v>
      </c>
      <c r="R483" s="109">
        <v>1</v>
      </c>
      <c r="S483" s="13">
        <v>0</v>
      </c>
      <c r="T483" s="109">
        <v>2</v>
      </c>
      <c r="U483" s="109">
        <v>1</v>
      </c>
      <c r="V483" s="109">
        <v>0</v>
      </c>
      <c r="W483" s="13">
        <v>0</v>
      </c>
      <c r="X483" s="109">
        <v>2</v>
      </c>
      <c r="Y483" s="13">
        <v>0</v>
      </c>
      <c r="Z483" s="13">
        <v>0</v>
      </c>
      <c r="AA483" s="109">
        <v>0</v>
      </c>
      <c r="AB483" s="109">
        <v>0</v>
      </c>
      <c r="AC483" s="109">
        <v>1</v>
      </c>
      <c r="AD483" s="13">
        <v>0</v>
      </c>
      <c r="AE483" s="109">
        <v>0</v>
      </c>
      <c r="AF483" s="109">
        <v>0</v>
      </c>
      <c r="AG483" s="13"/>
      <c r="AH483" s="13"/>
    </row>
    <row r="484" spans="1:34" ht="12.75" customHeight="1">
      <c r="A484" s="10" t="s">
        <v>224</v>
      </c>
      <c r="B484" s="11">
        <f>AVERAGE(E484:AE484)</f>
        <v>0.55555555555555558</v>
      </c>
      <c r="C484" s="2">
        <f>MIN(E484:AE484)</f>
        <v>0</v>
      </c>
      <c r="D484" s="12">
        <f>MAX(E484:AE484)</f>
        <v>2</v>
      </c>
      <c r="E484" s="13">
        <v>0</v>
      </c>
      <c r="F484" s="109">
        <v>0</v>
      </c>
      <c r="G484" s="13">
        <v>0</v>
      </c>
      <c r="H484" s="109">
        <v>1</v>
      </c>
      <c r="I484" s="109">
        <v>0</v>
      </c>
      <c r="J484" s="13">
        <v>1</v>
      </c>
      <c r="K484" s="109">
        <v>0</v>
      </c>
      <c r="L484" s="109">
        <v>0</v>
      </c>
      <c r="M484" s="109">
        <v>2</v>
      </c>
      <c r="N484" s="109">
        <v>2</v>
      </c>
      <c r="O484" s="109">
        <v>1</v>
      </c>
      <c r="P484" s="109">
        <v>1</v>
      </c>
      <c r="Q484" s="109">
        <v>0</v>
      </c>
      <c r="R484" s="109">
        <v>1</v>
      </c>
      <c r="S484" s="13">
        <v>0</v>
      </c>
      <c r="T484" s="109">
        <v>2</v>
      </c>
      <c r="U484" s="109">
        <v>1</v>
      </c>
      <c r="V484" s="109">
        <v>0</v>
      </c>
      <c r="W484" s="13">
        <v>0</v>
      </c>
      <c r="X484" s="109">
        <v>2</v>
      </c>
      <c r="Y484" s="13">
        <v>0</v>
      </c>
      <c r="Z484" s="13">
        <v>0</v>
      </c>
      <c r="AA484" s="109">
        <v>0</v>
      </c>
      <c r="AB484" s="109">
        <v>0</v>
      </c>
      <c r="AC484" s="109">
        <v>1</v>
      </c>
      <c r="AD484" s="13">
        <v>0</v>
      </c>
      <c r="AE484" s="109">
        <v>0</v>
      </c>
      <c r="AF484" s="109">
        <v>0</v>
      </c>
      <c r="AG484" s="13"/>
      <c r="AH484" s="13"/>
    </row>
    <row r="485" spans="1:34" ht="12.75" customHeight="1">
      <c r="A485" s="10" t="s">
        <v>225</v>
      </c>
      <c r="B485" s="11">
        <f>AVERAGE(E485:AE485)</f>
        <v>0.55555555555555558</v>
      </c>
      <c r="C485" s="2">
        <f>MIN(E485:AE485)</f>
        <v>0</v>
      </c>
      <c r="D485" s="12">
        <f>MAX(E485:AE485)</f>
        <v>2</v>
      </c>
      <c r="E485" s="13">
        <v>0</v>
      </c>
      <c r="F485" s="109">
        <v>0</v>
      </c>
      <c r="G485" s="13">
        <v>0</v>
      </c>
      <c r="H485" s="109">
        <v>1</v>
      </c>
      <c r="I485" s="109">
        <v>0</v>
      </c>
      <c r="J485" s="13">
        <v>1</v>
      </c>
      <c r="K485" s="109">
        <v>0</v>
      </c>
      <c r="L485" s="109">
        <v>0</v>
      </c>
      <c r="M485" s="109">
        <v>2</v>
      </c>
      <c r="N485" s="109">
        <v>2</v>
      </c>
      <c r="O485" s="109">
        <v>1</v>
      </c>
      <c r="P485" s="109">
        <v>1</v>
      </c>
      <c r="Q485" s="109">
        <v>0</v>
      </c>
      <c r="R485" s="109">
        <v>1</v>
      </c>
      <c r="S485" s="13">
        <v>0</v>
      </c>
      <c r="T485" s="109">
        <v>2</v>
      </c>
      <c r="U485" s="109">
        <v>1</v>
      </c>
      <c r="V485" s="109">
        <v>0</v>
      </c>
      <c r="W485" s="13">
        <v>0</v>
      </c>
      <c r="X485" s="109">
        <v>2</v>
      </c>
      <c r="Y485" s="13">
        <v>0</v>
      </c>
      <c r="Z485" s="13">
        <v>0</v>
      </c>
      <c r="AA485" s="109">
        <v>0</v>
      </c>
      <c r="AB485" s="109">
        <v>0</v>
      </c>
      <c r="AC485" s="109">
        <v>1</v>
      </c>
      <c r="AD485" s="13">
        <v>0</v>
      </c>
      <c r="AE485" s="109">
        <v>0</v>
      </c>
      <c r="AF485" s="109">
        <v>0</v>
      </c>
      <c r="AG485" s="13"/>
      <c r="AH485" s="13"/>
    </row>
    <row r="486" spans="1:34" ht="12.75" customHeight="1">
      <c r="A486" s="10" t="s">
        <v>226</v>
      </c>
      <c r="B486" s="11">
        <f>AVERAGE(E486:AE486)</f>
        <v>0.55555555555555558</v>
      </c>
      <c r="C486" s="2">
        <f>MIN(E486:AE486)</f>
        <v>0</v>
      </c>
      <c r="D486" s="12">
        <f>MAX(E486:AE486)</f>
        <v>2</v>
      </c>
      <c r="E486" s="13">
        <v>0</v>
      </c>
      <c r="F486" s="13">
        <v>0</v>
      </c>
      <c r="G486" s="13">
        <v>0</v>
      </c>
      <c r="H486" s="109">
        <v>1</v>
      </c>
      <c r="I486" s="109">
        <v>0</v>
      </c>
      <c r="J486" s="13">
        <v>1</v>
      </c>
      <c r="K486" s="109">
        <v>0</v>
      </c>
      <c r="L486" s="109">
        <v>0</v>
      </c>
      <c r="M486" s="109">
        <v>2</v>
      </c>
      <c r="N486" s="109">
        <v>2</v>
      </c>
      <c r="O486" s="109">
        <v>1</v>
      </c>
      <c r="P486" s="109">
        <v>1</v>
      </c>
      <c r="Q486" s="109">
        <v>0</v>
      </c>
      <c r="R486" s="109">
        <v>1</v>
      </c>
      <c r="S486" s="13">
        <v>0</v>
      </c>
      <c r="T486" s="109">
        <v>2</v>
      </c>
      <c r="U486" s="109">
        <v>1</v>
      </c>
      <c r="V486" s="109">
        <v>0</v>
      </c>
      <c r="W486" s="13">
        <v>0</v>
      </c>
      <c r="X486" s="109">
        <v>2</v>
      </c>
      <c r="Y486" s="13">
        <v>0</v>
      </c>
      <c r="Z486" s="13">
        <v>0</v>
      </c>
      <c r="AA486" s="109">
        <v>0</v>
      </c>
      <c r="AB486" s="109">
        <v>0</v>
      </c>
      <c r="AC486" s="109">
        <v>1</v>
      </c>
      <c r="AD486" s="13">
        <v>0</v>
      </c>
      <c r="AE486" s="109">
        <v>0</v>
      </c>
      <c r="AF486" s="109">
        <v>0</v>
      </c>
      <c r="AG486" s="13"/>
      <c r="AH486" s="13"/>
    </row>
    <row r="487" spans="1:34" ht="12.75" customHeight="1">
      <c r="A487" s="10" t="s">
        <v>227</v>
      </c>
      <c r="B487" s="11">
        <f>AVERAGE(E487:AE487)</f>
        <v>0.55555555555555558</v>
      </c>
      <c r="C487" s="2">
        <f>MIN(E487:AE487)</f>
        <v>0</v>
      </c>
      <c r="D487" s="12">
        <f>MAX(E487:AE487)</f>
        <v>2</v>
      </c>
      <c r="E487" s="13">
        <v>0</v>
      </c>
      <c r="F487" s="13">
        <v>0</v>
      </c>
      <c r="G487" s="13">
        <v>0</v>
      </c>
      <c r="H487" s="109">
        <v>1</v>
      </c>
      <c r="I487" s="109">
        <v>0</v>
      </c>
      <c r="J487" s="109">
        <v>1</v>
      </c>
      <c r="K487" s="109">
        <v>0</v>
      </c>
      <c r="L487" s="109">
        <v>0</v>
      </c>
      <c r="M487" s="109">
        <v>2</v>
      </c>
      <c r="N487" s="109">
        <v>2</v>
      </c>
      <c r="O487" s="109">
        <v>1</v>
      </c>
      <c r="P487" s="109">
        <v>1</v>
      </c>
      <c r="Q487" s="109">
        <v>0</v>
      </c>
      <c r="R487" s="109">
        <v>1</v>
      </c>
      <c r="S487" s="13">
        <v>0</v>
      </c>
      <c r="T487" s="109">
        <v>2</v>
      </c>
      <c r="U487" s="109">
        <v>1</v>
      </c>
      <c r="V487" s="109">
        <v>0</v>
      </c>
      <c r="W487" s="13">
        <v>0</v>
      </c>
      <c r="X487" s="109">
        <v>2</v>
      </c>
      <c r="Y487" s="13">
        <v>0</v>
      </c>
      <c r="Z487" s="13">
        <v>0</v>
      </c>
      <c r="AA487" s="109">
        <v>0</v>
      </c>
      <c r="AB487" s="109">
        <v>0</v>
      </c>
      <c r="AC487" s="109">
        <v>1</v>
      </c>
      <c r="AD487" s="13">
        <v>0</v>
      </c>
      <c r="AE487" s="109">
        <v>0</v>
      </c>
      <c r="AF487" s="109">
        <v>0</v>
      </c>
      <c r="AG487" s="13"/>
      <c r="AH487" s="13"/>
    </row>
    <row r="488" spans="1:34" ht="12.75" customHeight="1">
      <c r="A488" s="10" t="s">
        <v>228</v>
      </c>
      <c r="B488" s="11">
        <f>AVERAGE(E488:AE488)</f>
        <v>0.59259259259259256</v>
      </c>
      <c r="C488" s="2">
        <f>MIN(E488:AE488)</f>
        <v>0</v>
      </c>
      <c r="D488" s="12">
        <f>MAX(E488:AE488)</f>
        <v>2</v>
      </c>
      <c r="E488" s="13">
        <v>0</v>
      </c>
      <c r="F488" s="13">
        <v>0</v>
      </c>
      <c r="G488" s="13">
        <v>0</v>
      </c>
      <c r="H488" s="109">
        <v>1</v>
      </c>
      <c r="I488" s="109">
        <v>0</v>
      </c>
      <c r="J488" s="109">
        <v>1</v>
      </c>
      <c r="K488" s="109">
        <v>0</v>
      </c>
      <c r="L488" s="109">
        <v>1</v>
      </c>
      <c r="M488" s="109">
        <v>2</v>
      </c>
      <c r="N488" s="109">
        <v>2</v>
      </c>
      <c r="O488" s="109">
        <v>1</v>
      </c>
      <c r="P488" s="109">
        <v>1</v>
      </c>
      <c r="Q488" s="109">
        <v>0</v>
      </c>
      <c r="R488" s="109">
        <v>1</v>
      </c>
      <c r="S488" s="13">
        <v>0</v>
      </c>
      <c r="T488" s="109">
        <v>2</v>
      </c>
      <c r="U488" s="109">
        <v>1</v>
      </c>
      <c r="V488" s="109">
        <v>0</v>
      </c>
      <c r="W488" s="13">
        <v>0</v>
      </c>
      <c r="X488" s="109">
        <v>2</v>
      </c>
      <c r="Y488" s="13">
        <v>0</v>
      </c>
      <c r="Z488" s="13">
        <v>0</v>
      </c>
      <c r="AA488" s="109">
        <v>0</v>
      </c>
      <c r="AB488" s="109">
        <v>0</v>
      </c>
      <c r="AC488" s="109">
        <v>1</v>
      </c>
      <c r="AD488" s="13">
        <v>0</v>
      </c>
      <c r="AE488" s="109">
        <v>0</v>
      </c>
      <c r="AF488" s="109">
        <v>0</v>
      </c>
      <c r="AG488" s="13"/>
      <c r="AH488" s="13"/>
    </row>
    <row r="489" spans="1:34" ht="12.75" customHeight="1">
      <c r="A489" s="10" t="s">
        <v>229</v>
      </c>
      <c r="B489" s="11">
        <f>AVERAGE(E489:AE489)</f>
        <v>0.66666666666666663</v>
      </c>
      <c r="C489" s="2">
        <f>MIN(E489:AE489)</f>
        <v>0</v>
      </c>
      <c r="D489" s="12">
        <f>MAX(E489:AE489)</f>
        <v>3</v>
      </c>
      <c r="E489" s="13">
        <v>0</v>
      </c>
      <c r="F489" s="13">
        <v>0</v>
      </c>
      <c r="G489" s="13">
        <v>0</v>
      </c>
      <c r="H489" s="109">
        <v>1</v>
      </c>
      <c r="I489" s="109">
        <v>0</v>
      </c>
      <c r="J489" s="109">
        <v>1</v>
      </c>
      <c r="K489" s="109">
        <v>0</v>
      </c>
      <c r="L489" s="109">
        <v>2</v>
      </c>
      <c r="M489" s="109">
        <v>2</v>
      </c>
      <c r="N489" s="109">
        <v>2</v>
      </c>
      <c r="O489" s="109">
        <v>1</v>
      </c>
      <c r="P489" s="109">
        <v>1</v>
      </c>
      <c r="Q489" s="109">
        <v>0</v>
      </c>
      <c r="R489" s="109">
        <v>1</v>
      </c>
      <c r="S489" s="13">
        <v>0</v>
      </c>
      <c r="T489" s="109">
        <v>2</v>
      </c>
      <c r="U489" s="109">
        <v>1</v>
      </c>
      <c r="V489" s="109">
        <v>0</v>
      </c>
      <c r="W489" s="13">
        <v>0</v>
      </c>
      <c r="X489" s="109">
        <v>3</v>
      </c>
      <c r="Y489" s="13">
        <v>0</v>
      </c>
      <c r="Z489" s="13">
        <v>0</v>
      </c>
      <c r="AA489" s="109">
        <v>0</v>
      </c>
      <c r="AB489" s="109">
        <v>0</v>
      </c>
      <c r="AC489" s="109">
        <v>1</v>
      </c>
      <c r="AD489" s="13">
        <v>0</v>
      </c>
      <c r="AE489" s="109">
        <v>0</v>
      </c>
      <c r="AF489" s="109">
        <v>0</v>
      </c>
      <c r="AG489" s="13"/>
      <c r="AH489" s="13"/>
    </row>
    <row r="490" spans="1:34" ht="12.75" customHeight="1">
      <c r="A490" s="10" t="s">
        <v>230</v>
      </c>
      <c r="B490" s="11">
        <f>AVERAGE(E490:AE490)</f>
        <v>0.66666666666666663</v>
      </c>
      <c r="C490" s="2">
        <f>MIN(E490:AE490)</f>
        <v>0</v>
      </c>
      <c r="D490" s="12">
        <f>MAX(E490:AE490)</f>
        <v>3</v>
      </c>
      <c r="E490" s="13">
        <v>0</v>
      </c>
      <c r="F490" s="13">
        <v>0</v>
      </c>
      <c r="G490" s="13">
        <v>0</v>
      </c>
      <c r="H490" s="109">
        <v>1</v>
      </c>
      <c r="I490" s="109">
        <v>0</v>
      </c>
      <c r="J490" s="109">
        <v>1</v>
      </c>
      <c r="K490" s="109">
        <v>0</v>
      </c>
      <c r="L490" s="109">
        <v>2</v>
      </c>
      <c r="M490" s="109">
        <v>2</v>
      </c>
      <c r="N490" s="109">
        <v>2</v>
      </c>
      <c r="O490" s="109">
        <v>1</v>
      </c>
      <c r="P490" s="109">
        <v>1</v>
      </c>
      <c r="Q490" s="109">
        <v>0</v>
      </c>
      <c r="R490" s="109">
        <v>1</v>
      </c>
      <c r="S490" s="13">
        <v>0</v>
      </c>
      <c r="T490" s="109">
        <v>2</v>
      </c>
      <c r="U490" s="109">
        <v>1</v>
      </c>
      <c r="V490" s="109">
        <v>0</v>
      </c>
      <c r="W490" s="13">
        <v>0</v>
      </c>
      <c r="X490" s="109">
        <v>3</v>
      </c>
      <c r="Y490" s="13">
        <v>0</v>
      </c>
      <c r="Z490" s="13">
        <v>0</v>
      </c>
      <c r="AA490" s="109">
        <v>0</v>
      </c>
      <c r="AB490" s="109">
        <v>0</v>
      </c>
      <c r="AC490" s="109">
        <v>1</v>
      </c>
      <c r="AD490" s="13">
        <v>0</v>
      </c>
      <c r="AE490" s="109">
        <v>0</v>
      </c>
      <c r="AF490" s="109">
        <v>0</v>
      </c>
      <c r="AG490" s="13"/>
      <c r="AH490" s="13"/>
    </row>
    <row r="491" spans="1:34" ht="12.75" customHeight="1">
      <c r="A491" s="10" t="s">
        <v>231</v>
      </c>
      <c r="B491" s="11">
        <f>AVERAGE(E491:AE491)</f>
        <v>0.70370370370370372</v>
      </c>
      <c r="C491" s="2">
        <f>MIN(E491:AE491)</f>
        <v>0</v>
      </c>
      <c r="D491" s="12">
        <f>MAX(E491:AE491)</f>
        <v>3</v>
      </c>
      <c r="E491" s="13">
        <v>1</v>
      </c>
      <c r="F491" s="13">
        <v>0</v>
      </c>
      <c r="G491" s="13">
        <v>0</v>
      </c>
      <c r="H491" s="109">
        <v>1</v>
      </c>
      <c r="I491" s="109">
        <v>0</v>
      </c>
      <c r="J491" s="109">
        <v>1</v>
      </c>
      <c r="K491" s="109">
        <v>0</v>
      </c>
      <c r="L491" s="109">
        <v>2</v>
      </c>
      <c r="M491" s="109">
        <v>2</v>
      </c>
      <c r="N491" s="109">
        <v>2</v>
      </c>
      <c r="O491" s="109">
        <v>1</v>
      </c>
      <c r="P491" s="109">
        <v>1</v>
      </c>
      <c r="Q491" s="109">
        <v>0</v>
      </c>
      <c r="R491" s="109">
        <v>1</v>
      </c>
      <c r="S491" s="13">
        <v>0</v>
      </c>
      <c r="T491" s="109">
        <v>2</v>
      </c>
      <c r="U491" s="109">
        <v>1</v>
      </c>
      <c r="V491" s="109">
        <v>0</v>
      </c>
      <c r="W491" s="109">
        <v>0</v>
      </c>
      <c r="X491" s="109">
        <v>3</v>
      </c>
      <c r="Y491" s="13">
        <v>0</v>
      </c>
      <c r="Z491" s="109">
        <v>0</v>
      </c>
      <c r="AA491" s="109">
        <v>0</v>
      </c>
      <c r="AB491" s="109">
        <v>0</v>
      </c>
      <c r="AC491" s="109">
        <v>1</v>
      </c>
      <c r="AD491" s="13">
        <v>0</v>
      </c>
      <c r="AE491" s="109">
        <v>0</v>
      </c>
      <c r="AF491" s="109">
        <v>0</v>
      </c>
      <c r="AG491" s="13"/>
      <c r="AH491" s="13"/>
    </row>
    <row r="492" spans="1:34" ht="12.75" customHeight="1">
      <c r="A492" s="10" t="s">
        <v>232</v>
      </c>
      <c r="B492" s="11">
        <f>AVERAGE(E492:AE492)</f>
        <v>0.81481481481481477</v>
      </c>
      <c r="C492" s="2">
        <f>MIN(E492:AE492)</f>
        <v>0</v>
      </c>
      <c r="D492" s="12">
        <f>MAX(E492:AE492)</f>
        <v>3</v>
      </c>
      <c r="E492" s="13">
        <v>1</v>
      </c>
      <c r="F492" s="13">
        <v>0</v>
      </c>
      <c r="G492" s="13">
        <v>0</v>
      </c>
      <c r="H492" s="109">
        <v>1</v>
      </c>
      <c r="I492" s="109">
        <v>0</v>
      </c>
      <c r="J492" s="109">
        <v>1</v>
      </c>
      <c r="K492" s="109">
        <v>0</v>
      </c>
      <c r="L492" s="109">
        <v>2</v>
      </c>
      <c r="M492" s="109">
        <v>2</v>
      </c>
      <c r="N492" s="109">
        <v>2</v>
      </c>
      <c r="O492" s="109">
        <v>1</v>
      </c>
      <c r="P492" s="109">
        <v>1</v>
      </c>
      <c r="Q492" s="109">
        <v>0</v>
      </c>
      <c r="R492" s="109">
        <v>1</v>
      </c>
      <c r="S492" s="13">
        <v>0</v>
      </c>
      <c r="T492" s="109">
        <v>3</v>
      </c>
      <c r="U492" s="109">
        <v>2</v>
      </c>
      <c r="V492" s="109">
        <v>0</v>
      </c>
      <c r="W492" s="109">
        <v>0</v>
      </c>
      <c r="X492" s="109">
        <v>3</v>
      </c>
      <c r="Y492" s="13">
        <v>1</v>
      </c>
      <c r="Z492" s="109">
        <v>0</v>
      </c>
      <c r="AA492" s="109">
        <v>0</v>
      </c>
      <c r="AB492" s="109">
        <v>0</v>
      </c>
      <c r="AC492" s="109">
        <v>1</v>
      </c>
      <c r="AD492" s="13">
        <v>0</v>
      </c>
      <c r="AE492" s="109">
        <v>0</v>
      </c>
      <c r="AF492" s="109">
        <v>0</v>
      </c>
      <c r="AG492" s="13"/>
      <c r="AH492" s="13"/>
    </row>
    <row r="493" spans="1:34" ht="12.75" customHeight="1">
      <c r="A493" s="10" t="s">
        <v>233</v>
      </c>
      <c r="B493" s="11">
        <f>AVERAGE(E493:AE493)</f>
        <v>0.92592592592592593</v>
      </c>
      <c r="C493" s="2">
        <f>MIN(E493:AE493)</f>
        <v>0</v>
      </c>
      <c r="D493" s="12">
        <f>MAX(E493:AE493)</f>
        <v>3</v>
      </c>
      <c r="E493" s="13">
        <v>1</v>
      </c>
      <c r="F493" s="109">
        <v>0</v>
      </c>
      <c r="G493" s="13">
        <v>0</v>
      </c>
      <c r="H493" s="109">
        <v>1</v>
      </c>
      <c r="I493" s="109">
        <v>0</v>
      </c>
      <c r="J493" s="109">
        <v>1</v>
      </c>
      <c r="K493" s="109">
        <v>1</v>
      </c>
      <c r="L493" s="109">
        <v>3</v>
      </c>
      <c r="M493" s="109">
        <v>2</v>
      </c>
      <c r="N493" s="109">
        <v>2</v>
      </c>
      <c r="O493" s="109">
        <v>1</v>
      </c>
      <c r="P493" s="109">
        <v>1</v>
      </c>
      <c r="Q493" s="109">
        <v>0</v>
      </c>
      <c r="R493" s="109">
        <v>1</v>
      </c>
      <c r="S493" s="13">
        <v>0</v>
      </c>
      <c r="T493" s="109">
        <v>3</v>
      </c>
      <c r="U493" s="109">
        <v>3</v>
      </c>
      <c r="V493" s="109">
        <v>0</v>
      </c>
      <c r="W493" s="109">
        <v>0</v>
      </c>
      <c r="X493" s="109">
        <v>3</v>
      </c>
      <c r="Y493" s="13">
        <v>1</v>
      </c>
      <c r="Z493" s="109">
        <v>0</v>
      </c>
      <c r="AA493" s="109">
        <v>0</v>
      </c>
      <c r="AB493" s="109">
        <v>0</v>
      </c>
      <c r="AC493" s="109">
        <v>1</v>
      </c>
      <c r="AD493" s="13">
        <v>0</v>
      </c>
      <c r="AE493" s="109">
        <v>0</v>
      </c>
      <c r="AF493" s="109">
        <v>0</v>
      </c>
      <c r="AG493" s="13"/>
      <c r="AH493" s="13"/>
    </row>
    <row r="494" spans="1:34" ht="12.75" customHeight="1">
      <c r="A494" s="10" t="s">
        <v>234</v>
      </c>
      <c r="B494" s="11">
        <f>AVERAGE(E494:AE494)</f>
        <v>0.92592592592592593</v>
      </c>
      <c r="C494" s="2">
        <f>MIN(E494:AE494)</f>
        <v>0</v>
      </c>
      <c r="D494" s="12">
        <f>MAX(E494:AE494)</f>
        <v>3</v>
      </c>
      <c r="E494" s="13">
        <v>1</v>
      </c>
      <c r="F494" s="109">
        <v>0</v>
      </c>
      <c r="G494" s="13">
        <v>0</v>
      </c>
      <c r="H494" s="109">
        <v>1</v>
      </c>
      <c r="I494" s="109">
        <v>0</v>
      </c>
      <c r="J494" s="109">
        <v>1</v>
      </c>
      <c r="K494" s="109">
        <v>1</v>
      </c>
      <c r="L494" s="109">
        <v>3</v>
      </c>
      <c r="M494" s="109">
        <v>2</v>
      </c>
      <c r="N494" s="109">
        <v>2</v>
      </c>
      <c r="O494" s="109">
        <v>1</v>
      </c>
      <c r="P494" s="109">
        <v>1</v>
      </c>
      <c r="Q494" s="109">
        <v>0</v>
      </c>
      <c r="R494" s="109">
        <v>1</v>
      </c>
      <c r="S494" s="13">
        <v>0</v>
      </c>
      <c r="T494" s="109">
        <v>3</v>
      </c>
      <c r="U494" s="109">
        <v>3</v>
      </c>
      <c r="V494" s="109">
        <v>0</v>
      </c>
      <c r="W494" s="109">
        <v>0</v>
      </c>
      <c r="X494" s="109">
        <v>3</v>
      </c>
      <c r="Y494" s="13">
        <v>1</v>
      </c>
      <c r="Z494" s="109">
        <v>0</v>
      </c>
      <c r="AA494" s="109">
        <v>0</v>
      </c>
      <c r="AB494" s="109">
        <v>0</v>
      </c>
      <c r="AC494" s="109">
        <v>1</v>
      </c>
      <c r="AD494" s="13">
        <v>0</v>
      </c>
      <c r="AE494" s="109">
        <v>0</v>
      </c>
      <c r="AF494" s="109">
        <v>0</v>
      </c>
      <c r="AG494" s="13"/>
      <c r="AH494" s="13"/>
    </row>
    <row r="495" spans="1:34" ht="12.75" customHeight="1">
      <c r="A495" s="10" t="s">
        <v>235</v>
      </c>
      <c r="B495" s="11">
        <f>AVERAGE(E495:AE495)</f>
        <v>0.92592592592592593</v>
      </c>
      <c r="C495" s="2">
        <f>MIN(E495:AE495)</f>
        <v>0</v>
      </c>
      <c r="D495" s="12">
        <f>MAX(E495:AE495)</f>
        <v>3</v>
      </c>
      <c r="E495" s="13">
        <v>1</v>
      </c>
      <c r="F495" s="109">
        <v>0</v>
      </c>
      <c r="G495" s="13">
        <v>0</v>
      </c>
      <c r="H495" s="109">
        <v>1</v>
      </c>
      <c r="I495" s="109">
        <v>0</v>
      </c>
      <c r="J495" s="109">
        <v>1</v>
      </c>
      <c r="K495" s="109">
        <v>1</v>
      </c>
      <c r="L495" s="109">
        <v>3</v>
      </c>
      <c r="M495" s="109">
        <v>2</v>
      </c>
      <c r="N495" s="109">
        <v>2</v>
      </c>
      <c r="O495" s="109">
        <v>1</v>
      </c>
      <c r="P495" s="109">
        <v>1</v>
      </c>
      <c r="Q495" s="109">
        <v>0</v>
      </c>
      <c r="R495" s="109">
        <v>1</v>
      </c>
      <c r="S495" s="13">
        <v>0</v>
      </c>
      <c r="T495" s="109">
        <v>3</v>
      </c>
      <c r="U495" s="109">
        <v>3</v>
      </c>
      <c r="V495" s="109">
        <v>0</v>
      </c>
      <c r="W495" s="109">
        <v>0</v>
      </c>
      <c r="X495" s="109">
        <v>3</v>
      </c>
      <c r="Y495" s="13">
        <v>1</v>
      </c>
      <c r="Z495" s="109">
        <v>0</v>
      </c>
      <c r="AA495" s="109">
        <v>0</v>
      </c>
      <c r="AB495" s="109">
        <v>0</v>
      </c>
      <c r="AC495" s="109">
        <v>1</v>
      </c>
      <c r="AD495" s="13">
        <v>0</v>
      </c>
      <c r="AE495" s="109">
        <v>0</v>
      </c>
      <c r="AF495" s="109">
        <v>0</v>
      </c>
      <c r="AG495" s="13"/>
      <c r="AH495" s="13"/>
    </row>
    <row r="496" spans="1:34" ht="12.75" customHeight="1">
      <c r="A496" s="10" t="s">
        <v>236</v>
      </c>
      <c r="B496" s="11">
        <f>AVERAGE(E496:AE496)</f>
        <v>0.96296296296296291</v>
      </c>
      <c r="C496" s="2">
        <f>MIN(E496:AE496)</f>
        <v>0</v>
      </c>
      <c r="D496" s="12">
        <f>MAX(E496:AE496)</f>
        <v>3</v>
      </c>
      <c r="E496" s="13">
        <v>1</v>
      </c>
      <c r="F496" s="109">
        <v>0</v>
      </c>
      <c r="G496" s="13">
        <v>0</v>
      </c>
      <c r="H496" s="109">
        <v>1</v>
      </c>
      <c r="I496" s="109">
        <v>0</v>
      </c>
      <c r="J496" s="109">
        <v>1</v>
      </c>
      <c r="K496" s="109">
        <v>1</v>
      </c>
      <c r="L496" s="109">
        <v>3</v>
      </c>
      <c r="M496" s="109">
        <v>2</v>
      </c>
      <c r="N496" s="109">
        <v>2</v>
      </c>
      <c r="O496" s="109">
        <v>1</v>
      </c>
      <c r="P496" s="109">
        <v>1</v>
      </c>
      <c r="Q496" s="109">
        <v>1</v>
      </c>
      <c r="R496" s="109">
        <v>1</v>
      </c>
      <c r="S496" s="109">
        <v>0</v>
      </c>
      <c r="T496" s="109">
        <v>3</v>
      </c>
      <c r="U496" s="109">
        <v>3</v>
      </c>
      <c r="V496" s="109">
        <v>0</v>
      </c>
      <c r="W496" s="109">
        <v>0</v>
      </c>
      <c r="X496" s="109">
        <v>3</v>
      </c>
      <c r="Y496" s="13">
        <v>1</v>
      </c>
      <c r="Z496" s="109">
        <v>0</v>
      </c>
      <c r="AA496" s="109">
        <v>0</v>
      </c>
      <c r="AB496" s="109">
        <v>0</v>
      </c>
      <c r="AC496" s="109">
        <v>1</v>
      </c>
      <c r="AD496" s="13">
        <v>0</v>
      </c>
      <c r="AE496" s="109">
        <v>0</v>
      </c>
      <c r="AF496" s="109">
        <v>0</v>
      </c>
      <c r="AG496" s="13"/>
      <c r="AH496" s="13"/>
    </row>
    <row r="497" spans="1:34" ht="12.75" customHeight="1">
      <c r="A497" s="10" t="s">
        <v>237</v>
      </c>
      <c r="B497" s="11">
        <f>AVERAGE(E497:AE497)</f>
        <v>1.037037037037037</v>
      </c>
      <c r="C497" s="2">
        <f>MIN(E497:AE497)</f>
        <v>0</v>
      </c>
      <c r="D497" s="12">
        <f>MAX(E497:AE497)</f>
        <v>4</v>
      </c>
      <c r="E497" s="13">
        <v>1</v>
      </c>
      <c r="F497" s="109">
        <v>1</v>
      </c>
      <c r="G497" s="13">
        <v>0</v>
      </c>
      <c r="H497" s="109">
        <v>1</v>
      </c>
      <c r="I497" s="109">
        <v>0</v>
      </c>
      <c r="J497" s="109">
        <v>1</v>
      </c>
      <c r="K497" s="109">
        <v>1</v>
      </c>
      <c r="L497" s="109">
        <v>3</v>
      </c>
      <c r="M497" s="109">
        <v>2</v>
      </c>
      <c r="N497" s="109">
        <v>2</v>
      </c>
      <c r="O497" s="109">
        <v>1</v>
      </c>
      <c r="P497" s="109">
        <v>1</v>
      </c>
      <c r="Q497" s="109">
        <v>1</v>
      </c>
      <c r="R497" s="109">
        <v>1</v>
      </c>
      <c r="S497" s="109">
        <v>0</v>
      </c>
      <c r="T497" s="109">
        <v>4</v>
      </c>
      <c r="U497" s="109">
        <v>3</v>
      </c>
      <c r="V497" s="109">
        <v>0</v>
      </c>
      <c r="W497" s="109">
        <v>0</v>
      </c>
      <c r="X497" s="109">
        <v>3</v>
      </c>
      <c r="Y497" s="13">
        <v>1</v>
      </c>
      <c r="Z497" s="109">
        <v>0</v>
      </c>
      <c r="AA497" s="109">
        <v>0</v>
      </c>
      <c r="AB497" s="109">
        <v>0</v>
      </c>
      <c r="AC497" s="109">
        <v>1</v>
      </c>
      <c r="AD497" s="13">
        <v>0</v>
      </c>
      <c r="AE497" s="109">
        <v>0</v>
      </c>
      <c r="AF497" s="109">
        <v>0</v>
      </c>
      <c r="AG497" s="13"/>
      <c r="AH497" s="13"/>
    </row>
    <row r="498" spans="1:34" ht="12.75" customHeight="1">
      <c r="A498" s="10" t="s">
        <v>238</v>
      </c>
      <c r="B498" s="11">
        <f>AVERAGE(E498:AE498)</f>
        <v>1.2222222222222223</v>
      </c>
      <c r="C498" s="2">
        <f>MIN(E498:AE498)</f>
        <v>0</v>
      </c>
      <c r="D498" s="12">
        <f>MAX(E498:AE498)</f>
        <v>5</v>
      </c>
      <c r="E498" s="13">
        <v>1</v>
      </c>
      <c r="F498" s="109">
        <v>1</v>
      </c>
      <c r="G498" s="13">
        <v>0</v>
      </c>
      <c r="H498" s="109">
        <v>2</v>
      </c>
      <c r="I498" s="109">
        <v>0</v>
      </c>
      <c r="J498" s="109">
        <v>1</v>
      </c>
      <c r="K498" s="109">
        <v>1</v>
      </c>
      <c r="L498" s="109">
        <v>3</v>
      </c>
      <c r="M498" s="109">
        <v>2</v>
      </c>
      <c r="N498" s="109">
        <v>2</v>
      </c>
      <c r="O498" s="109">
        <v>1</v>
      </c>
      <c r="P498" s="109">
        <v>1</v>
      </c>
      <c r="Q498" s="109">
        <v>2</v>
      </c>
      <c r="R498" s="109">
        <v>2</v>
      </c>
      <c r="S498" s="109">
        <v>0</v>
      </c>
      <c r="T498" s="109">
        <v>5</v>
      </c>
      <c r="U498" s="109">
        <v>3</v>
      </c>
      <c r="V498" s="109">
        <v>0</v>
      </c>
      <c r="W498" s="109">
        <v>0</v>
      </c>
      <c r="X498" s="109">
        <v>4</v>
      </c>
      <c r="Y498" s="13">
        <v>1</v>
      </c>
      <c r="Z498" s="109">
        <v>0</v>
      </c>
      <c r="AA498" s="109">
        <v>0</v>
      </c>
      <c r="AB498" s="109">
        <v>0</v>
      </c>
      <c r="AC498" s="109">
        <v>1</v>
      </c>
      <c r="AD498" s="13">
        <v>0</v>
      </c>
      <c r="AE498" s="109">
        <v>0</v>
      </c>
      <c r="AF498" s="109">
        <v>0</v>
      </c>
      <c r="AG498" s="13"/>
      <c r="AH498" s="13"/>
    </row>
    <row r="499" spans="1:34" ht="12.75" customHeight="1">
      <c r="A499" s="10" t="s">
        <v>239</v>
      </c>
      <c r="B499" s="11">
        <f>AVERAGE(E499:AE499)</f>
        <v>1.3333333333333333</v>
      </c>
      <c r="C499" s="2">
        <f>MIN(E499:AE499)</f>
        <v>0</v>
      </c>
      <c r="D499" s="12">
        <f>MAX(E499:AE499)</f>
        <v>5</v>
      </c>
      <c r="E499" s="13">
        <v>1</v>
      </c>
      <c r="F499" s="109">
        <v>1</v>
      </c>
      <c r="G499" s="13">
        <v>1</v>
      </c>
      <c r="H499" s="109">
        <v>2</v>
      </c>
      <c r="I499" s="109">
        <v>0</v>
      </c>
      <c r="J499" s="109">
        <v>2</v>
      </c>
      <c r="K499" s="109">
        <v>1</v>
      </c>
      <c r="L499" s="109">
        <v>3</v>
      </c>
      <c r="M499" s="109">
        <v>2</v>
      </c>
      <c r="N499" s="109">
        <v>2</v>
      </c>
      <c r="O499" s="109">
        <v>1</v>
      </c>
      <c r="P499" s="109">
        <v>1</v>
      </c>
      <c r="Q499" s="109">
        <v>2</v>
      </c>
      <c r="R499" s="109">
        <v>2</v>
      </c>
      <c r="S499" s="109">
        <v>0</v>
      </c>
      <c r="T499" s="109">
        <v>5</v>
      </c>
      <c r="U499" s="109">
        <v>3</v>
      </c>
      <c r="V499" s="109">
        <v>0</v>
      </c>
      <c r="W499" s="109">
        <v>0</v>
      </c>
      <c r="X499" s="109">
        <v>4</v>
      </c>
      <c r="Y499" s="13">
        <v>1</v>
      </c>
      <c r="Z499" s="109">
        <v>0</v>
      </c>
      <c r="AA499" s="109">
        <v>0</v>
      </c>
      <c r="AB499" s="109">
        <v>0</v>
      </c>
      <c r="AC499" s="109">
        <v>1</v>
      </c>
      <c r="AD499" s="13">
        <v>0</v>
      </c>
      <c r="AE499" s="109">
        <v>1</v>
      </c>
      <c r="AF499" s="109">
        <v>0</v>
      </c>
      <c r="AG499" s="13"/>
      <c r="AH499" s="13"/>
    </row>
    <row r="500" spans="1:34" ht="12.75" customHeight="1">
      <c r="A500" s="10" t="s">
        <v>240</v>
      </c>
      <c r="B500" s="11">
        <f>AVERAGE(E500:AE500)</f>
        <v>1.3703703703703705</v>
      </c>
      <c r="C500" s="2">
        <f>MIN(E500:AE500)</f>
        <v>0</v>
      </c>
      <c r="D500" s="12">
        <f>MAX(E500:AE500)</f>
        <v>5</v>
      </c>
      <c r="E500" s="13">
        <v>1</v>
      </c>
      <c r="F500" s="109">
        <v>1</v>
      </c>
      <c r="G500" s="13">
        <v>2</v>
      </c>
      <c r="H500" s="109">
        <v>2</v>
      </c>
      <c r="I500" s="109">
        <v>0</v>
      </c>
      <c r="J500" s="109">
        <v>2</v>
      </c>
      <c r="K500" s="109">
        <v>1</v>
      </c>
      <c r="L500" s="109">
        <v>3</v>
      </c>
      <c r="M500" s="109">
        <v>2</v>
      </c>
      <c r="N500" s="109">
        <v>2</v>
      </c>
      <c r="O500" s="109">
        <v>1</v>
      </c>
      <c r="P500" s="109">
        <v>1</v>
      </c>
      <c r="Q500" s="109">
        <v>2</v>
      </c>
      <c r="R500" s="109">
        <v>2</v>
      </c>
      <c r="S500" s="109">
        <v>0</v>
      </c>
      <c r="T500" s="109">
        <v>5</v>
      </c>
      <c r="U500" s="109">
        <v>3</v>
      </c>
      <c r="V500" s="109">
        <v>0</v>
      </c>
      <c r="W500" s="109">
        <v>0</v>
      </c>
      <c r="X500" s="109">
        <v>4</v>
      </c>
      <c r="Y500" s="13">
        <v>1</v>
      </c>
      <c r="Z500" s="109">
        <v>0</v>
      </c>
      <c r="AA500" s="109">
        <v>0</v>
      </c>
      <c r="AB500" s="109">
        <v>0</v>
      </c>
      <c r="AC500" s="109">
        <v>1</v>
      </c>
      <c r="AD500" s="13">
        <v>0</v>
      </c>
      <c r="AE500" s="109">
        <v>1</v>
      </c>
      <c r="AF500" s="109">
        <v>0</v>
      </c>
      <c r="AG500" s="13"/>
      <c r="AH500" s="13"/>
    </row>
    <row r="501" spans="1:34" ht="12.75" customHeight="1">
      <c r="A501" s="10" t="s">
        <v>241</v>
      </c>
      <c r="B501" s="11">
        <f>AVERAGE(E501:AE501)</f>
        <v>1.4814814814814814</v>
      </c>
      <c r="C501" s="2">
        <f>MIN(E501:AE501)</f>
        <v>0</v>
      </c>
      <c r="D501" s="12">
        <f>MAX(E501:AE501)</f>
        <v>5</v>
      </c>
      <c r="E501" s="13">
        <v>1</v>
      </c>
      <c r="F501" s="109">
        <v>1</v>
      </c>
      <c r="G501" s="13">
        <v>2</v>
      </c>
      <c r="H501" s="109">
        <v>2</v>
      </c>
      <c r="I501" s="109">
        <v>0</v>
      </c>
      <c r="J501" s="109">
        <v>3</v>
      </c>
      <c r="K501" s="109">
        <v>1</v>
      </c>
      <c r="L501" s="109">
        <v>3</v>
      </c>
      <c r="M501" s="109">
        <v>2</v>
      </c>
      <c r="N501" s="109">
        <v>2</v>
      </c>
      <c r="O501" s="109">
        <v>1</v>
      </c>
      <c r="P501" s="109">
        <v>1</v>
      </c>
      <c r="Q501" s="109">
        <v>2</v>
      </c>
      <c r="R501" s="109">
        <v>3</v>
      </c>
      <c r="S501" s="109">
        <v>0</v>
      </c>
      <c r="T501" s="109">
        <v>5</v>
      </c>
      <c r="U501" s="109">
        <v>3</v>
      </c>
      <c r="V501" s="109">
        <v>0</v>
      </c>
      <c r="W501" s="109">
        <v>0</v>
      </c>
      <c r="X501" s="109">
        <v>4</v>
      </c>
      <c r="Y501" s="13">
        <v>1</v>
      </c>
      <c r="Z501" s="109">
        <v>0</v>
      </c>
      <c r="AA501" s="109">
        <v>0</v>
      </c>
      <c r="AB501" s="109">
        <v>1</v>
      </c>
      <c r="AC501" s="109">
        <v>1</v>
      </c>
      <c r="AD501" s="13">
        <v>0</v>
      </c>
      <c r="AE501" s="109">
        <v>1</v>
      </c>
      <c r="AF501" s="109">
        <v>1</v>
      </c>
      <c r="AG501" s="13"/>
      <c r="AH501" s="13"/>
    </row>
    <row r="502" spans="1:34" ht="12.75" customHeight="1">
      <c r="A502" s="10" t="s">
        <v>242</v>
      </c>
      <c r="B502" s="11">
        <f>AVERAGE(E502:AE502)</f>
        <v>1.4814814814814814</v>
      </c>
      <c r="C502" s="2">
        <f>MIN(E502:AE502)</f>
        <v>0</v>
      </c>
      <c r="D502" s="12">
        <f>MAX(E502:AE502)</f>
        <v>5</v>
      </c>
      <c r="E502" s="13">
        <v>1</v>
      </c>
      <c r="F502" s="109">
        <v>1</v>
      </c>
      <c r="G502" s="13">
        <v>2</v>
      </c>
      <c r="H502" s="109">
        <v>2</v>
      </c>
      <c r="I502" s="109">
        <v>0</v>
      </c>
      <c r="J502" s="109">
        <v>3</v>
      </c>
      <c r="K502" s="109">
        <v>1</v>
      </c>
      <c r="L502" s="109">
        <v>3</v>
      </c>
      <c r="M502" s="109">
        <v>2</v>
      </c>
      <c r="N502" s="109">
        <v>2</v>
      </c>
      <c r="O502" s="109">
        <v>1</v>
      </c>
      <c r="P502" s="109">
        <v>1</v>
      </c>
      <c r="Q502" s="109">
        <v>2</v>
      </c>
      <c r="R502" s="109">
        <v>3</v>
      </c>
      <c r="S502" s="109">
        <v>0</v>
      </c>
      <c r="T502" s="109">
        <v>5</v>
      </c>
      <c r="U502" s="109">
        <v>3</v>
      </c>
      <c r="V502" s="109">
        <v>0</v>
      </c>
      <c r="W502" s="109">
        <v>0</v>
      </c>
      <c r="X502" s="109">
        <v>4</v>
      </c>
      <c r="Y502" s="13">
        <v>1</v>
      </c>
      <c r="Z502" s="109">
        <v>0</v>
      </c>
      <c r="AA502" s="109">
        <v>0</v>
      </c>
      <c r="AB502" s="109">
        <v>1</v>
      </c>
      <c r="AC502" s="109">
        <v>1</v>
      </c>
      <c r="AD502" s="13">
        <v>0</v>
      </c>
      <c r="AE502" s="109">
        <v>1</v>
      </c>
      <c r="AF502" s="109">
        <v>1</v>
      </c>
      <c r="AG502" s="13"/>
      <c r="AH502" s="13"/>
    </row>
    <row r="503" spans="1:34" ht="12.75" customHeight="1">
      <c r="A503" s="10" t="s">
        <v>243</v>
      </c>
      <c r="B503" s="11">
        <f>AVERAGE(E503:AE503)</f>
        <v>1.5185185185185186</v>
      </c>
      <c r="C503" s="2">
        <f>MIN(E503:AE503)</f>
        <v>0</v>
      </c>
      <c r="D503" s="12">
        <f>MAX(E503:AE503)</f>
        <v>5</v>
      </c>
      <c r="E503" s="13">
        <v>1</v>
      </c>
      <c r="F503" s="109">
        <v>1</v>
      </c>
      <c r="G503" s="13">
        <v>2</v>
      </c>
      <c r="H503" s="109">
        <v>2</v>
      </c>
      <c r="I503" s="109">
        <v>0</v>
      </c>
      <c r="J503" s="109">
        <v>3</v>
      </c>
      <c r="K503" s="109">
        <v>1</v>
      </c>
      <c r="L503" s="109">
        <v>3</v>
      </c>
      <c r="M503" s="109">
        <v>2</v>
      </c>
      <c r="N503" s="109">
        <v>2</v>
      </c>
      <c r="O503" s="109">
        <v>1</v>
      </c>
      <c r="P503" s="109">
        <v>1</v>
      </c>
      <c r="Q503" s="109">
        <v>2</v>
      </c>
      <c r="R503" s="109">
        <v>3</v>
      </c>
      <c r="S503" s="109">
        <v>1</v>
      </c>
      <c r="T503" s="109">
        <v>5</v>
      </c>
      <c r="U503" s="109">
        <v>3</v>
      </c>
      <c r="V503" s="109">
        <v>0</v>
      </c>
      <c r="W503" s="109">
        <v>0</v>
      </c>
      <c r="X503" s="109">
        <v>4</v>
      </c>
      <c r="Y503" s="13">
        <v>1</v>
      </c>
      <c r="Z503" s="109">
        <v>0</v>
      </c>
      <c r="AA503" s="109">
        <v>0</v>
      </c>
      <c r="AB503" s="109">
        <v>1</v>
      </c>
      <c r="AC503" s="109">
        <v>1</v>
      </c>
      <c r="AD503" s="13">
        <v>0</v>
      </c>
      <c r="AE503" s="109">
        <v>1</v>
      </c>
      <c r="AF503" s="109">
        <v>1</v>
      </c>
      <c r="AG503" s="13"/>
      <c r="AH503" s="13"/>
    </row>
    <row r="504" spans="1:34" ht="12.75" customHeight="1">
      <c r="A504" s="10" t="s">
        <v>244</v>
      </c>
      <c r="B504" s="11">
        <f>AVERAGE(E504:AE504)</f>
        <v>1.6296296296296295</v>
      </c>
      <c r="C504" s="2">
        <f>MIN(E504:AE504)</f>
        <v>0</v>
      </c>
      <c r="D504" s="12">
        <f>MAX(E504:AE504)</f>
        <v>5</v>
      </c>
      <c r="E504" s="13">
        <v>1</v>
      </c>
      <c r="F504" s="109">
        <v>2</v>
      </c>
      <c r="G504" s="13">
        <v>2</v>
      </c>
      <c r="H504" s="109">
        <v>2</v>
      </c>
      <c r="I504" s="109">
        <v>1</v>
      </c>
      <c r="J504" s="109">
        <v>3</v>
      </c>
      <c r="K504" s="109">
        <v>1</v>
      </c>
      <c r="L504" s="109">
        <v>3</v>
      </c>
      <c r="M504" s="109">
        <v>2</v>
      </c>
      <c r="N504" s="109">
        <v>2</v>
      </c>
      <c r="O504" s="109">
        <v>2</v>
      </c>
      <c r="P504" s="109">
        <v>1</v>
      </c>
      <c r="Q504" s="109">
        <v>2</v>
      </c>
      <c r="R504" s="109">
        <v>3</v>
      </c>
      <c r="S504" s="109">
        <v>1</v>
      </c>
      <c r="T504" s="109">
        <v>5</v>
      </c>
      <c r="U504" s="109">
        <v>3</v>
      </c>
      <c r="V504" s="109">
        <v>0</v>
      </c>
      <c r="W504" s="109">
        <v>0</v>
      </c>
      <c r="X504" s="109">
        <v>4</v>
      </c>
      <c r="Y504" s="13">
        <v>1</v>
      </c>
      <c r="Z504" s="109">
        <v>0</v>
      </c>
      <c r="AA504" s="109">
        <v>0</v>
      </c>
      <c r="AB504" s="109">
        <v>1</v>
      </c>
      <c r="AC504" s="109">
        <v>1</v>
      </c>
      <c r="AD504" s="13">
        <v>0</v>
      </c>
      <c r="AE504" s="109">
        <v>1</v>
      </c>
      <c r="AF504" s="109">
        <v>1</v>
      </c>
      <c r="AG504" s="13"/>
      <c r="AH504" s="13"/>
    </row>
    <row r="505" spans="1:34" ht="12.75" customHeight="1">
      <c r="A505" s="10" t="s">
        <v>245</v>
      </c>
      <c r="B505" s="11">
        <f>AVERAGE(E505:AE505)</f>
        <v>1.7777777777777777</v>
      </c>
      <c r="C505" s="2">
        <f>MIN(E505:AE505)</f>
        <v>0</v>
      </c>
      <c r="D505" s="12">
        <f>MAX(E505:AE505)</f>
        <v>5</v>
      </c>
      <c r="E505" s="13">
        <v>1</v>
      </c>
      <c r="F505" s="109">
        <v>2</v>
      </c>
      <c r="G505" s="13">
        <v>2</v>
      </c>
      <c r="H505" s="109">
        <v>2</v>
      </c>
      <c r="I505" s="109">
        <v>2</v>
      </c>
      <c r="J505" s="109">
        <v>3</v>
      </c>
      <c r="K505" s="109">
        <v>2</v>
      </c>
      <c r="L505" s="109">
        <v>4</v>
      </c>
      <c r="M505" s="109">
        <v>2</v>
      </c>
      <c r="N505" s="109">
        <v>2</v>
      </c>
      <c r="O505" s="109">
        <v>2</v>
      </c>
      <c r="P505" s="109">
        <v>1</v>
      </c>
      <c r="Q505" s="109">
        <v>2</v>
      </c>
      <c r="R505" s="109">
        <v>3</v>
      </c>
      <c r="S505" s="109">
        <v>1</v>
      </c>
      <c r="T505" s="109">
        <v>5</v>
      </c>
      <c r="U505" s="109">
        <v>4</v>
      </c>
      <c r="V505" s="109">
        <v>0</v>
      </c>
      <c r="W505" s="109">
        <v>0</v>
      </c>
      <c r="X505" s="109">
        <v>4</v>
      </c>
      <c r="Y505" s="109">
        <v>1</v>
      </c>
      <c r="Z505" s="109">
        <v>0</v>
      </c>
      <c r="AA505" s="109">
        <v>0</v>
      </c>
      <c r="AB505" s="109">
        <v>1</v>
      </c>
      <c r="AC505" s="109">
        <v>1</v>
      </c>
      <c r="AD505" s="13">
        <v>0</v>
      </c>
      <c r="AE505" s="109">
        <v>1</v>
      </c>
      <c r="AF505" s="109">
        <v>1</v>
      </c>
      <c r="AG505" s="13"/>
      <c r="AH505" s="13"/>
    </row>
    <row r="506" spans="1:34" ht="12.75" customHeight="1">
      <c r="A506" s="10" t="s">
        <v>246</v>
      </c>
      <c r="B506" s="11">
        <f>AVERAGE(E506:AE506)</f>
        <v>1.8148148148148149</v>
      </c>
      <c r="C506" s="2">
        <f>MIN(E506:AE506)</f>
        <v>0</v>
      </c>
      <c r="D506" s="12">
        <f>MAX(E506:AE506)</f>
        <v>5</v>
      </c>
      <c r="E506" s="13">
        <v>1</v>
      </c>
      <c r="F506" s="109">
        <v>2</v>
      </c>
      <c r="G506" s="13">
        <v>2</v>
      </c>
      <c r="H506" s="109">
        <v>2</v>
      </c>
      <c r="I506" s="109">
        <v>2</v>
      </c>
      <c r="J506" s="109">
        <v>4</v>
      </c>
      <c r="K506" s="109">
        <v>2</v>
      </c>
      <c r="L506" s="109">
        <v>4</v>
      </c>
      <c r="M506" s="109">
        <v>2</v>
      </c>
      <c r="N506" s="109">
        <v>2</v>
      </c>
      <c r="O506" s="109">
        <v>2</v>
      </c>
      <c r="P506" s="109">
        <v>1</v>
      </c>
      <c r="Q506" s="109">
        <v>2</v>
      </c>
      <c r="R506" s="109">
        <v>3</v>
      </c>
      <c r="S506" s="109">
        <v>1</v>
      </c>
      <c r="T506" s="109">
        <v>5</v>
      </c>
      <c r="U506" s="109">
        <v>4</v>
      </c>
      <c r="V506" s="109">
        <v>0</v>
      </c>
      <c r="W506" s="109">
        <v>0</v>
      </c>
      <c r="X506" s="109">
        <v>4</v>
      </c>
      <c r="Y506" s="109">
        <v>1</v>
      </c>
      <c r="Z506" s="109">
        <v>0</v>
      </c>
      <c r="AA506" s="109">
        <v>0</v>
      </c>
      <c r="AB506" s="109">
        <v>1</v>
      </c>
      <c r="AC506" s="109">
        <v>1</v>
      </c>
      <c r="AD506" s="13">
        <v>0</v>
      </c>
      <c r="AE506" s="109">
        <v>1</v>
      </c>
      <c r="AF506" s="109">
        <v>1</v>
      </c>
      <c r="AG506" s="13"/>
      <c r="AH506" s="13"/>
    </row>
    <row r="507" spans="1:34" ht="12.75" customHeight="1">
      <c r="A507" s="10" t="s">
        <v>247</v>
      </c>
      <c r="B507" s="11">
        <f>AVERAGE(E507:AE507)</f>
        <v>1.962962962962963</v>
      </c>
      <c r="C507" s="2">
        <f>MIN(E507:AE507)</f>
        <v>0</v>
      </c>
      <c r="D507" s="12">
        <f>MAX(E507:AE507)</f>
        <v>5</v>
      </c>
      <c r="E507" s="13">
        <v>1</v>
      </c>
      <c r="F507" s="109">
        <v>2</v>
      </c>
      <c r="G507" s="13">
        <v>2</v>
      </c>
      <c r="H507" s="109">
        <v>3</v>
      </c>
      <c r="I507" s="109">
        <v>2</v>
      </c>
      <c r="J507" s="109">
        <v>5</v>
      </c>
      <c r="K507" s="109">
        <v>2</v>
      </c>
      <c r="L507" s="109">
        <v>4</v>
      </c>
      <c r="M507" s="109">
        <v>2</v>
      </c>
      <c r="N507" s="109">
        <v>2</v>
      </c>
      <c r="O507" s="109">
        <v>2</v>
      </c>
      <c r="P507" s="109">
        <v>1</v>
      </c>
      <c r="Q507" s="109">
        <v>2</v>
      </c>
      <c r="R507" s="109">
        <v>4</v>
      </c>
      <c r="S507" s="109">
        <v>1</v>
      </c>
      <c r="T507" s="109">
        <v>5</v>
      </c>
      <c r="U507" s="109">
        <v>4</v>
      </c>
      <c r="V507" s="109">
        <v>0</v>
      </c>
      <c r="W507" s="109">
        <v>0</v>
      </c>
      <c r="X507" s="109">
        <v>4</v>
      </c>
      <c r="Y507" s="109">
        <v>1</v>
      </c>
      <c r="Z507" s="109">
        <v>0</v>
      </c>
      <c r="AA507" s="109">
        <v>1</v>
      </c>
      <c r="AB507" s="109">
        <v>1</v>
      </c>
      <c r="AC507" s="109">
        <v>1</v>
      </c>
      <c r="AD507" s="13">
        <v>0</v>
      </c>
      <c r="AE507" s="109">
        <v>1</v>
      </c>
      <c r="AF507" s="109">
        <v>1</v>
      </c>
      <c r="AG507" s="13"/>
      <c r="AH507" s="13"/>
    </row>
    <row r="508" spans="1:34" ht="12.75" customHeight="1">
      <c r="A508" s="10" t="s">
        <v>248</v>
      </c>
      <c r="B508" s="11">
        <f>AVERAGE(E508:AE508)</f>
        <v>2.1111111111111112</v>
      </c>
      <c r="C508" s="2">
        <f>MIN(E508:AE508)</f>
        <v>0</v>
      </c>
      <c r="D508" s="12">
        <f>MAX(E508:AE508)</f>
        <v>5</v>
      </c>
      <c r="E508" s="13">
        <v>1</v>
      </c>
      <c r="F508" s="109">
        <v>2</v>
      </c>
      <c r="G508" s="13">
        <v>2</v>
      </c>
      <c r="H508" s="109">
        <v>4</v>
      </c>
      <c r="I508" s="109">
        <v>2</v>
      </c>
      <c r="J508" s="109">
        <v>5</v>
      </c>
      <c r="K508" s="109">
        <v>2</v>
      </c>
      <c r="L508" s="109">
        <v>4</v>
      </c>
      <c r="M508" s="109">
        <v>2</v>
      </c>
      <c r="N508" s="109">
        <v>2</v>
      </c>
      <c r="O508" s="109">
        <v>2</v>
      </c>
      <c r="P508" s="109">
        <v>1</v>
      </c>
      <c r="Q508" s="109">
        <v>3</v>
      </c>
      <c r="R508" s="109">
        <v>5</v>
      </c>
      <c r="S508" s="109">
        <v>1</v>
      </c>
      <c r="T508" s="109">
        <v>5</v>
      </c>
      <c r="U508" s="109">
        <v>5</v>
      </c>
      <c r="V508" s="109">
        <v>0</v>
      </c>
      <c r="W508" s="109">
        <v>0</v>
      </c>
      <c r="X508" s="109">
        <v>4</v>
      </c>
      <c r="Y508" s="109">
        <v>1</v>
      </c>
      <c r="Z508" s="109">
        <v>0</v>
      </c>
      <c r="AA508" s="109">
        <v>1</v>
      </c>
      <c r="AB508" s="109">
        <v>1</v>
      </c>
      <c r="AC508" s="109">
        <v>1</v>
      </c>
      <c r="AD508" s="13">
        <v>0</v>
      </c>
      <c r="AE508" s="109">
        <v>1</v>
      </c>
      <c r="AF508" s="109">
        <v>1</v>
      </c>
      <c r="AG508" s="13"/>
      <c r="AH508" s="13"/>
    </row>
    <row r="509" spans="1:34" ht="12.75" customHeight="1">
      <c r="A509" s="10" t="s">
        <v>249</v>
      </c>
      <c r="B509" s="11">
        <f>AVERAGE(E509:AE509)</f>
        <v>2.2222222222222223</v>
      </c>
      <c r="C509" s="2">
        <f>MIN(E509:AE509)</f>
        <v>0</v>
      </c>
      <c r="D509" s="12">
        <f>MAX(E509:AE509)</f>
        <v>5</v>
      </c>
      <c r="E509" s="13">
        <v>1</v>
      </c>
      <c r="F509" s="109">
        <v>2</v>
      </c>
      <c r="G509" s="13">
        <v>2</v>
      </c>
      <c r="H509" s="109">
        <v>4</v>
      </c>
      <c r="I509" s="109">
        <v>2</v>
      </c>
      <c r="J509" s="109">
        <v>5</v>
      </c>
      <c r="K509" s="109">
        <v>2</v>
      </c>
      <c r="L509" s="109">
        <v>4</v>
      </c>
      <c r="M509" s="109">
        <v>2</v>
      </c>
      <c r="N509" s="109">
        <v>3</v>
      </c>
      <c r="O509" s="109">
        <v>2</v>
      </c>
      <c r="P509" s="109">
        <v>1</v>
      </c>
      <c r="Q509" s="109">
        <v>3</v>
      </c>
      <c r="R509" s="109">
        <v>5</v>
      </c>
      <c r="S509" s="109">
        <v>1</v>
      </c>
      <c r="T509" s="109">
        <v>5</v>
      </c>
      <c r="U509" s="109">
        <v>5</v>
      </c>
      <c r="V509" s="109">
        <v>1</v>
      </c>
      <c r="W509" s="109">
        <v>1</v>
      </c>
      <c r="X509" s="109">
        <v>4</v>
      </c>
      <c r="Y509" s="109">
        <v>1</v>
      </c>
      <c r="Z509" s="109">
        <v>0</v>
      </c>
      <c r="AA509" s="109">
        <v>1</v>
      </c>
      <c r="AB509" s="109">
        <v>1</v>
      </c>
      <c r="AC509" s="109">
        <v>1</v>
      </c>
      <c r="AD509" s="13">
        <v>0</v>
      </c>
      <c r="AE509" s="109">
        <v>1</v>
      </c>
      <c r="AF509" s="109">
        <v>1</v>
      </c>
      <c r="AG509" s="13"/>
      <c r="AH509" s="13"/>
    </row>
    <row r="510" spans="1:34" ht="12.75" customHeight="1">
      <c r="A510" s="10" t="s">
        <v>250</v>
      </c>
      <c r="B510" s="11">
        <f>AVERAGE(E510:AE510)</f>
        <v>2.2962962962962963</v>
      </c>
      <c r="C510" s="2">
        <f>MIN(E510:AE510)</f>
        <v>0</v>
      </c>
      <c r="D510" s="12">
        <f>MAX(E510:AE510)</f>
        <v>5</v>
      </c>
      <c r="E510" s="13">
        <v>1</v>
      </c>
      <c r="F510" s="109">
        <v>2</v>
      </c>
      <c r="G510" s="13">
        <v>2</v>
      </c>
      <c r="H510" s="109">
        <v>4</v>
      </c>
      <c r="I510" s="109">
        <v>2</v>
      </c>
      <c r="J510" s="109">
        <v>5</v>
      </c>
      <c r="K510" s="109">
        <v>2</v>
      </c>
      <c r="L510" s="109">
        <v>4</v>
      </c>
      <c r="M510" s="109">
        <v>3</v>
      </c>
      <c r="N510" s="109">
        <v>3</v>
      </c>
      <c r="O510" s="109">
        <v>2</v>
      </c>
      <c r="P510" s="109">
        <v>1</v>
      </c>
      <c r="Q510" s="109">
        <v>3</v>
      </c>
      <c r="R510" s="109">
        <v>5</v>
      </c>
      <c r="S510" s="109">
        <v>1</v>
      </c>
      <c r="T510" s="109">
        <v>5</v>
      </c>
      <c r="U510" s="109">
        <v>5</v>
      </c>
      <c r="V510" s="109">
        <v>1</v>
      </c>
      <c r="W510" s="109">
        <v>2</v>
      </c>
      <c r="X510" s="109">
        <v>4</v>
      </c>
      <c r="Y510" s="109">
        <v>1</v>
      </c>
      <c r="Z510" s="109">
        <v>0</v>
      </c>
      <c r="AA510" s="109">
        <v>1</v>
      </c>
      <c r="AB510" s="109">
        <v>1</v>
      </c>
      <c r="AC510" s="109">
        <v>1</v>
      </c>
      <c r="AD510" s="13">
        <v>0</v>
      </c>
      <c r="AE510" s="109">
        <v>1</v>
      </c>
      <c r="AF510" s="109">
        <v>1</v>
      </c>
      <c r="AG510" s="13"/>
      <c r="AH510" s="13"/>
    </row>
    <row r="511" spans="1:34" ht="12.75" customHeight="1">
      <c r="A511" s="10" t="s">
        <v>251</v>
      </c>
      <c r="B511" s="11">
        <f>AVERAGE(E511:AE511)</f>
        <v>2.3703703703703702</v>
      </c>
      <c r="C511" s="2">
        <f>MIN(E511:AE511)</f>
        <v>0</v>
      </c>
      <c r="D511" s="12">
        <f>MAX(E511:AE511)</f>
        <v>5</v>
      </c>
      <c r="E511" s="13">
        <v>1</v>
      </c>
      <c r="F511" s="109">
        <v>2</v>
      </c>
      <c r="G511" s="13">
        <v>2</v>
      </c>
      <c r="H511" s="109">
        <v>4</v>
      </c>
      <c r="I511" s="109">
        <v>2</v>
      </c>
      <c r="J511" s="109">
        <v>5</v>
      </c>
      <c r="K511" s="109">
        <v>2</v>
      </c>
      <c r="L511" s="109">
        <v>4</v>
      </c>
      <c r="M511" s="109">
        <v>3</v>
      </c>
      <c r="N511" s="109">
        <v>4</v>
      </c>
      <c r="O511" s="109">
        <v>2</v>
      </c>
      <c r="P511" s="109">
        <v>1</v>
      </c>
      <c r="Q511" s="109">
        <v>3</v>
      </c>
      <c r="R511" s="109">
        <v>5</v>
      </c>
      <c r="S511" s="109">
        <v>1</v>
      </c>
      <c r="T511" s="109">
        <v>5</v>
      </c>
      <c r="U511" s="109">
        <v>5</v>
      </c>
      <c r="V511" s="109">
        <v>1</v>
      </c>
      <c r="W511" s="109">
        <v>2</v>
      </c>
      <c r="X511" s="109">
        <v>4</v>
      </c>
      <c r="Y511" s="109">
        <v>1</v>
      </c>
      <c r="Z511" s="109">
        <v>0</v>
      </c>
      <c r="AA511" s="109">
        <v>2</v>
      </c>
      <c r="AB511" s="109">
        <v>1</v>
      </c>
      <c r="AC511" s="109">
        <v>1</v>
      </c>
      <c r="AD511" s="109">
        <v>0</v>
      </c>
      <c r="AE511" s="109">
        <v>1</v>
      </c>
      <c r="AF511" s="109">
        <v>1</v>
      </c>
      <c r="AG511" s="13"/>
      <c r="AH511" s="13"/>
    </row>
    <row r="512" spans="1:34" ht="12.75" customHeight="1">
      <c r="A512" s="10" t="s">
        <v>252</v>
      </c>
      <c r="B512" s="11">
        <f>AVERAGE(E512:AE512)</f>
        <v>2.5555555555555554</v>
      </c>
      <c r="C512" s="2">
        <f>MIN(E512:AE512)</f>
        <v>0</v>
      </c>
      <c r="D512" s="12">
        <f>MAX(E512:AE512)</f>
        <v>5</v>
      </c>
      <c r="E512" s="13">
        <v>1</v>
      </c>
      <c r="F512" s="109">
        <v>2</v>
      </c>
      <c r="G512" s="13">
        <v>2</v>
      </c>
      <c r="H512" s="109">
        <v>4</v>
      </c>
      <c r="I512" s="109">
        <v>2</v>
      </c>
      <c r="J512" s="109">
        <v>5</v>
      </c>
      <c r="K512" s="109">
        <v>2</v>
      </c>
      <c r="L512" s="109">
        <v>5</v>
      </c>
      <c r="M512" s="109">
        <v>3</v>
      </c>
      <c r="N512" s="109">
        <v>5</v>
      </c>
      <c r="O512" s="109">
        <v>3</v>
      </c>
      <c r="P512" s="109">
        <v>1</v>
      </c>
      <c r="Q512" s="109">
        <v>3</v>
      </c>
      <c r="R512" s="109">
        <v>5</v>
      </c>
      <c r="S512" s="109">
        <v>1</v>
      </c>
      <c r="T512" s="109">
        <v>5</v>
      </c>
      <c r="U512" s="109">
        <v>5</v>
      </c>
      <c r="V512" s="109">
        <v>1</v>
      </c>
      <c r="W512" s="109">
        <v>2</v>
      </c>
      <c r="X512" s="109">
        <v>5</v>
      </c>
      <c r="Y512" s="109">
        <v>1</v>
      </c>
      <c r="Z512" s="109">
        <v>0</v>
      </c>
      <c r="AA512" s="109">
        <v>2</v>
      </c>
      <c r="AB512" s="109">
        <v>2</v>
      </c>
      <c r="AC512" s="109">
        <v>1</v>
      </c>
      <c r="AD512" s="109">
        <v>0</v>
      </c>
      <c r="AE512" s="109">
        <v>1</v>
      </c>
      <c r="AF512" s="109">
        <v>1</v>
      </c>
      <c r="AG512" s="13"/>
      <c r="AH512" s="13"/>
    </row>
    <row r="513" spans="1:34" ht="12.75" customHeight="1">
      <c r="A513" s="10" t="s">
        <v>253</v>
      </c>
      <c r="B513" s="11">
        <f>AVERAGE(E513:AE513)</f>
        <v>2.6296296296296298</v>
      </c>
      <c r="C513" s="2">
        <f>MIN(E513:AE513)</f>
        <v>0</v>
      </c>
      <c r="D513" s="12">
        <f>MAX(E513:AE513)</f>
        <v>5</v>
      </c>
      <c r="E513" s="13">
        <v>1</v>
      </c>
      <c r="F513" s="109">
        <v>3</v>
      </c>
      <c r="G513" s="13">
        <v>2</v>
      </c>
      <c r="H513" s="109">
        <v>4</v>
      </c>
      <c r="I513" s="109">
        <v>2</v>
      </c>
      <c r="J513" s="109">
        <v>5</v>
      </c>
      <c r="K513" s="109">
        <v>2</v>
      </c>
      <c r="L513" s="109">
        <v>5</v>
      </c>
      <c r="M513" s="109">
        <v>3</v>
      </c>
      <c r="N513" s="109">
        <v>5</v>
      </c>
      <c r="O513" s="109">
        <v>3</v>
      </c>
      <c r="P513" s="109">
        <v>1</v>
      </c>
      <c r="Q513" s="109">
        <v>3</v>
      </c>
      <c r="R513" s="109">
        <v>5</v>
      </c>
      <c r="S513" s="109">
        <v>1</v>
      </c>
      <c r="T513" s="109">
        <v>5</v>
      </c>
      <c r="U513" s="109">
        <v>5</v>
      </c>
      <c r="V513" s="109">
        <v>1</v>
      </c>
      <c r="W513" s="109">
        <v>2</v>
      </c>
      <c r="X513" s="109">
        <v>5</v>
      </c>
      <c r="Y513" s="109">
        <v>1</v>
      </c>
      <c r="Z513" s="109">
        <v>0</v>
      </c>
      <c r="AA513" s="109">
        <v>3</v>
      </c>
      <c r="AB513" s="109">
        <v>2</v>
      </c>
      <c r="AC513" s="109">
        <v>1</v>
      </c>
      <c r="AD513" s="109">
        <v>0</v>
      </c>
      <c r="AE513" s="109">
        <v>1</v>
      </c>
      <c r="AF513" s="109">
        <v>1</v>
      </c>
      <c r="AG513" s="13"/>
      <c r="AH513" s="13"/>
    </row>
    <row r="514" spans="1:34" ht="12.75" customHeight="1">
      <c r="A514" s="10" t="s">
        <v>254</v>
      </c>
      <c r="B514" s="11">
        <f>AVERAGE(E514:AE514)</f>
        <v>2.6296296296296298</v>
      </c>
      <c r="C514" s="2">
        <f>MIN(E514:AE514)</f>
        <v>0</v>
      </c>
      <c r="D514" s="12">
        <f>MAX(E514:AE514)</f>
        <v>5</v>
      </c>
      <c r="E514" s="13">
        <v>1</v>
      </c>
      <c r="F514" s="109">
        <v>3</v>
      </c>
      <c r="G514" s="13">
        <v>2</v>
      </c>
      <c r="H514" s="109">
        <v>4</v>
      </c>
      <c r="I514" s="109">
        <v>2</v>
      </c>
      <c r="J514" s="109">
        <v>5</v>
      </c>
      <c r="K514" s="109">
        <v>2</v>
      </c>
      <c r="L514" s="109">
        <v>5</v>
      </c>
      <c r="M514" s="109">
        <v>3</v>
      </c>
      <c r="N514" s="109">
        <v>5</v>
      </c>
      <c r="O514" s="109">
        <v>3</v>
      </c>
      <c r="P514" s="109">
        <v>1</v>
      </c>
      <c r="Q514" s="109">
        <v>3</v>
      </c>
      <c r="R514" s="109">
        <v>5</v>
      </c>
      <c r="S514" s="109">
        <v>1</v>
      </c>
      <c r="T514" s="109">
        <v>5</v>
      </c>
      <c r="U514" s="109">
        <v>5</v>
      </c>
      <c r="V514" s="109">
        <v>1</v>
      </c>
      <c r="W514" s="109">
        <v>2</v>
      </c>
      <c r="X514" s="109">
        <v>5</v>
      </c>
      <c r="Y514" s="109">
        <v>1</v>
      </c>
      <c r="Z514" s="109">
        <v>0</v>
      </c>
      <c r="AA514" s="109">
        <v>3</v>
      </c>
      <c r="AB514" s="109">
        <v>2</v>
      </c>
      <c r="AC514" s="109">
        <v>1</v>
      </c>
      <c r="AD514" s="109">
        <v>0</v>
      </c>
      <c r="AE514" s="109">
        <v>1</v>
      </c>
      <c r="AF514" s="109">
        <v>1</v>
      </c>
      <c r="AG514" s="13"/>
      <c r="AH514" s="13"/>
    </row>
    <row r="515" spans="1:34" ht="12.75" customHeight="1">
      <c r="A515" s="10" t="s">
        <v>255</v>
      </c>
      <c r="B515" s="11">
        <f>AVERAGE(E515:AE515)</f>
        <v>2.7407407407407409</v>
      </c>
      <c r="C515" s="2">
        <f>MIN(E515:AE515)</f>
        <v>0</v>
      </c>
      <c r="D515" s="12">
        <f>MAX(E515:AE515)</f>
        <v>6</v>
      </c>
      <c r="E515" s="13">
        <v>1</v>
      </c>
      <c r="F515" s="109">
        <v>3</v>
      </c>
      <c r="G515" s="13">
        <v>2</v>
      </c>
      <c r="H515" s="109">
        <v>4</v>
      </c>
      <c r="I515" s="109">
        <v>2</v>
      </c>
      <c r="J515" s="109">
        <v>5</v>
      </c>
      <c r="K515" s="109">
        <v>2</v>
      </c>
      <c r="L515" s="109">
        <v>5</v>
      </c>
      <c r="M515" s="109">
        <v>3</v>
      </c>
      <c r="N515" s="109">
        <v>5</v>
      </c>
      <c r="O515" s="109">
        <v>3</v>
      </c>
      <c r="P515" s="109">
        <v>1</v>
      </c>
      <c r="Q515" s="109">
        <v>4</v>
      </c>
      <c r="R515" s="109">
        <v>5</v>
      </c>
      <c r="S515" s="109">
        <v>2</v>
      </c>
      <c r="T515" s="109">
        <v>6</v>
      </c>
      <c r="U515" s="109">
        <v>5</v>
      </c>
      <c r="V515" s="109">
        <v>1</v>
      </c>
      <c r="W515" s="109">
        <v>2</v>
      </c>
      <c r="X515" s="109">
        <v>5</v>
      </c>
      <c r="Y515" s="109">
        <v>1</v>
      </c>
      <c r="Z515" s="109">
        <v>0</v>
      </c>
      <c r="AA515" s="109">
        <v>3</v>
      </c>
      <c r="AB515" s="109">
        <v>2</v>
      </c>
      <c r="AC515" s="109">
        <v>1</v>
      </c>
      <c r="AD515" s="109">
        <v>0</v>
      </c>
      <c r="AE515" s="109">
        <v>1</v>
      </c>
      <c r="AF515" s="109">
        <v>1</v>
      </c>
      <c r="AG515" s="13"/>
      <c r="AH515" s="13"/>
    </row>
    <row r="516" spans="1:34" ht="12.75" customHeight="1">
      <c r="A516" s="10" t="s">
        <v>256</v>
      </c>
      <c r="B516" s="11">
        <f>AVERAGE(E516:AE516)</f>
        <v>2.8518518518518516</v>
      </c>
      <c r="C516" s="2">
        <f>MIN(E516:AE516)</f>
        <v>0</v>
      </c>
      <c r="D516" s="12">
        <f>MAX(E516:AE516)</f>
        <v>6</v>
      </c>
      <c r="E516" s="13">
        <v>1</v>
      </c>
      <c r="F516" s="109">
        <v>4</v>
      </c>
      <c r="G516" s="13">
        <v>2</v>
      </c>
      <c r="H516" s="13">
        <v>4</v>
      </c>
      <c r="I516" s="109">
        <v>2</v>
      </c>
      <c r="J516" s="109">
        <v>5</v>
      </c>
      <c r="K516" s="109">
        <v>2</v>
      </c>
      <c r="L516" s="109">
        <v>6</v>
      </c>
      <c r="M516" s="109">
        <v>3</v>
      </c>
      <c r="N516" s="109">
        <v>5</v>
      </c>
      <c r="O516" s="109">
        <v>3</v>
      </c>
      <c r="P516" s="109">
        <v>1</v>
      </c>
      <c r="Q516" s="109">
        <v>4</v>
      </c>
      <c r="R516" s="109">
        <v>5</v>
      </c>
      <c r="S516" s="109">
        <v>2</v>
      </c>
      <c r="T516" s="109">
        <v>6</v>
      </c>
      <c r="U516" s="109">
        <v>5</v>
      </c>
      <c r="V516" s="109">
        <v>1</v>
      </c>
      <c r="W516" s="109">
        <v>2</v>
      </c>
      <c r="X516" s="109">
        <v>5</v>
      </c>
      <c r="Y516" s="109">
        <v>1</v>
      </c>
      <c r="Z516" s="109">
        <v>0</v>
      </c>
      <c r="AA516" s="109">
        <v>3</v>
      </c>
      <c r="AB516" s="109">
        <v>3</v>
      </c>
      <c r="AC516" s="109">
        <v>1</v>
      </c>
      <c r="AD516" s="109">
        <v>0</v>
      </c>
      <c r="AE516" s="109">
        <v>1</v>
      </c>
      <c r="AF516" s="109">
        <v>1</v>
      </c>
      <c r="AG516" s="13"/>
      <c r="AH516" s="13"/>
    </row>
    <row r="517" spans="1:34" ht="12.75" customHeight="1">
      <c r="A517" s="10" t="s">
        <v>257</v>
      </c>
      <c r="B517" s="11">
        <f>AVERAGE(E517:AE517)</f>
        <v>2.9629629629629628</v>
      </c>
      <c r="C517" s="2">
        <f>MIN(E517:AE517)</f>
        <v>0</v>
      </c>
      <c r="D517" s="12">
        <f>MAX(E517:AE517)</f>
        <v>6</v>
      </c>
      <c r="E517" s="13">
        <v>1</v>
      </c>
      <c r="F517" s="109">
        <v>4</v>
      </c>
      <c r="G517" s="13">
        <v>2</v>
      </c>
      <c r="H517" s="13">
        <v>4</v>
      </c>
      <c r="I517" s="109">
        <v>2</v>
      </c>
      <c r="J517" s="109">
        <v>6</v>
      </c>
      <c r="K517" s="109">
        <v>3</v>
      </c>
      <c r="L517" s="109">
        <v>6</v>
      </c>
      <c r="M517" s="109">
        <v>3</v>
      </c>
      <c r="N517" s="109">
        <v>5</v>
      </c>
      <c r="O517" s="109">
        <v>4</v>
      </c>
      <c r="P517" s="109">
        <v>1</v>
      </c>
      <c r="Q517" s="109">
        <v>4</v>
      </c>
      <c r="R517" s="109">
        <v>5</v>
      </c>
      <c r="S517" s="109">
        <v>2</v>
      </c>
      <c r="T517" s="109">
        <v>6</v>
      </c>
      <c r="U517" s="109">
        <v>5</v>
      </c>
      <c r="V517" s="109">
        <v>1</v>
      </c>
      <c r="W517" s="109">
        <v>2</v>
      </c>
      <c r="X517" s="109">
        <v>5</v>
      </c>
      <c r="Y517" s="109">
        <v>1</v>
      </c>
      <c r="Z517" s="109">
        <v>0</v>
      </c>
      <c r="AA517" s="109">
        <v>3</v>
      </c>
      <c r="AB517" s="109">
        <v>3</v>
      </c>
      <c r="AC517" s="109">
        <v>1</v>
      </c>
      <c r="AD517" s="109">
        <v>0</v>
      </c>
      <c r="AE517" s="109">
        <v>1</v>
      </c>
      <c r="AF517" s="109">
        <v>1</v>
      </c>
      <c r="AG517" s="13"/>
      <c r="AH517" s="13"/>
    </row>
    <row r="518" spans="1:34" ht="12.75" customHeight="1">
      <c r="A518" s="10" t="s">
        <v>258</v>
      </c>
      <c r="B518" s="11">
        <f>AVERAGE(E518:AE518)</f>
        <v>3.074074074074074</v>
      </c>
      <c r="C518" s="2">
        <f>MIN(E518:AE518)</f>
        <v>0</v>
      </c>
      <c r="D518" s="12">
        <f>MAX(E518:AE518)</f>
        <v>6</v>
      </c>
      <c r="E518" s="13">
        <v>1</v>
      </c>
      <c r="F518" s="109">
        <v>4</v>
      </c>
      <c r="G518" s="13">
        <v>2</v>
      </c>
      <c r="H518" s="13">
        <v>4</v>
      </c>
      <c r="I518" s="109">
        <v>2</v>
      </c>
      <c r="J518" s="109">
        <v>6</v>
      </c>
      <c r="K518" s="109">
        <v>3</v>
      </c>
      <c r="L518" s="109">
        <v>6</v>
      </c>
      <c r="M518" s="109">
        <v>4</v>
      </c>
      <c r="N518" s="109">
        <v>5</v>
      </c>
      <c r="O518" s="109">
        <v>5</v>
      </c>
      <c r="P518" s="109">
        <v>1</v>
      </c>
      <c r="Q518" s="109">
        <v>4</v>
      </c>
      <c r="R518" s="109">
        <v>6</v>
      </c>
      <c r="S518" s="109">
        <v>2</v>
      </c>
      <c r="T518" s="109">
        <v>6</v>
      </c>
      <c r="U518" s="109">
        <v>5</v>
      </c>
      <c r="V518" s="109">
        <v>1</v>
      </c>
      <c r="W518" s="109">
        <v>2</v>
      </c>
      <c r="X518" s="109">
        <v>5</v>
      </c>
      <c r="Y518" s="109">
        <v>1</v>
      </c>
      <c r="Z518" s="109">
        <v>0</v>
      </c>
      <c r="AA518" s="109">
        <v>3</v>
      </c>
      <c r="AB518" s="109">
        <v>3</v>
      </c>
      <c r="AC518" s="109">
        <v>1</v>
      </c>
      <c r="AD518" s="109">
        <v>0</v>
      </c>
      <c r="AE518" s="109">
        <v>1</v>
      </c>
      <c r="AF518" s="109">
        <v>1</v>
      </c>
      <c r="AG518" s="13"/>
      <c r="AH518" s="13"/>
    </row>
    <row r="519" spans="1:34" ht="12.75" customHeight="1">
      <c r="A519" s="10" t="s">
        <v>259</v>
      </c>
      <c r="B519" s="11">
        <f>AVERAGE(E519:AE519)</f>
        <v>3.3333333333333335</v>
      </c>
      <c r="C519" s="2">
        <f>MIN(E519:AE519)</f>
        <v>0</v>
      </c>
      <c r="D519" s="12">
        <f>MAX(E519:AE519)</f>
        <v>7</v>
      </c>
      <c r="E519" s="13">
        <v>1</v>
      </c>
      <c r="F519" s="109">
        <v>4</v>
      </c>
      <c r="G519" s="13">
        <v>2</v>
      </c>
      <c r="H519" s="109">
        <v>5</v>
      </c>
      <c r="I519" s="109">
        <v>2</v>
      </c>
      <c r="J519" s="109">
        <v>6</v>
      </c>
      <c r="K519" s="109">
        <v>4</v>
      </c>
      <c r="L519" s="109">
        <v>6</v>
      </c>
      <c r="M519" s="109">
        <v>4</v>
      </c>
      <c r="N519" s="109">
        <v>5</v>
      </c>
      <c r="O519" s="109">
        <v>5</v>
      </c>
      <c r="P519" s="109">
        <v>1</v>
      </c>
      <c r="Q519" s="109">
        <v>4</v>
      </c>
      <c r="R519" s="109">
        <v>6</v>
      </c>
      <c r="S519" s="109">
        <v>2</v>
      </c>
      <c r="T519" s="109">
        <v>7</v>
      </c>
      <c r="U519" s="109">
        <v>5</v>
      </c>
      <c r="V519" s="109">
        <v>2</v>
      </c>
      <c r="W519" s="109">
        <v>3</v>
      </c>
      <c r="X519" s="109">
        <v>6</v>
      </c>
      <c r="Y519" s="109">
        <v>1</v>
      </c>
      <c r="Z519" s="109">
        <v>0</v>
      </c>
      <c r="AA519" s="109">
        <v>3</v>
      </c>
      <c r="AB519" s="109">
        <v>3</v>
      </c>
      <c r="AC519" s="109">
        <v>2</v>
      </c>
      <c r="AD519" s="109">
        <v>0</v>
      </c>
      <c r="AE519" s="109">
        <v>1</v>
      </c>
      <c r="AF519" s="109">
        <v>1</v>
      </c>
      <c r="AG519" s="13"/>
      <c r="AH519" s="13"/>
    </row>
    <row r="520" spans="1:34" ht="12.75" customHeight="1">
      <c r="A520" s="10" t="s">
        <v>260</v>
      </c>
      <c r="B520" s="11">
        <f>AVERAGE(E520:AE520)</f>
        <v>3.4444444444444446</v>
      </c>
      <c r="C520" s="2">
        <f>MIN(E520:AE520)</f>
        <v>0</v>
      </c>
      <c r="D520" s="12">
        <f>MAX(E520:AE520)</f>
        <v>8</v>
      </c>
      <c r="E520" s="13">
        <v>1</v>
      </c>
      <c r="F520" s="109">
        <v>4</v>
      </c>
      <c r="G520" s="13">
        <v>2</v>
      </c>
      <c r="H520" s="109">
        <v>5</v>
      </c>
      <c r="I520" s="109">
        <v>2</v>
      </c>
      <c r="J520" s="109">
        <v>6</v>
      </c>
      <c r="K520" s="109">
        <v>4</v>
      </c>
      <c r="L520" s="109">
        <v>6</v>
      </c>
      <c r="M520" s="109">
        <v>4</v>
      </c>
      <c r="N520" s="109">
        <v>5</v>
      </c>
      <c r="O520" s="109">
        <v>5</v>
      </c>
      <c r="P520" s="109">
        <v>2</v>
      </c>
      <c r="Q520" s="109">
        <v>4</v>
      </c>
      <c r="R520" s="109">
        <v>6</v>
      </c>
      <c r="S520" s="109">
        <v>2</v>
      </c>
      <c r="T520" s="109">
        <v>8</v>
      </c>
      <c r="U520" s="109">
        <v>5</v>
      </c>
      <c r="V520" s="109">
        <v>2</v>
      </c>
      <c r="W520" s="109">
        <v>3</v>
      </c>
      <c r="X520" s="109">
        <v>7</v>
      </c>
      <c r="Y520" s="109">
        <v>1</v>
      </c>
      <c r="Z520" s="109">
        <v>0</v>
      </c>
      <c r="AA520" s="109">
        <v>3</v>
      </c>
      <c r="AB520" s="109">
        <v>3</v>
      </c>
      <c r="AC520" s="109">
        <v>2</v>
      </c>
      <c r="AD520" s="109">
        <v>0</v>
      </c>
      <c r="AE520" s="109">
        <v>1</v>
      </c>
      <c r="AF520" s="109">
        <v>1</v>
      </c>
      <c r="AG520" s="13"/>
      <c r="AH520" s="13"/>
    </row>
    <row r="521" spans="1:34" ht="12.75" customHeight="1">
      <c r="A521" s="10" t="s">
        <v>261</v>
      </c>
      <c r="B521" s="11">
        <f>AVERAGE(E521:AE521)</f>
        <v>3.5185185185185186</v>
      </c>
      <c r="C521" s="2">
        <f>MIN(E521:AE521)</f>
        <v>0</v>
      </c>
      <c r="D521" s="12">
        <f>MAX(E521:AE521)</f>
        <v>8</v>
      </c>
      <c r="E521" s="13">
        <v>1</v>
      </c>
      <c r="F521" s="109">
        <v>4</v>
      </c>
      <c r="G521" s="13">
        <v>2</v>
      </c>
      <c r="H521" s="109">
        <v>5</v>
      </c>
      <c r="I521" s="109">
        <v>2</v>
      </c>
      <c r="J521" s="109">
        <v>6</v>
      </c>
      <c r="K521" s="109">
        <v>4</v>
      </c>
      <c r="L521" s="109">
        <v>6</v>
      </c>
      <c r="M521" s="109">
        <v>5</v>
      </c>
      <c r="N521" s="109">
        <v>5</v>
      </c>
      <c r="O521" s="109">
        <v>5</v>
      </c>
      <c r="P521" s="109">
        <v>2</v>
      </c>
      <c r="Q521" s="109">
        <v>4</v>
      </c>
      <c r="R521" s="109">
        <v>6</v>
      </c>
      <c r="S521" s="109">
        <v>2</v>
      </c>
      <c r="T521" s="109">
        <v>8</v>
      </c>
      <c r="U521" s="109">
        <v>5</v>
      </c>
      <c r="V521" s="109">
        <v>2</v>
      </c>
      <c r="W521" s="109">
        <v>3</v>
      </c>
      <c r="X521" s="109">
        <v>7</v>
      </c>
      <c r="Y521" s="109">
        <v>2</v>
      </c>
      <c r="Z521" s="109">
        <v>0</v>
      </c>
      <c r="AA521" s="109">
        <v>3</v>
      </c>
      <c r="AB521" s="109">
        <v>3</v>
      </c>
      <c r="AC521" s="109">
        <v>2</v>
      </c>
      <c r="AD521" s="109">
        <v>0</v>
      </c>
      <c r="AE521" s="109">
        <v>1</v>
      </c>
      <c r="AF521" s="109">
        <v>1</v>
      </c>
      <c r="AG521" s="13"/>
      <c r="AH521" s="13"/>
    </row>
    <row r="522" spans="1:34" ht="12.75" customHeight="1">
      <c r="A522" s="10" t="s">
        <v>262</v>
      </c>
      <c r="B522" s="11">
        <f>AVERAGE(E522:AE522)</f>
        <v>3.6666666666666665</v>
      </c>
      <c r="C522" s="2">
        <f>MIN(E522:AE522)</f>
        <v>0</v>
      </c>
      <c r="D522" s="12">
        <f>MAX(E522:AE522)</f>
        <v>8</v>
      </c>
      <c r="E522" s="13">
        <v>1</v>
      </c>
      <c r="F522" s="109">
        <v>4</v>
      </c>
      <c r="G522" s="13">
        <v>2</v>
      </c>
      <c r="H522" s="109">
        <v>5</v>
      </c>
      <c r="I522" s="109">
        <v>2</v>
      </c>
      <c r="J522" s="109">
        <v>6</v>
      </c>
      <c r="K522" s="109">
        <v>4</v>
      </c>
      <c r="L522" s="109">
        <v>6</v>
      </c>
      <c r="M522" s="109">
        <v>6</v>
      </c>
      <c r="N522" s="109">
        <v>5</v>
      </c>
      <c r="O522" s="109">
        <v>6</v>
      </c>
      <c r="P522" s="109">
        <v>2</v>
      </c>
      <c r="Q522" s="109">
        <v>5</v>
      </c>
      <c r="R522" s="109">
        <v>6</v>
      </c>
      <c r="S522" s="109">
        <v>2</v>
      </c>
      <c r="T522" s="109">
        <v>8</v>
      </c>
      <c r="U522" s="109">
        <v>5</v>
      </c>
      <c r="V522" s="109">
        <v>2</v>
      </c>
      <c r="W522" s="109">
        <v>3</v>
      </c>
      <c r="X522" s="109">
        <v>7</v>
      </c>
      <c r="Y522" s="109">
        <v>2</v>
      </c>
      <c r="Z522" s="109">
        <v>0</v>
      </c>
      <c r="AA522" s="109">
        <v>3</v>
      </c>
      <c r="AB522" s="109">
        <v>3</v>
      </c>
      <c r="AC522" s="109">
        <v>2</v>
      </c>
      <c r="AD522" s="109">
        <v>1</v>
      </c>
      <c r="AE522" s="109">
        <v>1</v>
      </c>
      <c r="AF522" s="109">
        <v>1</v>
      </c>
      <c r="AG522" s="13"/>
      <c r="AH522" s="13"/>
    </row>
    <row r="523" spans="1:34" ht="12.75" customHeight="1">
      <c r="A523" s="10" t="s">
        <v>263</v>
      </c>
      <c r="B523" s="11">
        <f>AVERAGE(E523:AE523)</f>
        <v>3.7037037037037037</v>
      </c>
      <c r="C523" s="2">
        <f>MIN(E523:AE523)</f>
        <v>0</v>
      </c>
      <c r="D523" s="12">
        <f>MAX(E523:AE523)</f>
        <v>9</v>
      </c>
      <c r="E523" s="13">
        <v>1</v>
      </c>
      <c r="F523" s="109">
        <v>4</v>
      </c>
      <c r="G523" s="13">
        <v>2</v>
      </c>
      <c r="H523" s="109">
        <v>5</v>
      </c>
      <c r="I523" s="109">
        <v>2</v>
      </c>
      <c r="J523" s="109">
        <v>6</v>
      </c>
      <c r="K523" s="109">
        <v>4</v>
      </c>
      <c r="L523" s="109">
        <v>6</v>
      </c>
      <c r="M523" s="109">
        <v>6</v>
      </c>
      <c r="N523" s="109">
        <v>5</v>
      </c>
      <c r="O523" s="109">
        <v>6</v>
      </c>
      <c r="P523" s="109">
        <v>2</v>
      </c>
      <c r="Q523" s="109">
        <v>5</v>
      </c>
      <c r="R523" s="109">
        <v>6</v>
      </c>
      <c r="S523" s="109">
        <v>2</v>
      </c>
      <c r="T523" s="109">
        <v>9</v>
      </c>
      <c r="U523" s="109">
        <v>5</v>
      </c>
      <c r="V523" s="109">
        <v>2</v>
      </c>
      <c r="W523" s="109">
        <v>3</v>
      </c>
      <c r="X523" s="109">
        <v>7</v>
      </c>
      <c r="Y523" s="109">
        <v>2</v>
      </c>
      <c r="Z523" s="109">
        <v>0</v>
      </c>
      <c r="AA523" s="109">
        <v>3</v>
      </c>
      <c r="AB523" s="109">
        <v>3</v>
      </c>
      <c r="AC523" s="109">
        <v>2</v>
      </c>
      <c r="AD523" s="109">
        <v>1</v>
      </c>
      <c r="AE523" s="109">
        <v>1</v>
      </c>
      <c r="AF523" s="109">
        <v>1</v>
      </c>
      <c r="AG523" s="13"/>
      <c r="AH523" s="13"/>
    </row>
    <row r="524" spans="1:34" ht="12.75" customHeight="1">
      <c r="A524" s="10" t="s">
        <v>264</v>
      </c>
      <c r="B524" s="11">
        <f>AVERAGE(E524:AE524)</f>
        <v>3.7777777777777777</v>
      </c>
      <c r="C524" s="2">
        <f>MIN(E524:AE524)</f>
        <v>0</v>
      </c>
      <c r="D524" s="12">
        <f>MAX(E524:AE524)</f>
        <v>9</v>
      </c>
      <c r="E524" s="13">
        <v>1</v>
      </c>
      <c r="F524" s="109">
        <v>4</v>
      </c>
      <c r="G524" s="13">
        <v>2</v>
      </c>
      <c r="H524" s="109">
        <v>5</v>
      </c>
      <c r="I524" s="109">
        <v>2</v>
      </c>
      <c r="J524" s="109">
        <v>6</v>
      </c>
      <c r="K524" s="109">
        <v>4</v>
      </c>
      <c r="L524" s="109">
        <v>6</v>
      </c>
      <c r="M524" s="109">
        <v>7</v>
      </c>
      <c r="N524" s="109">
        <v>5</v>
      </c>
      <c r="O524" s="109">
        <v>6</v>
      </c>
      <c r="P524" s="109">
        <v>2</v>
      </c>
      <c r="Q524" s="109">
        <v>5</v>
      </c>
      <c r="R524" s="109">
        <v>6</v>
      </c>
      <c r="S524" s="109">
        <v>2</v>
      </c>
      <c r="T524" s="109">
        <v>9</v>
      </c>
      <c r="U524" s="109">
        <v>5</v>
      </c>
      <c r="V524" s="109">
        <v>2</v>
      </c>
      <c r="W524" s="109">
        <v>3</v>
      </c>
      <c r="X524" s="109">
        <v>7</v>
      </c>
      <c r="Y524" s="109">
        <v>2</v>
      </c>
      <c r="Z524" s="109">
        <v>0</v>
      </c>
      <c r="AA524" s="109">
        <v>3</v>
      </c>
      <c r="AB524" s="109">
        <v>3</v>
      </c>
      <c r="AC524" s="109">
        <v>2</v>
      </c>
      <c r="AD524" s="109">
        <v>1</v>
      </c>
      <c r="AE524" s="109">
        <v>2</v>
      </c>
      <c r="AF524" s="109">
        <v>1</v>
      </c>
      <c r="AG524" s="13"/>
      <c r="AH524" s="13"/>
    </row>
    <row r="525" spans="1:34" ht="12.75" customHeight="1">
      <c r="A525" s="10" t="s">
        <v>265</v>
      </c>
      <c r="B525" s="11">
        <f>AVERAGE(E525:AE525)</f>
        <v>3.8518518518518516</v>
      </c>
      <c r="C525" s="2">
        <f>MIN(E525:AE525)</f>
        <v>0</v>
      </c>
      <c r="D525" s="12">
        <f>MAX(E525:AE525)</f>
        <v>9</v>
      </c>
      <c r="E525" s="13">
        <v>1</v>
      </c>
      <c r="F525" s="109">
        <v>4</v>
      </c>
      <c r="G525" s="13">
        <v>2</v>
      </c>
      <c r="H525" s="109">
        <v>5</v>
      </c>
      <c r="I525" s="109">
        <v>2</v>
      </c>
      <c r="J525" s="109">
        <v>6</v>
      </c>
      <c r="K525" s="109">
        <v>4</v>
      </c>
      <c r="L525" s="109">
        <v>6</v>
      </c>
      <c r="M525" s="109">
        <v>7</v>
      </c>
      <c r="N525" s="109">
        <v>5</v>
      </c>
      <c r="O525" s="109">
        <v>6</v>
      </c>
      <c r="P525" s="109">
        <v>2</v>
      </c>
      <c r="Q525" s="109">
        <v>5</v>
      </c>
      <c r="R525" s="109">
        <v>6</v>
      </c>
      <c r="S525" s="109">
        <v>3</v>
      </c>
      <c r="T525" s="109">
        <v>9</v>
      </c>
      <c r="U525" s="109">
        <v>5</v>
      </c>
      <c r="V525" s="109">
        <v>2</v>
      </c>
      <c r="W525" s="109">
        <v>3</v>
      </c>
      <c r="X525" s="109">
        <v>8</v>
      </c>
      <c r="Y525" s="109">
        <v>2</v>
      </c>
      <c r="Z525" s="109">
        <v>0</v>
      </c>
      <c r="AA525" s="109">
        <v>3</v>
      </c>
      <c r="AB525" s="109">
        <v>3</v>
      </c>
      <c r="AC525" s="109">
        <v>2</v>
      </c>
      <c r="AD525" s="109">
        <v>1</v>
      </c>
      <c r="AE525" s="109">
        <v>2</v>
      </c>
      <c r="AF525" s="109">
        <v>1</v>
      </c>
      <c r="AG525" s="13"/>
      <c r="AH525" s="13"/>
    </row>
    <row r="526" spans="1:34" ht="12.75" customHeight="1">
      <c r="A526" s="10" t="s">
        <v>266</v>
      </c>
      <c r="B526" s="11">
        <f>AVERAGE(E526:AE526)</f>
        <v>4.0370370370370372</v>
      </c>
      <c r="C526" s="2">
        <f>MIN(E526:AE526)</f>
        <v>0</v>
      </c>
      <c r="D526" s="12">
        <f>MAX(E526:AE526)</f>
        <v>9</v>
      </c>
      <c r="E526" s="13">
        <v>2</v>
      </c>
      <c r="F526" s="109">
        <v>4</v>
      </c>
      <c r="G526" s="13">
        <v>2</v>
      </c>
      <c r="H526" s="109">
        <v>5</v>
      </c>
      <c r="I526" s="109">
        <v>2</v>
      </c>
      <c r="J526" s="109">
        <v>6</v>
      </c>
      <c r="K526" s="109">
        <v>5</v>
      </c>
      <c r="L526" s="109">
        <v>6</v>
      </c>
      <c r="M526" s="109">
        <v>7</v>
      </c>
      <c r="N526" s="109">
        <v>5</v>
      </c>
      <c r="O526" s="109">
        <v>6</v>
      </c>
      <c r="P526" s="109">
        <v>2</v>
      </c>
      <c r="Q526" s="109">
        <v>5</v>
      </c>
      <c r="R526" s="109">
        <v>6</v>
      </c>
      <c r="S526" s="109">
        <v>3</v>
      </c>
      <c r="T526" s="109">
        <v>9</v>
      </c>
      <c r="U526" s="109">
        <v>5</v>
      </c>
      <c r="V526" s="109">
        <v>3</v>
      </c>
      <c r="W526" s="109">
        <v>4</v>
      </c>
      <c r="X526" s="109">
        <v>8</v>
      </c>
      <c r="Y526" s="109">
        <v>2</v>
      </c>
      <c r="Z526" s="109">
        <v>0</v>
      </c>
      <c r="AA526" s="109">
        <v>3</v>
      </c>
      <c r="AB526" s="109">
        <v>3</v>
      </c>
      <c r="AC526" s="109">
        <v>2</v>
      </c>
      <c r="AD526" s="109">
        <v>2</v>
      </c>
      <c r="AE526" s="109">
        <v>2</v>
      </c>
      <c r="AF526" s="109">
        <v>1</v>
      </c>
      <c r="AG526" s="13"/>
      <c r="AH526" s="13"/>
    </row>
    <row r="527" spans="1:34" ht="12.75" customHeight="1">
      <c r="A527" s="10" t="s">
        <v>267</v>
      </c>
      <c r="B527" s="11">
        <f>AVERAGE(E527:AE527)</f>
        <v>4.2222222222222223</v>
      </c>
      <c r="C527" s="2">
        <f>MIN(E527:AE527)</f>
        <v>0</v>
      </c>
      <c r="D527" s="12">
        <f>MAX(E527:AE527)</f>
        <v>9</v>
      </c>
      <c r="E527" s="13">
        <v>2</v>
      </c>
      <c r="F527" s="109">
        <v>4</v>
      </c>
      <c r="G527" s="13">
        <v>3</v>
      </c>
      <c r="H527" s="109">
        <v>5</v>
      </c>
      <c r="I527" s="109">
        <v>2</v>
      </c>
      <c r="J527" s="109">
        <v>6</v>
      </c>
      <c r="K527" s="109">
        <v>5</v>
      </c>
      <c r="L527" s="109">
        <v>6</v>
      </c>
      <c r="M527" s="109">
        <v>7</v>
      </c>
      <c r="N527" s="109">
        <v>5</v>
      </c>
      <c r="O527" s="109">
        <v>6</v>
      </c>
      <c r="P527" s="109">
        <v>2</v>
      </c>
      <c r="Q527" s="109">
        <v>6</v>
      </c>
      <c r="R527" s="109">
        <v>7</v>
      </c>
      <c r="S527" s="109">
        <v>3</v>
      </c>
      <c r="T527" s="109">
        <v>9</v>
      </c>
      <c r="U527" s="109">
        <v>5</v>
      </c>
      <c r="V527" s="109">
        <v>4</v>
      </c>
      <c r="W527" s="109">
        <v>4</v>
      </c>
      <c r="X527" s="109">
        <v>8</v>
      </c>
      <c r="Y527" s="109">
        <v>2</v>
      </c>
      <c r="Z527" s="109">
        <v>0</v>
      </c>
      <c r="AA527" s="109">
        <v>3</v>
      </c>
      <c r="AB527" s="109">
        <v>3</v>
      </c>
      <c r="AC527" s="109">
        <v>2</v>
      </c>
      <c r="AD527" s="109">
        <v>2</v>
      </c>
      <c r="AE527" s="109">
        <v>3</v>
      </c>
      <c r="AF527" s="109">
        <v>2</v>
      </c>
      <c r="AG527" s="13"/>
      <c r="AH527" s="13"/>
    </row>
    <row r="528" spans="1:34" ht="12.75" customHeight="1">
      <c r="A528" s="10" t="s">
        <v>268</v>
      </c>
      <c r="B528" s="11">
        <f>AVERAGE(E528:AE528)</f>
        <v>4.3703703703703702</v>
      </c>
      <c r="C528" s="2">
        <f>MIN(E528:AE528)</f>
        <v>0</v>
      </c>
      <c r="D528" s="12">
        <f>MAX(E528:AE528)</f>
        <v>9</v>
      </c>
      <c r="E528" s="13">
        <v>2</v>
      </c>
      <c r="F528" s="109">
        <v>4</v>
      </c>
      <c r="G528" s="13">
        <v>3</v>
      </c>
      <c r="H528" s="109">
        <v>5</v>
      </c>
      <c r="I528" s="109">
        <v>2</v>
      </c>
      <c r="J528" s="109">
        <v>6</v>
      </c>
      <c r="K528" s="109">
        <v>5</v>
      </c>
      <c r="L528" s="109">
        <v>6</v>
      </c>
      <c r="M528" s="109">
        <v>7</v>
      </c>
      <c r="N528" s="109">
        <v>5</v>
      </c>
      <c r="O528" s="109">
        <v>6</v>
      </c>
      <c r="P528" s="109">
        <v>2</v>
      </c>
      <c r="Q528" s="109">
        <v>7</v>
      </c>
      <c r="R528" s="109">
        <v>7</v>
      </c>
      <c r="S528" s="109">
        <v>3</v>
      </c>
      <c r="T528" s="109">
        <v>9</v>
      </c>
      <c r="U528" s="109">
        <v>5</v>
      </c>
      <c r="V528" s="109">
        <v>5</v>
      </c>
      <c r="W528" s="109">
        <v>4</v>
      </c>
      <c r="X528" s="109">
        <v>9</v>
      </c>
      <c r="Y528" s="109">
        <v>2</v>
      </c>
      <c r="Z528" s="109">
        <v>0</v>
      </c>
      <c r="AA528" s="109">
        <v>3</v>
      </c>
      <c r="AB528" s="109">
        <v>3</v>
      </c>
      <c r="AC528" s="109">
        <v>2</v>
      </c>
      <c r="AD528" s="109">
        <v>3</v>
      </c>
      <c r="AE528" s="109">
        <v>3</v>
      </c>
      <c r="AF528" s="109">
        <v>2</v>
      </c>
      <c r="AG528" s="13"/>
      <c r="AH528" s="13"/>
    </row>
    <row r="529" spans="1:34" ht="12.75" customHeight="1">
      <c r="A529" s="10" t="s">
        <v>269</v>
      </c>
      <c r="B529" s="11">
        <f>AVERAGE(E529:AE529)</f>
        <v>4.4814814814814818</v>
      </c>
      <c r="C529" s="2">
        <f>MIN(E529:AE529)</f>
        <v>1</v>
      </c>
      <c r="D529" s="12">
        <f>MAX(E529:AE529)</f>
        <v>9</v>
      </c>
      <c r="E529" s="109">
        <v>3</v>
      </c>
      <c r="F529" s="109">
        <v>4</v>
      </c>
      <c r="G529" s="13">
        <v>3</v>
      </c>
      <c r="H529" s="109">
        <v>5</v>
      </c>
      <c r="I529" s="109">
        <v>2</v>
      </c>
      <c r="J529" s="109">
        <v>6</v>
      </c>
      <c r="K529" s="109">
        <v>5</v>
      </c>
      <c r="L529" s="109">
        <v>6</v>
      </c>
      <c r="M529" s="109">
        <v>7</v>
      </c>
      <c r="N529" s="109">
        <v>5</v>
      </c>
      <c r="O529" s="109">
        <v>6</v>
      </c>
      <c r="P529" s="109">
        <v>2</v>
      </c>
      <c r="Q529" s="109">
        <v>7</v>
      </c>
      <c r="R529" s="109">
        <v>7</v>
      </c>
      <c r="S529" s="109">
        <v>3</v>
      </c>
      <c r="T529" s="109">
        <v>9</v>
      </c>
      <c r="U529" s="109">
        <v>5</v>
      </c>
      <c r="V529" s="109">
        <v>6</v>
      </c>
      <c r="W529" s="109">
        <v>4</v>
      </c>
      <c r="X529" s="109">
        <v>9</v>
      </c>
      <c r="Y529" s="109">
        <v>2</v>
      </c>
      <c r="Z529" s="109">
        <v>1</v>
      </c>
      <c r="AA529" s="109">
        <v>3</v>
      </c>
      <c r="AB529" s="109">
        <v>3</v>
      </c>
      <c r="AC529" s="109">
        <v>2</v>
      </c>
      <c r="AD529" s="109">
        <v>3</v>
      </c>
      <c r="AE529" s="109">
        <v>3</v>
      </c>
      <c r="AF529" s="109">
        <v>2</v>
      </c>
      <c r="AG529" s="13"/>
      <c r="AH529" s="13"/>
    </row>
    <row r="530" spans="1:34" ht="12.75" customHeight="1">
      <c r="A530" s="10" t="s">
        <v>270</v>
      </c>
      <c r="B530" s="11">
        <f>AVERAGE(E530:AE530)</f>
        <v>4.5185185185185182</v>
      </c>
      <c r="C530" s="2">
        <f>MIN(E530:AE530)</f>
        <v>2</v>
      </c>
      <c r="D530" s="12">
        <f>MAX(E530:AE530)</f>
        <v>9</v>
      </c>
      <c r="E530" s="13">
        <v>3</v>
      </c>
      <c r="F530" s="109">
        <v>4</v>
      </c>
      <c r="G530" s="13">
        <v>3</v>
      </c>
      <c r="H530" s="109">
        <v>5</v>
      </c>
      <c r="I530" s="109">
        <v>2</v>
      </c>
      <c r="J530" s="109">
        <v>6</v>
      </c>
      <c r="K530" s="109">
        <v>5</v>
      </c>
      <c r="L530" s="109">
        <v>6</v>
      </c>
      <c r="M530" s="109">
        <v>7</v>
      </c>
      <c r="N530" s="109">
        <v>5</v>
      </c>
      <c r="O530" s="109">
        <v>6</v>
      </c>
      <c r="P530" s="109">
        <v>2</v>
      </c>
      <c r="Q530" s="109">
        <v>7</v>
      </c>
      <c r="R530" s="109">
        <v>7</v>
      </c>
      <c r="S530" s="109">
        <v>3</v>
      </c>
      <c r="T530" s="109">
        <v>9</v>
      </c>
      <c r="U530" s="109">
        <v>5</v>
      </c>
      <c r="V530" s="109">
        <v>6</v>
      </c>
      <c r="W530" s="109">
        <v>4</v>
      </c>
      <c r="X530" s="109">
        <v>9</v>
      </c>
      <c r="Y530" s="109">
        <v>2</v>
      </c>
      <c r="Z530" s="109">
        <v>2</v>
      </c>
      <c r="AA530" s="109">
        <v>3</v>
      </c>
      <c r="AB530" s="109">
        <v>3</v>
      </c>
      <c r="AC530" s="109">
        <v>2</v>
      </c>
      <c r="AD530" s="109">
        <v>3</v>
      </c>
      <c r="AE530" s="109">
        <v>3</v>
      </c>
      <c r="AF530" s="109">
        <v>2</v>
      </c>
      <c r="AG530" s="13"/>
      <c r="AH530" s="13"/>
    </row>
    <row r="531" spans="1:34" ht="12.75" customHeight="1">
      <c r="A531" s="10" t="s">
        <v>271</v>
      </c>
      <c r="B531" s="11">
        <f>AVERAGE(E531:AE531)</f>
        <v>4.6296296296296298</v>
      </c>
      <c r="C531" s="2">
        <f>MIN(E531:AE531)</f>
        <v>2</v>
      </c>
      <c r="D531" s="12">
        <f>MAX(E531:AE531)</f>
        <v>9</v>
      </c>
      <c r="E531" s="13">
        <v>3</v>
      </c>
      <c r="F531" s="109">
        <v>5</v>
      </c>
      <c r="G531" s="13">
        <v>3</v>
      </c>
      <c r="H531" s="109">
        <v>5</v>
      </c>
      <c r="I531" s="109">
        <v>2</v>
      </c>
      <c r="J531" s="109">
        <v>6</v>
      </c>
      <c r="K531" s="109">
        <v>5</v>
      </c>
      <c r="L531" s="109">
        <v>6</v>
      </c>
      <c r="M531" s="109">
        <v>7</v>
      </c>
      <c r="N531" s="109">
        <v>6</v>
      </c>
      <c r="O531" s="109">
        <v>6</v>
      </c>
      <c r="P531" s="109">
        <v>2</v>
      </c>
      <c r="Q531" s="109">
        <v>7</v>
      </c>
      <c r="R531" s="109">
        <v>7</v>
      </c>
      <c r="S531" s="109">
        <v>3</v>
      </c>
      <c r="T531" s="109">
        <v>9</v>
      </c>
      <c r="U531" s="109">
        <v>5</v>
      </c>
      <c r="V531" s="109">
        <v>6</v>
      </c>
      <c r="W531" s="109">
        <v>4</v>
      </c>
      <c r="X531" s="109">
        <v>9</v>
      </c>
      <c r="Y531" s="109">
        <v>2</v>
      </c>
      <c r="Z531" s="109">
        <v>3</v>
      </c>
      <c r="AA531" s="109">
        <v>3</v>
      </c>
      <c r="AB531" s="109">
        <v>3</v>
      </c>
      <c r="AC531" s="109">
        <v>2</v>
      </c>
      <c r="AD531" s="109">
        <v>3</v>
      </c>
      <c r="AE531" s="109">
        <v>3</v>
      </c>
      <c r="AF531" s="109">
        <v>3</v>
      </c>
      <c r="AG531" s="13"/>
      <c r="AH531" s="13"/>
    </row>
    <row r="532" spans="1:34" ht="12.75" customHeight="1">
      <c r="A532" s="10" t="s">
        <v>272</v>
      </c>
      <c r="B532" s="11">
        <f>AVERAGE(E532:AE532)</f>
        <v>4.8148148148148149</v>
      </c>
      <c r="C532" s="2">
        <f>MIN(E532:AE532)</f>
        <v>2</v>
      </c>
      <c r="D532" s="12">
        <f>MAX(E532:AE532)</f>
        <v>9</v>
      </c>
      <c r="E532" s="13">
        <v>3</v>
      </c>
      <c r="F532" s="109">
        <v>6</v>
      </c>
      <c r="G532" s="13">
        <v>3</v>
      </c>
      <c r="H532" s="109">
        <v>5</v>
      </c>
      <c r="I532" s="109">
        <v>3</v>
      </c>
      <c r="J532" s="109">
        <v>6</v>
      </c>
      <c r="K532" s="109">
        <v>5</v>
      </c>
      <c r="L532" s="109">
        <v>6</v>
      </c>
      <c r="M532" s="109">
        <v>7</v>
      </c>
      <c r="N532" s="109">
        <v>6</v>
      </c>
      <c r="O532" s="109">
        <v>6</v>
      </c>
      <c r="P532" s="109">
        <v>2</v>
      </c>
      <c r="Q532" s="109">
        <v>8</v>
      </c>
      <c r="R532" s="109">
        <v>7</v>
      </c>
      <c r="S532" s="109">
        <v>3</v>
      </c>
      <c r="T532" s="109">
        <v>9</v>
      </c>
      <c r="U532" s="109">
        <v>5</v>
      </c>
      <c r="V532" s="109">
        <v>7</v>
      </c>
      <c r="W532" s="109">
        <v>4</v>
      </c>
      <c r="X532" s="109">
        <v>9</v>
      </c>
      <c r="Y532" s="109">
        <v>2</v>
      </c>
      <c r="Z532" s="109">
        <v>3</v>
      </c>
      <c r="AA532" s="109">
        <v>4</v>
      </c>
      <c r="AB532" s="109">
        <v>3</v>
      </c>
      <c r="AC532" s="109">
        <v>2</v>
      </c>
      <c r="AD532" s="109">
        <v>3</v>
      </c>
      <c r="AE532" s="109">
        <v>3</v>
      </c>
      <c r="AF532" s="109">
        <v>3</v>
      </c>
      <c r="AG532" s="13"/>
      <c r="AH532" s="13"/>
    </row>
    <row r="533" spans="1:34" ht="12.75" customHeight="1">
      <c r="A533" s="10" t="s">
        <v>273</v>
      </c>
      <c r="B533" s="11">
        <f>AVERAGE(E533:AE533)</f>
        <v>4.9259259259259256</v>
      </c>
      <c r="C533" s="2">
        <f>MIN(E533:AE533)</f>
        <v>2</v>
      </c>
      <c r="D533" s="12">
        <f>MAX(E533:AE533)</f>
        <v>9</v>
      </c>
      <c r="E533" s="109">
        <v>3</v>
      </c>
      <c r="F533" s="109">
        <v>6</v>
      </c>
      <c r="G533" s="13">
        <v>3</v>
      </c>
      <c r="H533" s="109">
        <v>5</v>
      </c>
      <c r="I533" s="109">
        <v>3</v>
      </c>
      <c r="J533" s="109">
        <v>6</v>
      </c>
      <c r="K533" s="109">
        <v>6</v>
      </c>
      <c r="L533" s="109">
        <v>6</v>
      </c>
      <c r="M533" s="109">
        <v>8</v>
      </c>
      <c r="N533" s="109">
        <v>6</v>
      </c>
      <c r="O533" s="109">
        <v>6</v>
      </c>
      <c r="P533" s="109">
        <v>2</v>
      </c>
      <c r="Q533" s="109">
        <v>9</v>
      </c>
      <c r="R533" s="109">
        <v>7</v>
      </c>
      <c r="S533" s="109">
        <v>3</v>
      </c>
      <c r="T533" s="109">
        <v>9</v>
      </c>
      <c r="U533" s="109">
        <v>5</v>
      </c>
      <c r="V533" s="109">
        <v>7</v>
      </c>
      <c r="W533" s="109">
        <v>4</v>
      </c>
      <c r="X533" s="109">
        <v>9</v>
      </c>
      <c r="Y533" s="109">
        <v>2</v>
      </c>
      <c r="Z533" s="109">
        <v>3</v>
      </c>
      <c r="AA533" s="109">
        <v>4</v>
      </c>
      <c r="AB533" s="109">
        <v>3</v>
      </c>
      <c r="AC533" s="109">
        <v>2</v>
      </c>
      <c r="AD533" s="109">
        <v>3</v>
      </c>
      <c r="AE533" s="109">
        <v>3</v>
      </c>
      <c r="AF533" s="109">
        <v>3</v>
      </c>
      <c r="AG533" s="13"/>
      <c r="AH533" s="13"/>
    </row>
    <row r="534" spans="1:34" ht="12.75" customHeight="1">
      <c r="A534" s="10" t="s">
        <v>274</v>
      </c>
      <c r="B534" s="11">
        <f>AVERAGE(E534:AE534)</f>
        <v>5.0740740740740744</v>
      </c>
      <c r="C534" s="2">
        <f>MIN(E534:AE534)</f>
        <v>2</v>
      </c>
      <c r="D534" s="12">
        <f>MAX(E534:AE534)</f>
        <v>10</v>
      </c>
      <c r="E534" s="13">
        <v>3</v>
      </c>
      <c r="F534" s="109">
        <v>7</v>
      </c>
      <c r="G534" s="13">
        <v>3</v>
      </c>
      <c r="H534" s="109">
        <v>5</v>
      </c>
      <c r="I534" s="109">
        <v>3</v>
      </c>
      <c r="J534" s="109">
        <v>6</v>
      </c>
      <c r="K534" s="109">
        <v>6</v>
      </c>
      <c r="L534" s="109">
        <v>6</v>
      </c>
      <c r="M534" s="109">
        <v>8</v>
      </c>
      <c r="N534" s="109">
        <v>7</v>
      </c>
      <c r="O534" s="109">
        <v>6</v>
      </c>
      <c r="P534" s="109">
        <v>2</v>
      </c>
      <c r="Q534" s="109">
        <v>10</v>
      </c>
      <c r="R534" s="109">
        <v>7</v>
      </c>
      <c r="S534" s="109">
        <v>3</v>
      </c>
      <c r="T534" s="109">
        <v>9</v>
      </c>
      <c r="U534" s="109">
        <v>6</v>
      </c>
      <c r="V534" s="109">
        <v>7</v>
      </c>
      <c r="W534" s="109">
        <v>4</v>
      </c>
      <c r="X534" s="109">
        <v>9</v>
      </c>
      <c r="Y534" s="109">
        <v>2</v>
      </c>
      <c r="Z534" s="109">
        <v>3</v>
      </c>
      <c r="AA534" s="109">
        <v>4</v>
      </c>
      <c r="AB534" s="109">
        <v>3</v>
      </c>
      <c r="AC534" s="109">
        <v>2</v>
      </c>
      <c r="AD534" s="109">
        <v>3</v>
      </c>
      <c r="AE534" s="109">
        <v>3</v>
      </c>
      <c r="AF534" s="109">
        <v>3</v>
      </c>
      <c r="AG534" s="13"/>
      <c r="AH534" s="13"/>
    </row>
    <row r="535" spans="1:34" ht="12.75" customHeight="1">
      <c r="A535" s="10" t="s">
        <v>275</v>
      </c>
      <c r="B535" s="11">
        <f>AVERAGE(E535:AE535)</f>
        <v>5.2962962962962967</v>
      </c>
      <c r="C535" s="2">
        <f>MIN(E535:AE535)</f>
        <v>2</v>
      </c>
      <c r="D535" s="12">
        <f>MAX(E535:AE535)</f>
        <v>10</v>
      </c>
      <c r="E535" s="13">
        <v>3</v>
      </c>
      <c r="F535" s="109">
        <v>7</v>
      </c>
      <c r="G535" s="13">
        <v>3</v>
      </c>
      <c r="H535" s="109">
        <v>5</v>
      </c>
      <c r="I535" s="109">
        <v>4</v>
      </c>
      <c r="J535" s="109">
        <v>6</v>
      </c>
      <c r="K535" s="109">
        <v>6</v>
      </c>
      <c r="L535" s="109">
        <v>6</v>
      </c>
      <c r="M535" s="109">
        <v>8</v>
      </c>
      <c r="N535" s="109">
        <v>8</v>
      </c>
      <c r="O535" s="109">
        <v>6</v>
      </c>
      <c r="P535" s="109">
        <v>3</v>
      </c>
      <c r="Q535" s="109">
        <v>10</v>
      </c>
      <c r="R535" s="109">
        <v>7</v>
      </c>
      <c r="S535" s="109">
        <v>3</v>
      </c>
      <c r="T535" s="109">
        <v>9</v>
      </c>
      <c r="U535" s="109">
        <v>7</v>
      </c>
      <c r="V535" s="109">
        <v>8</v>
      </c>
      <c r="W535" s="109">
        <v>4</v>
      </c>
      <c r="X535" s="109">
        <v>9</v>
      </c>
      <c r="Y535" s="109">
        <v>2</v>
      </c>
      <c r="Z535" s="109">
        <v>3</v>
      </c>
      <c r="AA535" s="109">
        <v>4</v>
      </c>
      <c r="AB535" s="109">
        <v>3</v>
      </c>
      <c r="AC535" s="109">
        <v>3</v>
      </c>
      <c r="AD535" s="109">
        <v>3</v>
      </c>
      <c r="AE535" s="109">
        <v>3</v>
      </c>
      <c r="AF535" s="109">
        <v>3</v>
      </c>
      <c r="AG535" s="13"/>
      <c r="AH535" s="13"/>
    </row>
    <row r="536" spans="1:34" ht="12.75" customHeight="1">
      <c r="A536" s="10" t="s">
        <v>276</v>
      </c>
      <c r="B536" s="11">
        <f>AVERAGE(E536:AE536)</f>
        <v>5.4814814814814818</v>
      </c>
      <c r="C536" s="2">
        <f>MIN(E536:AE536)</f>
        <v>2</v>
      </c>
      <c r="D536" s="12">
        <f>MAX(E536:AE536)</f>
        <v>10</v>
      </c>
      <c r="E536" s="13">
        <v>3</v>
      </c>
      <c r="F536" s="109">
        <v>7</v>
      </c>
      <c r="G536" s="13">
        <v>3</v>
      </c>
      <c r="H536" s="109">
        <v>5</v>
      </c>
      <c r="I536" s="109">
        <v>4</v>
      </c>
      <c r="J536" s="109">
        <v>7</v>
      </c>
      <c r="K536" s="109">
        <v>6</v>
      </c>
      <c r="L536" s="109">
        <v>6</v>
      </c>
      <c r="M536" s="109">
        <v>8</v>
      </c>
      <c r="N536" s="109">
        <v>9</v>
      </c>
      <c r="O536" s="109">
        <v>6</v>
      </c>
      <c r="P536" s="109">
        <v>4</v>
      </c>
      <c r="Q536" s="109">
        <v>10</v>
      </c>
      <c r="R536" s="109">
        <v>7</v>
      </c>
      <c r="S536" s="109">
        <v>4</v>
      </c>
      <c r="T536" s="109">
        <v>9</v>
      </c>
      <c r="U536" s="109">
        <v>7</v>
      </c>
      <c r="V536" s="109">
        <v>8</v>
      </c>
      <c r="W536" s="109">
        <v>5</v>
      </c>
      <c r="X536" s="109">
        <v>9</v>
      </c>
      <c r="Y536" s="109">
        <v>2</v>
      </c>
      <c r="Z536" s="109">
        <v>3</v>
      </c>
      <c r="AA536" s="109">
        <v>4</v>
      </c>
      <c r="AB536" s="109">
        <v>3</v>
      </c>
      <c r="AC536" s="109">
        <v>3</v>
      </c>
      <c r="AD536" s="109">
        <v>3</v>
      </c>
      <c r="AE536" s="109">
        <v>3</v>
      </c>
      <c r="AF536" s="109">
        <v>3</v>
      </c>
      <c r="AG536" s="13"/>
      <c r="AH536" s="13"/>
    </row>
    <row r="537" spans="1:34" ht="12.75" customHeight="1">
      <c r="A537" s="10" t="s">
        <v>277</v>
      </c>
      <c r="B537" s="11">
        <f>AVERAGE(E537:AE537)</f>
        <v>5.5925925925925926</v>
      </c>
      <c r="C537" s="2">
        <f>MIN(E537:AE537)</f>
        <v>3</v>
      </c>
      <c r="D537" s="12">
        <f>MAX(E537:AE537)</f>
        <v>10</v>
      </c>
      <c r="E537" s="13">
        <v>3</v>
      </c>
      <c r="F537" s="109">
        <v>7</v>
      </c>
      <c r="G537" s="109">
        <v>3</v>
      </c>
      <c r="H537" s="109">
        <v>6</v>
      </c>
      <c r="I537" s="109">
        <v>4</v>
      </c>
      <c r="J537" s="109">
        <v>7</v>
      </c>
      <c r="K537" s="109">
        <v>6</v>
      </c>
      <c r="L537" s="109">
        <v>6</v>
      </c>
      <c r="M537" s="109">
        <v>8</v>
      </c>
      <c r="N537" s="109">
        <v>9</v>
      </c>
      <c r="O537" s="109">
        <v>6</v>
      </c>
      <c r="P537" s="109">
        <v>4</v>
      </c>
      <c r="Q537" s="109">
        <v>10</v>
      </c>
      <c r="R537" s="109">
        <v>7</v>
      </c>
      <c r="S537" s="109">
        <v>4</v>
      </c>
      <c r="T537" s="109">
        <v>9</v>
      </c>
      <c r="U537" s="109">
        <v>7</v>
      </c>
      <c r="V537" s="109">
        <v>8</v>
      </c>
      <c r="W537" s="109">
        <v>5</v>
      </c>
      <c r="X537" s="109">
        <v>9</v>
      </c>
      <c r="Y537" s="109">
        <v>3</v>
      </c>
      <c r="Z537" s="109">
        <v>3</v>
      </c>
      <c r="AA537" s="109">
        <v>4</v>
      </c>
      <c r="AB537" s="109">
        <v>3</v>
      </c>
      <c r="AC537" s="109">
        <v>4</v>
      </c>
      <c r="AD537" s="109">
        <v>3</v>
      </c>
      <c r="AE537" s="109">
        <v>3</v>
      </c>
      <c r="AF537" s="109">
        <v>3</v>
      </c>
      <c r="AG537" s="13"/>
      <c r="AH537" s="13"/>
    </row>
    <row r="538" spans="1:34" ht="12.75" customHeight="1">
      <c r="A538" s="10" t="s">
        <v>278</v>
      </c>
      <c r="B538" s="11">
        <f>AVERAGE(E538:AE538)</f>
        <v>5.7037037037037033</v>
      </c>
      <c r="C538" s="2">
        <f>MIN(E538:AE538)</f>
        <v>3</v>
      </c>
      <c r="D538" s="12">
        <f>MAX(E538:AE538)</f>
        <v>10</v>
      </c>
      <c r="E538" s="13">
        <v>3</v>
      </c>
      <c r="F538" s="111">
        <v>7</v>
      </c>
      <c r="G538" s="109">
        <v>3</v>
      </c>
      <c r="H538" s="109">
        <v>6</v>
      </c>
      <c r="I538" s="109">
        <v>4</v>
      </c>
      <c r="J538" s="109">
        <v>8</v>
      </c>
      <c r="K538" s="109">
        <v>6</v>
      </c>
      <c r="L538" s="109">
        <v>6</v>
      </c>
      <c r="M538" s="109">
        <v>8</v>
      </c>
      <c r="N538" s="109">
        <v>9</v>
      </c>
      <c r="O538" s="109">
        <v>7</v>
      </c>
      <c r="P538" s="109">
        <v>4</v>
      </c>
      <c r="Q538" s="109">
        <v>10</v>
      </c>
      <c r="R538" s="109">
        <v>7</v>
      </c>
      <c r="S538" s="109">
        <v>4</v>
      </c>
      <c r="T538" s="109">
        <v>10</v>
      </c>
      <c r="U538" s="109">
        <v>7</v>
      </c>
      <c r="V538" s="109">
        <v>8</v>
      </c>
      <c r="W538" s="109">
        <v>5</v>
      </c>
      <c r="X538" s="109">
        <v>9</v>
      </c>
      <c r="Y538" s="109">
        <v>3</v>
      </c>
      <c r="Z538" s="109">
        <v>3</v>
      </c>
      <c r="AA538" s="109">
        <v>4</v>
      </c>
      <c r="AB538" s="109">
        <v>3</v>
      </c>
      <c r="AC538" s="109">
        <v>4</v>
      </c>
      <c r="AD538" s="109">
        <v>3</v>
      </c>
      <c r="AE538" s="109">
        <v>3</v>
      </c>
      <c r="AF538" s="109">
        <v>3</v>
      </c>
      <c r="AG538" s="13"/>
      <c r="AH538" s="13"/>
    </row>
    <row r="539" spans="1:34" ht="12.75" customHeight="1">
      <c r="A539" s="10" t="s">
        <v>279</v>
      </c>
      <c r="B539" s="11">
        <f>AVERAGE(E539:AE539)</f>
        <v>5.8148148148148149</v>
      </c>
      <c r="C539" s="2">
        <f>MIN(E539:AE539)</f>
        <v>3</v>
      </c>
      <c r="D539" s="12">
        <f>MAX(E539:AE539)</f>
        <v>10</v>
      </c>
      <c r="E539" s="13">
        <v>3</v>
      </c>
      <c r="F539" s="109">
        <v>7</v>
      </c>
      <c r="G539" s="109">
        <v>3</v>
      </c>
      <c r="H539" s="109">
        <v>6</v>
      </c>
      <c r="I539" s="109">
        <v>5</v>
      </c>
      <c r="J539" s="109">
        <v>8</v>
      </c>
      <c r="K539" s="109">
        <v>6</v>
      </c>
      <c r="L539" s="109">
        <v>6</v>
      </c>
      <c r="M539" s="109">
        <v>9</v>
      </c>
      <c r="N539" s="109">
        <v>9</v>
      </c>
      <c r="O539" s="109">
        <v>7</v>
      </c>
      <c r="P539" s="109">
        <v>4</v>
      </c>
      <c r="Q539" s="109">
        <v>10</v>
      </c>
      <c r="R539" s="109">
        <v>7</v>
      </c>
      <c r="S539" s="109">
        <v>4</v>
      </c>
      <c r="T539" s="109">
        <v>10</v>
      </c>
      <c r="U539" s="109">
        <v>7</v>
      </c>
      <c r="V539" s="109">
        <v>8</v>
      </c>
      <c r="W539" s="109">
        <v>5</v>
      </c>
      <c r="X539" s="109">
        <v>9</v>
      </c>
      <c r="Y539" s="109">
        <v>3</v>
      </c>
      <c r="Z539" s="109">
        <v>3</v>
      </c>
      <c r="AA539" s="109">
        <v>4</v>
      </c>
      <c r="AB539" s="109">
        <v>4</v>
      </c>
      <c r="AC539" s="109">
        <v>4</v>
      </c>
      <c r="AD539" s="109">
        <v>3</v>
      </c>
      <c r="AE539" s="109">
        <v>3</v>
      </c>
      <c r="AF539" s="109">
        <v>3</v>
      </c>
      <c r="AG539" s="13"/>
      <c r="AH539" s="13"/>
    </row>
    <row r="540" spans="1:34" ht="12.75" customHeight="1">
      <c r="A540" s="10" t="s">
        <v>280</v>
      </c>
      <c r="B540" s="11">
        <f>AVERAGE(E540:AE540)</f>
        <v>6</v>
      </c>
      <c r="C540" s="2">
        <f>MIN(E540:AE540)</f>
        <v>3</v>
      </c>
      <c r="D540" s="12">
        <f>MAX(E540:AE540)</f>
        <v>10</v>
      </c>
      <c r="E540" s="13">
        <v>3</v>
      </c>
      <c r="F540" s="109">
        <v>8</v>
      </c>
      <c r="G540" s="109">
        <v>3</v>
      </c>
      <c r="H540" s="109">
        <v>6</v>
      </c>
      <c r="I540" s="109">
        <v>6</v>
      </c>
      <c r="J540" s="109">
        <v>8</v>
      </c>
      <c r="K540" s="109">
        <v>6</v>
      </c>
      <c r="L540" s="109">
        <v>6</v>
      </c>
      <c r="M540" s="109">
        <v>9</v>
      </c>
      <c r="N540" s="109">
        <v>9</v>
      </c>
      <c r="O540" s="109">
        <v>7</v>
      </c>
      <c r="P540" s="109">
        <v>4</v>
      </c>
      <c r="Q540" s="109">
        <v>10</v>
      </c>
      <c r="R540" s="109">
        <v>7</v>
      </c>
      <c r="S540" s="109">
        <v>4</v>
      </c>
      <c r="T540" s="109">
        <v>10</v>
      </c>
      <c r="U540" s="109">
        <v>8</v>
      </c>
      <c r="V540" s="109">
        <v>9</v>
      </c>
      <c r="W540" s="109">
        <v>5</v>
      </c>
      <c r="X540" s="109">
        <v>9</v>
      </c>
      <c r="Y540" s="109">
        <v>3</v>
      </c>
      <c r="Z540" s="109">
        <v>3</v>
      </c>
      <c r="AA540" s="109">
        <v>4</v>
      </c>
      <c r="AB540" s="109">
        <v>5</v>
      </c>
      <c r="AC540" s="109">
        <v>4</v>
      </c>
      <c r="AD540" s="109">
        <v>3</v>
      </c>
      <c r="AE540" s="109">
        <v>3</v>
      </c>
      <c r="AF540" s="109">
        <v>3</v>
      </c>
      <c r="AG540" s="13"/>
      <c r="AH540" s="13"/>
    </row>
    <row r="541" spans="1:34" ht="12.75" customHeight="1">
      <c r="A541" s="10" t="s">
        <v>281</v>
      </c>
      <c r="B541" s="11">
        <f>AVERAGE(E541:AE541)</f>
        <v>6.1111111111111107</v>
      </c>
      <c r="C541" s="2">
        <f>MIN(E541:AE541)</f>
        <v>3</v>
      </c>
      <c r="D541" s="12">
        <f>MAX(E541:AE541)</f>
        <v>10</v>
      </c>
      <c r="E541" s="13">
        <v>3</v>
      </c>
      <c r="F541" s="109">
        <v>9</v>
      </c>
      <c r="G541" s="109">
        <v>3</v>
      </c>
      <c r="H541" s="109">
        <v>6</v>
      </c>
      <c r="I541" s="109">
        <v>6</v>
      </c>
      <c r="J541" s="109">
        <v>8</v>
      </c>
      <c r="K541" s="109">
        <v>7</v>
      </c>
      <c r="L541" s="109">
        <v>6</v>
      </c>
      <c r="M541" s="109">
        <v>9</v>
      </c>
      <c r="N541" s="109">
        <v>9</v>
      </c>
      <c r="O541" s="109">
        <v>7</v>
      </c>
      <c r="P541" s="109">
        <v>4</v>
      </c>
      <c r="Q541" s="109">
        <v>10</v>
      </c>
      <c r="R541" s="109">
        <v>7</v>
      </c>
      <c r="S541" s="109">
        <v>4</v>
      </c>
      <c r="T541" s="109">
        <v>10</v>
      </c>
      <c r="U541" s="109">
        <v>9</v>
      </c>
      <c r="V541" s="109">
        <v>9</v>
      </c>
      <c r="W541" s="109">
        <v>5</v>
      </c>
      <c r="X541" s="109">
        <v>9</v>
      </c>
      <c r="Y541" s="109">
        <v>3</v>
      </c>
      <c r="Z541" s="109">
        <v>3</v>
      </c>
      <c r="AA541" s="109">
        <v>4</v>
      </c>
      <c r="AB541" s="109">
        <v>5</v>
      </c>
      <c r="AC541" s="109">
        <v>4</v>
      </c>
      <c r="AD541" s="109">
        <v>3</v>
      </c>
      <c r="AE541" s="109">
        <v>3</v>
      </c>
      <c r="AF541" s="109">
        <v>3</v>
      </c>
      <c r="AG541" s="13"/>
      <c r="AH541" s="13"/>
    </row>
    <row r="542" spans="1:34" ht="12.75" customHeight="1">
      <c r="A542" s="10" t="s">
        <v>282</v>
      </c>
      <c r="B542" s="11">
        <f>AVERAGE(E542:AE542)</f>
        <v>6.2222222222222223</v>
      </c>
      <c r="C542" s="2">
        <f>MIN(E542:AE542)</f>
        <v>3</v>
      </c>
      <c r="D542" s="12">
        <f>MAX(E542:AE542)</f>
        <v>10</v>
      </c>
      <c r="E542" s="13">
        <v>3</v>
      </c>
      <c r="F542" s="109">
        <v>9</v>
      </c>
      <c r="G542" s="109">
        <v>3</v>
      </c>
      <c r="H542" s="109">
        <v>7</v>
      </c>
      <c r="I542" s="109">
        <v>6</v>
      </c>
      <c r="J542" s="109">
        <v>8</v>
      </c>
      <c r="K542" s="109">
        <v>7</v>
      </c>
      <c r="L542" s="109">
        <v>6</v>
      </c>
      <c r="M542" s="109">
        <v>9</v>
      </c>
      <c r="N542" s="109">
        <v>9</v>
      </c>
      <c r="O542" s="109">
        <v>8</v>
      </c>
      <c r="P542" s="109">
        <v>4</v>
      </c>
      <c r="Q542" s="109">
        <v>10</v>
      </c>
      <c r="R542" s="109">
        <v>7</v>
      </c>
      <c r="S542" s="109">
        <v>4</v>
      </c>
      <c r="T542" s="109">
        <v>10</v>
      </c>
      <c r="U542" s="109">
        <v>9</v>
      </c>
      <c r="V542" s="109">
        <v>9</v>
      </c>
      <c r="W542" s="109">
        <v>5</v>
      </c>
      <c r="X542" s="109">
        <v>9</v>
      </c>
      <c r="Y542" s="109">
        <v>3</v>
      </c>
      <c r="Z542" s="109">
        <v>3</v>
      </c>
      <c r="AA542" s="109">
        <v>4</v>
      </c>
      <c r="AB542" s="109">
        <v>5</v>
      </c>
      <c r="AC542" s="109">
        <v>4</v>
      </c>
      <c r="AD542" s="109">
        <v>3</v>
      </c>
      <c r="AE542" s="109">
        <v>4</v>
      </c>
      <c r="AF542" s="109">
        <v>3</v>
      </c>
      <c r="AG542" s="13"/>
      <c r="AH542" s="13"/>
    </row>
    <row r="543" spans="1:34" ht="12.75" customHeight="1">
      <c r="A543" s="10" t="s">
        <v>283</v>
      </c>
      <c r="B543" s="11">
        <f>AVERAGE(E543:AE543)</f>
        <v>6.4074074074074074</v>
      </c>
      <c r="C543" s="2">
        <f>MIN(E543:AE543)</f>
        <v>3</v>
      </c>
      <c r="D543" s="12">
        <f>MAX(E543:AE543)</f>
        <v>11</v>
      </c>
      <c r="E543" s="13">
        <v>3</v>
      </c>
      <c r="F543" s="109">
        <v>9</v>
      </c>
      <c r="G543" s="109">
        <v>3</v>
      </c>
      <c r="H543" s="109">
        <v>7</v>
      </c>
      <c r="I543" s="109">
        <v>6</v>
      </c>
      <c r="J543" s="109">
        <v>8</v>
      </c>
      <c r="K543" s="109">
        <v>7</v>
      </c>
      <c r="L543" s="109">
        <v>7</v>
      </c>
      <c r="M543" s="109">
        <v>9</v>
      </c>
      <c r="N543" s="109">
        <v>9</v>
      </c>
      <c r="O543" s="109">
        <v>8</v>
      </c>
      <c r="P543" s="109">
        <v>4</v>
      </c>
      <c r="Q543" s="109">
        <v>11</v>
      </c>
      <c r="R543" s="109">
        <v>8</v>
      </c>
      <c r="S543" s="109">
        <v>4</v>
      </c>
      <c r="T543" s="109">
        <v>10</v>
      </c>
      <c r="U543" s="109">
        <v>9</v>
      </c>
      <c r="V543" s="109">
        <v>10</v>
      </c>
      <c r="W543" s="109">
        <v>6</v>
      </c>
      <c r="X543" s="109">
        <v>9</v>
      </c>
      <c r="Y543" s="109">
        <v>3</v>
      </c>
      <c r="Z543" s="109">
        <v>3</v>
      </c>
      <c r="AA543" s="109">
        <v>4</v>
      </c>
      <c r="AB543" s="109">
        <v>5</v>
      </c>
      <c r="AC543" s="109">
        <v>4</v>
      </c>
      <c r="AD543" s="109">
        <v>3</v>
      </c>
      <c r="AE543" s="109">
        <v>4</v>
      </c>
      <c r="AF543" s="109">
        <v>3</v>
      </c>
      <c r="AG543" s="13"/>
      <c r="AH543" s="13"/>
    </row>
    <row r="544" spans="1:34" ht="12.75" customHeight="1">
      <c r="A544" s="10" t="s">
        <v>284</v>
      </c>
      <c r="B544" s="11">
        <f>AVERAGE(E544:AE544)</f>
        <v>6.5185185185185182</v>
      </c>
      <c r="C544" s="2">
        <f>MIN(E544:AE544)</f>
        <v>3</v>
      </c>
      <c r="D544" s="12">
        <f>MAX(E544:AE544)</f>
        <v>11</v>
      </c>
      <c r="E544" s="13">
        <v>3</v>
      </c>
      <c r="F544" s="109">
        <v>9</v>
      </c>
      <c r="G544" s="109">
        <v>4</v>
      </c>
      <c r="H544" s="109">
        <v>7</v>
      </c>
      <c r="I544" s="109">
        <v>6</v>
      </c>
      <c r="J544" s="109">
        <v>8</v>
      </c>
      <c r="K544" s="109">
        <v>7</v>
      </c>
      <c r="L544" s="109">
        <v>8</v>
      </c>
      <c r="M544" s="109">
        <v>9</v>
      </c>
      <c r="N544" s="109">
        <v>9</v>
      </c>
      <c r="O544" s="109">
        <v>8</v>
      </c>
      <c r="P544" s="109">
        <v>4</v>
      </c>
      <c r="Q544" s="109">
        <v>11</v>
      </c>
      <c r="R544" s="109">
        <v>9</v>
      </c>
      <c r="S544" s="109">
        <v>4</v>
      </c>
      <c r="T544" s="109">
        <v>10</v>
      </c>
      <c r="U544" s="109">
        <v>9</v>
      </c>
      <c r="V544" s="109">
        <v>10</v>
      </c>
      <c r="W544" s="109">
        <v>6</v>
      </c>
      <c r="X544" s="109">
        <v>9</v>
      </c>
      <c r="Y544" s="109">
        <v>3</v>
      </c>
      <c r="Z544" s="109">
        <v>3</v>
      </c>
      <c r="AA544" s="109">
        <v>4</v>
      </c>
      <c r="AB544" s="109">
        <v>5</v>
      </c>
      <c r="AC544" s="109">
        <v>4</v>
      </c>
      <c r="AD544" s="109">
        <v>3</v>
      </c>
      <c r="AE544" s="109">
        <v>4</v>
      </c>
      <c r="AF544" s="109">
        <v>3</v>
      </c>
      <c r="AG544" s="13"/>
      <c r="AH544" s="13"/>
    </row>
    <row r="545" spans="1:34" ht="12.75" customHeight="1">
      <c r="A545" s="10" t="s">
        <v>285</v>
      </c>
      <c r="B545" s="11">
        <f>AVERAGE(E545:AE545)</f>
        <v>6.5185185185185182</v>
      </c>
      <c r="C545" s="2">
        <f>MIN(E545:AE545)</f>
        <v>3</v>
      </c>
      <c r="D545" s="12">
        <f>MAX(E545:AE545)</f>
        <v>11</v>
      </c>
      <c r="E545" s="13">
        <v>3</v>
      </c>
      <c r="F545" s="109">
        <v>9</v>
      </c>
      <c r="G545" s="109">
        <v>4</v>
      </c>
      <c r="H545" s="109">
        <v>7</v>
      </c>
      <c r="I545" s="109">
        <v>6</v>
      </c>
      <c r="J545" s="109">
        <v>8</v>
      </c>
      <c r="K545" s="109">
        <v>7</v>
      </c>
      <c r="L545" s="109">
        <v>8</v>
      </c>
      <c r="M545" s="109">
        <v>9</v>
      </c>
      <c r="N545" s="109">
        <v>9</v>
      </c>
      <c r="O545" s="109">
        <v>8</v>
      </c>
      <c r="P545" s="109">
        <v>4</v>
      </c>
      <c r="Q545" s="109">
        <v>11</v>
      </c>
      <c r="R545" s="109">
        <v>9</v>
      </c>
      <c r="S545" s="109">
        <v>4</v>
      </c>
      <c r="T545" s="109">
        <v>10</v>
      </c>
      <c r="U545" s="109">
        <v>9</v>
      </c>
      <c r="V545" s="109">
        <v>10</v>
      </c>
      <c r="W545" s="109">
        <v>6</v>
      </c>
      <c r="X545" s="109">
        <v>9</v>
      </c>
      <c r="Y545" s="109">
        <v>3</v>
      </c>
      <c r="Z545" s="109">
        <v>3</v>
      </c>
      <c r="AA545" s="109">
        <v>4</v>
      </c>
      <c r="AB545" s="109">
        <v>5</v>
      </c>
      <c r="AC545" s="109">
        <v>4</v>
      </c>
      <c r="AD545" s="109">
        <v>3</v>
      </c>
      <c r="AE545" s="109">
        <v>4</v>
      </c>
      <c r="AF545" s="109">
        <v>3</v>
      </c>
      <c r="AG545" s="13"/>
      <c r="AH545" s="13"/>
    </row>
    <row r="546" spans="1:34" ht="12.75" customHeight="1">
      <c r="A546" s="10" t="s">
        <v>286</v>
      </c>
      <c r="B546" s="11">
        <f>AVERAGE(E546:AE546)</f>
        <v>6.5555555555555554</v>
      </c>
      <c r="C546" s="2">
        <f>MIN(E546:AE546)</f>
        <v>3</v>
      </c>
      <c r="D546" s="12">
        <f>MAX(E546:AE546)</f>
        <v>11</v>
      </c>
      <c r="E546" s="13">
        <v>3</v>
      </c>
      <c r="F546" s="109">
        <v>9</v>
      </c>
      <c r="G546" s="109">
        <v>4</v>
      </c>
      <c r="H546" s="109">
        <v>7</v>
      </c>
      <c r="I546" s="109">
        <v>6</v>
      </c>
      <c r="J546" s="109">
        <v>8</v>
      </c>
      <c r="K546" s="109">
        <v>7</v>
      </c>
      <c r="L546" s="109">
        <v>9</v>
      </c>
      <c r="M546" s="109">
        <v>9</v>
      </c>
      <c r="N546" s="109">
        <v>9</v>
      </c>
      <c r="O546" s="109">
        <v>8</v>
      </c>
      <c r="P546" s="109">
        <v>4</v>
      </c>
      <c r="Q546" s="109">
        <v>11</v>
      </c>
      <c r="R546" s="109">
        <v>9</v>
      </c>
      <c r="S546" s="109">
        <v>4</v>
      </c>
      <c r="T546" s="109">
        <v>10</v>
      </c>
      <c r="U546" s="109">
        <v>9</v>
      </c>
      <c r="V546" s="109">
        <v>10</v>
      </c>
      <c r="W546" s="109">
        <v>6</v>
      </c>
      <c r="X546" s="109">
        <v>9</v>
      </c>
      <c r="Y546" s="109">
        <v>3</v>
      </c>
      <c r="Z546" s="109">
        <v>3</v>
      </c>
      <c r="AA546" s="109">
        <v>4</v>
      </c>
      <c r="AB546" s="109">
        <v>5</v>
      </c>
      <c r="AC546" s="109">
        <v>4</v>
      </c>
      <c r="AD546" s="109">
        <v>3</v>
      </c>
      <c r="AE546" s="109">
        <v>4</v>
      </c>
      <c r="AF546" s="109">
        <v>3</v>
      </c>
      <c r="AG546" s="13"/>
      <c r="AH546" s="13"/>
    </row>
    <row r="547" spans="1:34" ht="12.75" customHeight="1">
      <c r="A547" s="10" t="s">
        <v>287</v>
      </c>
      <c r="B547" s="11">
        <f>AVERAGE(E547:AE547)</f>
        <v>6.7407407407407405</v>
      </c>
      <c r="C547" s="2">
        <f>MIN(E547:AE547)</f>
        <v>3</v>
      </c>
      <c r="D547" s="12">
        <f>MAX(E547:AE547)</f>
        <v>11</v>
      </c>
      <c r="E547" s="13">
        <v>3</v>
      </c>
      <c r="F547" s="109">
        <v>9</v>
      </c>
      <c r="G547" s="109">
        <v>4</v>
      </c>
      <c r="H547" s="109">
        <v>8</v>
      </c>
      <c r="I547" s="109">
        <v>6</v>
      </c>
      <c r="J547" s="109">
        <v>8</v>
      </c>
      <c r="K547" s="109">
        <v>7</v>
      </c>
      <c r="L547" s="109">
        <v>10</v>
      </c>
      <c r="M547" s="109">
        <v>9</v>
      </c>
      <c r="N547" s="109">
        <v>9</v>
      </c>
      <c r="O547" s="109">
        <v>8</v>
      </c>
      <c r="P547" s="109">
        <v>4</v>
      </c>
      <c r="Q547" s="109">
        <v>11</v>
      </c>
      <c r="R547" s="109">
        <v>10</v>
      </c>
      <c r="S547" s="109">
        <v>5</v>
      </c>
      <c r="T547" s="109">
        <v>10</v>
      </c>
      <c r="U547" s="109">
        <v>9</v>
      </c>
      <c r="V547" s="109">
        <v>10</v>
      </c>
      <c r="W547" s="109">
        <v>6</v>
      </c>
      <c r="X547" s="109">
        <v>9</v>
      </c>
      <c r="Y547" s="109">
        <v>4</v>
      </c>
      <c r="Z547" s="109">
        <v>3</v>
      </c>
      <c r="AA547" s="109">
        <v>4</v>
      </c>
      <c r="AB547" s="109">
        <v>5</v>
      </c>
      <c r="AC547" s="109">
        <v>4</v>
      </c>
      <c r="AD547" s="109">
        <v>3</v>
      </c>
      <c r="AE547" s="109">
        <v>4</v>
      </c>
      <c r="AF547" s="109">
        <v>3</v>
      </c>
      <c r="AG547" s="13"/>
      <c r="AH547" s="13"/>
    </row>
    <row r="548" spans="1:34" ht="12.75" customHeight="1">
      <c r="A548" s="10" t="s">
        <v>288</v>
      </c>
      <c r="B548" s="11">
        <f>AVERAGE(E548:AE548)</f>
        <v>7.0370370370370372</v>
      </c>
      <c r="C548" s="2">
        <f>MIN(E548:AE548)</f>
        <v>3</v>
      </c>
      <c r="D548" s="12">
        <f>MAX(E548:AE548)</f>
        <v>11</v>
      </c>
      <c r="E548" s="13">
        <v>3</v>
      </c>
      <c r="F548" s="109">
        <v>9</v>
      </c>
      <c r="G548" s="109">
        <v>5</v>
      </c>
      <c r="H548" s="109">
        <v>9</v>
      </c>
      <c r="I548" s="109">
        <v>6</v>
      </c>
      <c r="J548" s="109">
        <v>8</v>
      </c>
      <c r="K548" s="109">
        <v>7</v>
      </c>
      <c r="L548" s="109">
        <v>11</v>
      </c>
      <c r="M548" s="109">
        <v>10</v>
      </c>
      <c r="N548" s="109">
        <v>9</v>
      </c>
      <c r="O548" s="109">
        <v>9</v>
      </c>
      <c r="P548" s="109">
        <v>4</v>
      </c>
      <c r="Q548" s="109">
        <v>11</v>
      </c>
      <c r="R548" s="109">
        <v>11</v>
      </c>
      <c r="S548" s="109">
        <v>6</v>
      </c>
      <c r="T548" s="109">
        <v>10</v>
      </c>
      <c r="U548" s="109">
        <v>9</v>
      </c>
      <c r="V548" s="109">
        <v>10</v>
      </c>
      <c r="W548" s="109">
        <v>6</v>
      </c>
      <c r="X548" s="109">
        <v>9</v>
      </c>
      <c r="Y548" s="109">
        <v>4</v>
      </c>
      <c r="Z548" s="109">
        <v>3</v>
      </c>
      <c r="AA548" s="109">
        <v>5</v>
      </c>
      <c r="AB548" s="109">
        <v>5</v>
      </c>
      <c r="AC548" s="109">
        <v>4</v>
      </c>
      <c r="AD548" s="109">
        <v>3</v>
      </c>
      <c r="AE548" s="109">
        <v>4</v>
      </c>
      <c r="AF548" s="109">
        <v>4</v>
      </c>
      <c r="AG548" s="13"/>
      <c r="AH548" s="13"/>
    </row>
    <row r="549" spans="1:34" ht="12.75" customHeight="1">
      <c r="A549" s="10" t="s">
        <v>289</v>
      </c>
      <c r="B549" s="11">
        <f>AVERAGE(E549:AE549)</f>
        <v>7.2592592592592595</v>
      </c>
      <c r="C549" s="2">
        <f>MIN(E549:AE549)</f>
        <v>3</v>
      </c>
      <c r="D549" s="12">
        <f>MAX(E549:AE549)</f>
        <v>12</v>
      </c>
      <c r="E549" s="13">
        <v>3</v>
      </c>
      <c r="F549" s="109">
        <v>9</v>
      </c>
      <c r="G549" s="109">
        <v>5</v>
      </c>
      <c r="H549" s="109">
        <v>9</v>
      </c>
      <c r="I549" s="109">
        <v>6</v>
      </c>
      <c r="J549" s="109">
        <v>8</v>
      </c>
      <c r="K549" s="109">
        <v>8</v>
      </c>
      <c r="L549" s="109">
        <v>11</v>
      </c>
      <c r="M549" s="109">
        <v>10</v>
      </c>
      <c r="N549" s="109">
        <v>10</v>
      </c>
      <c r="O549" s="109">
        <v>9</v>
      </c>
      <c r="P549" s="109">
        <v>4</v>
      </c>
      <c r="Q549" s="109">
        <v>12</v>
      </c>
      <c r="R549" s="109">
        <v>11</v>
      </c>
      <c r="S549" s="109">
        <v>6</v>
      </c>
      <c r="T549" s="109">
        <v>10</v>
      </c>
      <c r="U549" s="109">
        <v>9</v>
      </c>
      <c r="V549" s="109">
        <v>10</v>
      </c>
      <c r="W549" s="109">
        <v>7</v>
      </c>
      <c r="X549" s="109">
        <v>9</v>
      </c>
      <c r="Y549" s="109">
        <v>4</v>
      </c>
      <c r="Z549" s="109">
        <v>3</v>
      </c>
      <c r="AA549" s="109">
        <v>6</v>
      </c>
      <c r="AB549" s="109">
        <v>5</v>
      </c>
      <c r="AC549" s="109">
        <v>5</v>
      </c>
      <c r="AD549" s="109">
        <v>3</v>
      </c>
      <c r="AE549" s="109">
        <v>4</v>
      </c>
      <c r="AF549" s="109">
        <v>4</v>
      </c>
      <c r="AG549" s="13"/>
      <c r="AH549" s="13"/>
    </row>
    <row r="550" spans="1:34" ht="12.75" customHeight="1">
      <c r="A550" s="10" t="s">
        <v>290</v>
      </c>
      <c r="B550" s="11">
        <f>AVERAGE(E550:AE550)</f>
        <v>7.4814814814814818</v>
      </c>
      <c r="C550" s="2">
        <f>MIN(E550:AE550)</f>
        <v>3</v>
      </c>
      <c r="D550" s="12">
        <f>MAX(E550:AE550)</f>
        <v>12</v>
      </c>
      <c r="E550" s="13">
        <v>3</v>
      </c>
      <c r="F550" s="109">
        <v>9</v>
      </c>
      <c r="G550" s="109">
        <v>5</v>
      </c>
      <c r="H550" s="109">
        <v>9</v>
      </c>
      <c r="I550" s="109">
        <v>7</v>
      </c>
      <c r="J550" s="109">
        <v>8</v>
      </c>
      <c r="K550" s="109">
        <v>8</v>
      </c>
      <c r="L550" s="109">
        <v>11</v>
      </c>
      <c r="M550" s="109">
        <v>10</v>
      </c>
      <c r="N550" s="109">
        <v>10</v>
      </c>
      <c r="O550" s="109">
        <v>9</v>
      </c>
      <c r="P550" s="109">
        <v>4</v>
      </c>
      <c r="Q550" s="109">
        <v>12</v>
      </c>
      <c r="R550" s="109">
        <v>11</v>
      </c>
      <c r="S550" s="109">
        <v>6</v>
      </c>
      <c r="T550" s="109">
        <v>10</v>
      </c>
      <c r="U550" s="109">
        <v>10</v>
      </c>
      <c r="V550" s="109">
        <v>10</v>
      </c>
      <c r="W550" s="109">
        <v>8</v>
      </c>
      <c r="X550" s="109">
        <v>9</v>
      </c>
      <c r="Y550" s="109">
        <v>4</v>
      </c>
      <c r="Z550" s="109">
        <v>3</v>
      </c>
      <c r="AA550" s="109">
        <v>7</v>
      </c>
      <c r="AB550" s="109">
        <v>5</v>
      </c>
      <c r="AC550" s="109">
        <v>6</v>
      </c>
      <c r="AD550" s="109">
        <v>3</v>
      </c>
      <c r="AE550" s="109">
        <v>5</v>
      </c>
      <c r="AF550" s="109">
        <v>4</v>
      </c>
      <c r="AG550" s="13"/>
      <c r="AH550" s="13"/>
    </row>
    <row r="551" spans="1:34" ht="12.75" customHeight="1">
      <c r="A551" s="10" t="s">
        <v>291</v>
      </c>
      <c r="B551" s="11">
        <f>AVERAGE(E551:AE551)</f>
        <v>7.5555555555555554</v>
      </c>
      <c r="C551" s="2">
        <f>MIN(E551:AE551)</f>
        <v>3</v>
      </c>
      <c r="D551" s="12">
        <f>MAX(E551:AE551)</f>
        <v>12</v>
      </c>
      <c r="E551" s="13">
        <v>3</v>
      </c>
      <c r="F551" s="109">
        <v>9</v>
      </c>
      <c r="G551" s="109">
        <v>5</v>
      </c>
      <c r="H551" s="109">
        <v>9</v>
      </c>
      <c r="I551" s="109">
        <v>7</v>
      </c>
      <c r="J551" s="109">
        <v>8</v>
      </c>
      <c r="K551" s="109">
        <v>8</v>
      </c>
      <c r="L551" s="109">
        <v>11</v>
      </c>
      <c r="M551" s="109">
        <v>10</v>
      </c>
      <c r="N551" s="109">
        <v>10</v>
      </c>
      <c r="O551" s="109">
        <v>9</v>
      </c>
      <c r="P551" s="109">
        <v>4</v>
      </c>
      <c r="Q551" s="109">
        <v>12</v>
      </c>
      <c r="R551" s="109">
        <v>11</v>
      </c>
      <c r="S551" s="109">
        <v>6</v>
      </c>
      <c r="T551" s="109">
        <v>10</v>
      </c>
      <c r="U551" s="109">
        <v>10</v>
      </c>
      <c r="V551" s="109">
        <v>10</v>
      </c>
      <c r="W551" s="109">
        <v>8</v>
      </c>
      <c r="X551" s="109">
        <v>9</v>
      </c>
      <c r="Y551" s="109">
        <v>4</v>
      </c>
      <c r="Z551" s="109">
        <v>3</v>
      </c>
      <c r="AA551" s="109">
        <v>8</v>
      </c>
      <c r="AB551" s="109">
        <v>6</v>
      </c>
      <c r="AC551" s="109">
        <v>6</v>
      </c>
      <c r="AD551" s="109">
        <v>3</v>
      </c>
      <c r="AE551" s="109">
        <v>5</v>
      </c>
      <c r="AF551" s="109">
        <v>4</v>
      </c>
      <c r="AG551" s="13"/>
      <c r="AH551" s="13"/>
    </row>
    <row r="552" spans="1:34" ht="12.75" customHeight="1">
      <c r="A552" s="10" t="s">
        <v>292</v>
      </c>
      <c r="B552" s="11">
        <f>AVERAGE(E552:AE552)</f>
        <v>7.7037037037037033</v>
      </c>
      <c r="C552" s="2">
        <f>MIN(E552:AE552)</f>
        <v>3</v>
      </c>
      <c r="D552" s="12">
        <f>MAX(E552:AE552)</f>
        <v>12</v>
      </c>
      <c r="E552" s="13">
        <v>3</v>
      </c>
      <c r="F552" s="109">
        <v>9</v>
      </c>
      <c r="G552" s="109">
        <v>5</v>
      </c>
      <c r="H552" s="109">
        <v>9</v>
      </c>
      <c r="I552" s="109">
        <v>7</v>
      </c>
      <c r="J552" s="109">
        <v>8</v>
      </c>
      <c r="K552" s="109">
        <v>9</v>
      </c>
      <c r="L552" s="109">
        <v>11</v>
      </c>
      <c r="M552" s="109">
        <v>10</v>
      </c>
      <c r="N552" s="109">
        <v>11</v>
      </c>
      <c r="O552" s="109">
        <v>9</v>
      </c>
      <c r="P552" s="109">
        <v>4</v>
      </c>
      <c r="Q552" s="109">
        <v>12</v>
      </c>
      <c r="R552" s="109">
        <v>11</v>
      </c>
      <c r="S552" s="109">
        <v>6</v>
      </c>
      <c r="T552" s="109">
        <v>11</v>
      </c>
      <c r="U552" s="109">
        <v>10</v>
      </c>
      <c r="V552" s="109">
        <v>11</v>
      </c>
      <c r="W552" s="109">
        <v>8</v>
      </c>
      <c r="X552" s="109">
        <v>9</v>
      </c>
      <c r="Y552" s="109">
        <v>4</v>
      </c>
      <c r="Z552" s="109">
        <v>3</v>
      </c>
      <c r="AA552" s="109">
        <v>8</v>
      </c>
      <c r="AB552" s="109">
        <v>6</v>
      </c>
      <c r="AC552" s="109">
        <v>6</v>
      </c>
      <c r="AD552" s="109">
        <v>3</v>
      </c>
      <c r="AE552" s="109">
        <v>5</v>
      </c>
      <c r="AF552" s="109">
        <v>4</v>
      </c>
      <c r="AG552" s="13"/>
      <c r="AH552" s="13"/>
    </row>
    <row r="553" spans="1:34" ht="12.75" customHeight="1">
      <c r="A553" s="10" t="s">
        <v>293</v>
      </c>
      <c r="B553" s="11">
        <f>AVERAGE(E553:AE553)</f>
        <v>7.7777777777777777</v>
      </c>
      <c r="C553" s="2">
        <f>MIN(E553:AE553)</f>
        <v>3</v>
      </c>
      <c r="D553" s="12">
        <f>MAX(E553:AE553)</f>
        <v>12</v>
      </c>
      <c r="E553" s="13">
        <v>3</v>
      </c>
      <c r="F553" s="109">
        <v>9</v>
      </c>
      <c r="G553" s="109">
        <v>5</v>
      </c>
      <c r="H553" s="109">
        <v>9</v>
      </c>
      <c r="I553" s="109">
        <v>7</v>
      </c>
      <c r="J553" s="109">
        <v>8</v>
      </c>
      <c r="K553" s="109">
        <v>9</v>
      </c>
      <c r="L553" s="109">
        <v>11</v>
      </c>
      <c r="M553" s="109">
        <v>10</v>
      </c>
      <c r="N553" s="109">
        <v>11</v>
      </c>
      <c r="O553" s="109">
        <v>9</v>
      </c>
      <c r="P553" s="109">
        <v>4</v>
      </c>
      <c r="Q553" s="109">
        <v>12</v>
      </c>
      <c r="R553" s="109">
        <v>11</v>
      </c>
      <c r="S553" s="109">
        <v>6</v>
      </c>
      <c r="T553" s="109">
        <v>11</v>
      </c>
      <c r="U553" s="109">
        <v>10</v>
      </c>
      <c r="V553" s="109">
        <v>11</v>
      </c>
      <c r="W553" s="109">
        <v>8</v>
      </c>
      <c r="X553" s="109">
        <v>9</v>
      </c>
      <c r="Y553" s="109">
        <v>4</v>
      </c>
      <c r="Z553" s="109">
        <v>3</v>
      </c>
      <c r="AA553" s="109">
        <v>8</v>
      </c>
      <c r="AB553" s="109">
        <v>6</v>
      </c>
      <c r="AC553" s="109">
        <v>7</v>
      </c>
      <c r="AD553" s="109">
        <v>4</v>
      </c>
      <c r="AE553" s="109">
        <v>5</v>
      </c>
      <c r="AF553" s="109">
        <v>4</v>
      </c>
      <c r="AG553" s="13"/>
      <c r="AH553" s="13"/>
    </row>
    <row r="554" spans="1:34" ht="12.75" customHeight="1">
      <c r="A554" s="10" t="s">
        <v>294</v>
      </c>
      <c r="B554" s="11">
        <f>AVERAGE(E554:AE554)</f>
        <v>8</v>
      </c>
      <c r="C554" s="2">
        <f>MIN(E554:AE554)</f>
        <v>4</v>
      </c>
      <c r="D554" s="12">
        <f>MAX(E554:AE554)</f>
        <v>12</v>
      </c>
      <c r="E554" s="13">
        <v>4</v>
      </c>
      <c r="F554" s="109">
        <v>9</v>
      </c>
      <c r="G554" s="109">
        <v>5</v>
      </c>
      <c r="H554" s="109">
        <v>9</v>
      </c>
      <c r="I554" s="109">
        <v>7</v>
      </c>
      <c r="J554" s="109">
        <v>8</v>
      </c>
      <c r="K554" s="109">
        <v>9</v>
      </c>
      <c r="L554" s="109">
        <v>12</v>
      </c>
      <c r="M554" s="109">
        <v>10</v>
      </c>
      <c r="N554" s="109">
        <v>11</v>
      </c>
      <c r="O554" s="109">
        <v>9</v>
      </c>
      <c r="P554" s="109">
        <v>4</v>
      </c>
      <c r="Q554" s="109">
        <v>12</v>
      </c>
      <c r="R554" s="109">
        <v>11</v>
      </c>
      <c r="S554" s="109">
        <v>6</v>
      </c>
      <c r="T554" s="109">
        <v>11</v>
      </c>
      <c r="U554" s="109">
        <v>10</v>
      </c>
      <c r="V554" s="109">
        <v>11</v>
      </c>
      <c r="W554" s="109">
        <v>8</v>
      </c>
      <c r="X554" s="109">
        <v>9</v>
      </c>
      <c r="Y554" s="109">
        <v>4</v>
      </c>
      <c r="Z554" s="109">
        <v>4</v>
      </c>
      <c r="AA554" s="109">
        <v>8</v>
      </c>
      <c r="AB554" s="109">
        <v>7</v>
      </c>
      <c r="AC554" s="109">
        <v>8</v>
      </c>
      <c r="AD554" s="109">
        <v>5</v>
      </c>
      <c r="AE554" s="109">
        <v>5</v>
      </c>
      <c r="AF554" s="109">
        <v>4</v>
      </c>
      <c r="AG554" s="13"/>
      <c r="AH554" s="13"/>
    </row>
    <row r="555" spans="1:34" ht="12.75" customHeight="1">
      <c r="A555" s="10" t="s">
        <v>295</v>
      </c>
      <c r="B555" s="11">
        <f>AVERAGE(E555:AE555)</f>
        <v>8.1851851851851851</v>
      </c>
      <c r="C555" s="2">
        <f>MIN(E555:AE555)</f>
        <v>4</v>
      </c>
      <c r="D555" s="12">
        <f>MAX(E555:AE555)</f>
        <v>12</v>
      </c>
      <c r="E555" s="13">
        <v>4</v>
      </c>
      <c r="F555" s="109">
        <v>9</v>
      </c>
      <c r="G555" s="109">
        <v>5</v>
      </c>
      <c r="H555" s="109">
        <v>9</v>
      </c>
      <c r="I555" s="109">
        <v>7</v>
      </c>
      <c r="J555" s="109">
        <v>8</v>
      </c>
      <c r="K555" s="109">
        <v>9</v>
      </c>
      <c r="L555" s="109">
        <v>12</v>
      </c>
      <c r="M555" s="109">
        <v>10</v>
      </c>
      <c r="N555" s="109">
        <v>11</v>
      </c>
      <c r="O555" s="109">
        <v>9</v>
      </c>
      <c r="P555" s="109">
        <v>4</v>
      </c>
      <c r="Q555" s="109">
        <v>12</v>
      </c>
      <c r="R555" s="109">
        <v>11</v>
      </c>
      <c r="S555" s="109">
        <v>6</v>
      </c>
      <c r="T555" s="109">
        <v>11</v>
      </c>
      <c r="U555" s="109">
        <v>10</v>
      </c>
      <c r="V555" s="109">
        <v>12</v>
      </c>
      <c r="W555" s="109">
        <v>9</v>
      </c>
      <c r="X555" s="109">
        <v>9</v>
      </c>
      <c r="Y555" s="109">
        <v>4</v>
      </c>
      <c r="Z555" s="109">
        <v>5</v>
      </c>
      <c r="AA555" s="109">
        <v>8</v>
      </c>
      <c r="AB555" s="109">
        <v>8</v>
      </c>
      <c r="AC555" s="109">
        <v>8</v>
      </c>
      <c r="AD555" s="109">
        <v>6</v>
      </c>
      <c r="AE555" s="109">
        <v>5</v>
      </c>
      <c r="AF555" s="109">
        <v>5</v>
      </c>
      <c r="AG555" s="13"/>
      <c r="AH555" s="13"/>
    </row>
    <row r="556" spans="1:34" ht="12.75" customHeight="1">
      <c r="A556" s="10" t="s">
        <v>296</v>
      </c>
      <c r="B556" s="11">
        <f>AVERAGE(E556:AE556)</f>
        <v>8.2222222222222214</v>
      </c>
      <c r="C556" s="2">
        <f>MIN(E556:AE556)</f>
        <v>4</v>
      </c>
      <c r="D556" s="12">
        <f>MAX(E556:AE556)</f>
        <v>12</v>
      </c>
      <c r="E556" s="13">
        <v>4</v>
      </c>
      <c r="F556" s="109">
        <v>9</v>
      </c>
      <c r="G556" s="109">
        <v>5</v>
      </c>
      <c r="H556" s="109">
        <v>9</v>
      </c>
      <c r="I556" s="109">
        <v>7</v>
      </c>
      <c r="J556" s="109">
        <v>8</v>
      </c>
      <c r="K556" s="109">
        <v>9</v>
      </c>
      <c r="L556" s="109">
        <v>12</v>
      </c>
      <c r="M556" s="109">
        <v>10</v>
      </c>
      <c r="N556" s="109">
        <v>11</v>
      </c>
      <c r="O556" s="109">
        <v>9</v>
      </c>
      <c r="P556" s="109">
        <v>4</v>
      </c>
      <c r="Q556" s="109">
        <v>12</v>
      </c>
      <c r="R556" s="109">
        <v>11</v>
      </c>
      <c r="S556" s="109">
        <v>6</v>
      </c>
      <c r="T556" s="109">
        <v>11</v>
      </c>
      <c r="U556" s="109">
        <v>10</v>
      </c>
      <c r="V556" s="109">
        <v>12</v>
      </c>
      <c r="W556" s="109">
        <v>9</v>
      </c>
      <c r="X556" s="109">
        <v>9</v>
      </c>
      <c r="Y556" s="109">
        <v>4</v>
      </c>
      <c r="Z556" s="109">
        <v>5</v>
      </c>
      <c r="AA556" s="109">
        <v>9</v>
      </c>
      <c r="AB556" s="109">
        <v>8</v>
      </c>
      <c r="AC556" s="109">
        <v>8</v>
      </c>
      <c r="AD556" s="109">
        <v>6</v>
      </c>
      <c r="AE556" s="109">
        <v>5</v>
      </c>
      <c r="AF556" s="109">
        <v>6</v>
      </c>
      <c r="AG556" s="13"/>
      <c r="AH556" s="13"/>
    </row>
    <row r="557" spans="1:34" ht="12.75" customHeight="1">
      <c r="A557" s="10" t="s">
        <v>297</v>
      </c>
      <c r="B557" s="11">
        <f>AVERAGE(E557:AE557)</f>
        <v>8.518518518518519</v>
      </c>
      <c r="C557" s="2">
        <f>MIN(E557:AE557)</f>
        <v>4</v>
      </c>
      <c r="D557" s="12">
        <f>MAX(E557:AE557)</f>
        <v>12</v>
      </c>
      <c r="E557" s="13">
        <v>5</v>
      </c>
      <c r="F557" s="109">
        <v>9</v>
      </c>
      <c r="G557" s="109">
        <v>6</v>
      </c>
      <c r="H557" s="109">
        <v>9</v>
      </c>
      <c r="I557" s="109">
        <v>8</v>
      </c>
      <c r="J557" s="109">
        <v>8</v>
      </c>
      <c r="K557" s="109">
        <v>9</v>
      </c>
      <c r="L557" s="109">
        <v>12</v>
      </c>
      <c r="M557" s="109">
        <v>10</v>
      </c>
      <c r="N557" s="109">
        <v>11</v>
      </c>
      <c r="O557" s="109">
        <v>10</v>
      </c>
      <c r="P557" s="109">
        <v>4</v>
      </c>
      <c r="Q557" s="109">
        <v>12</v>
      </c>
      <c r="R557" s="109">
        <v>12</v>
      </c>
      <c r="S557" s="109">
        <v>6</v>
      </c>
      <c r="T557" s="109">
        <v>11</v>
      </c>
      <c r="U557" s="109">
        <v>10</v>
      </c>
      <c r="V557" s="109">
        <v>12</v>
      </c>
      <c r="W557" s="109">
        <v>10</v>
      </c>
      <c r="X557" s="109">
        <v>9</v>
      </c>
      <c r="Y557" s="109">
        <v>4</v>
      </c>
      <c r="Z557" s="109">
        <v>5</v>
      </c>
      <c r="AA557" s="109">
        <v>10</v>
      </c>
      <c r="AB557" s="109">
        <v>8</v>
      </c>
      <c r="AC557" s="109">
        <v>8</v>
      </c>
      <c r="AD557" s="109">
        <v>7</v>
      </c>
      <c r="AE557" s="109">
        <v>5</v>
      </c>
      <c r="AF557" s="109">
        <v>6</v>
      </c>
      <c r="AG557" s="13"/>
      <c r="AH557" s="13"/>
    </row>
    <row r="558" spans="1:34" ht="12.75" customHeight="1">
      <c r="A558" s="10" t="s">
        <v>298</v>
      </c>
      <c r="B558" s="11">
        <f>AVERAGE(E558:AE558)</f>
        <v>8.7037037037037042</v>
      </c>
      <c r="C558" s="2">
        <f>MIN(E558:AE558)</f>
        <v>4</v>
      </c>
      <c r="D558" s="12">
        <f>MAX(E558:AE558)</f>
        <v>13</v>
      </c>
      <c r="E558" s="13">
        <v>5</v>
      </c>
      <c r="F558" s="109">
        <v>9</v>
      </c>
      <c r="G558" s="109">
        <v>6</v>
      </c>
      <c r="H558" s="109">
        <v>9</v>
      </c>
      <c r="I558" s="109">
        <v>9</v>
      </c>
      <c r="J558" s="109">
        <v>9</v>
      </c>
      <c r="K558" s="109">
        <v>10</v>
      </c>
      <c r="L558" s="109">
        <v>12</v>
      </c>
      <c r="M558" s="109">
        <v>10</v>
      </c>
      <c r="N558" s="109">
        <v>11</v>
      </c>
      <c r="O558" s="109">
        <v>10</v>
      </c>
      <c r="P558" s="109">
        <v>4</v>
      </c>
      <c r="Q558" s="109">
        <v>12</v>
      </c>
      <c r="R558" s="110">
        <v>13</v>
      </c>
      <c r="S558" s="109">
        <v>6</v>
      </c>
      <c r="T558" s="109">
        <v>11</v>
      </c>
      <c r="U558" s="109">
        <v>10</v>
      </c>
      <c r="V558" s="109">
        <v>12</v>
      </c>
      <c r="W558" s="109">
        <v>10</v>
      </c>
      <c r="X558" s="109">
        <v>9</v>
      </c>
      <c r="Y558" s="109">
        <v>4</v>
      </c>
      <c r="Z558" s="109">
        <v>5</v>
      </c>
      <c r="AA558" s="109">
        <v>10</v>
      </c>
      <c r="AB558" s="109">
        <v>9</v>
      </c>
      <c r="AC558" s="109">
        <v>8</v>
      </c>
      <c r="AD558" s="109">
        <v>7</v>
      </c>
      <c r="AE558" s="109">
        <v>5</v>
      </c>
      <c r="AF558" s="109">
        <v>7</v>
      </c>
      <c r="AG558" s="13"/>
      <c r="AH558" s="13"/>
    </row>
    <row r="559" spans="1:34" ht="12.75" customHeight="1">
      <c r="A559" s="10" t="s">
        <v>299</v>
      </c>
      <c r="B559" s="11">
        <f>AVERAGE(E559:AE559)</f>
        <v>8.8148148148148149</v>
      </c>
      <c r="C559" s="2">
        <f>MIN(E559:AE559)</f>
        <v>4</v>
      </c>
      <c r="D559" s="12">
        <f>MAX(E559:AE559)</f>
        <v>14</v>
      </c>
      <c r="E559" s="13">
        <v>5</v>
      </c>
      <c r="F559" s="109">
        <v>9</v>
      </c>
      <c r="G559" s="109">
        <v>6</v>
      </c>
      <c r="H559" s="109">
        <v>9</v>
      </c>
      <c r="I559" s="109">
        <v>9</v>
      </c>
      <c r="J559" s="109">
        <v>10</v>
      </c>
      <c r="K559" s="109">
        <v>10</v>
      </c>
      <c r="L559" s="109">
        <v>12</v>
      </c>
      <c r="M559" s="109">
        <v>10</v>
      </c>
      <c r="N559" s="109">
        <v>11</v>
      </c>
      <c r="O559" s="109">
        <v>10</v>
      </c>
      <c r="P559" s="109">
        <v>4</v>
      </c>
      <c r="Q559" s="109">
        <v>12</v>
      </c>
      <c r="R559" s="109">
        <v>14</v>
      </c>
      <c r="S559" s="109">
        <v>6</v>
      </c>
      <c r="T559" s="109">
        <v>11</v>
      </c>
      <c r="U559" s="109">
        <v>10</v>
      </c>
      <c r="V559" s="109">
        <v>12</v>
      </c>
      <c r="W559" s="109">
        <v>10</v>
      </c>
      <c r="X559" s="109">
        <v>9</v>
      </c>
      <c r="Y559" s="109">
        <v>4</v>
      </c>
      <c r="Z559" s="109">
        <v>6</v>
      </c>
      <c r="AA559" s="109">
        <v>10</v>
      </c>
      <c r="AB559" s="109">
        <v>9</v>
      </c>
      <c r="AC559" s="109">
        <v>8</v>
      </c>
      <c r="AD559" s="109">
        <v>7</v>
      </c>
      <c r="AE559" s="109">
        <v>5</v>
      </c>
      <c r="AF559" s="109">
        <v>7</v>
      </c>
      <c r="AG559" s="13"/>
      <c r="AH559" s="13"/>
    </row>
    <row r="560" spans="1:34" ht="12.75" customHeight="1">
      <c r="A560" s="10" t="s">
        <v>300</v>
      </c>
      <c r="B560" s="11">
        <f>AVERAGE(E560:AE560)</f>
        <v>9</v>
      </c>
      <c r="C560" s="2">
        <f>MIN(E560:AE560)</f>
        <v>4</v>
      </c>
      <c r="D560" s="12">
        <f>MAX(E560:AE560)</f>
        <v>15</v>
      </c>
      <c r="E560" s="13">
        <v>5</v>
      </c>
      <c r="F560" s="109">
        <v>9</v>
      </c>
      <c r="G560" s="109">
        <v>6</v>
      </c>
      <c r="H560" s="109">
        <v>9</v>
      </c>
      <c r="I560" s="109">
        <v>9</v>
      </c>
      <c r="J560" s="109">
        <v>11</v>
      </c>
      <c r="K560" s="109">
        <v>10</v>
      </c>
      <c r="L560" s="109">
        <v>12</v>
      </c>
      <c r="M560" s="109">
        <v>10</v>
      </c>
      <c r="N560" s="109">
        <v>12</v>
      </c>
      <c r="O560" s="109">
        <v>11</v>
      </c>
      <c r="P560" s="109">
        <v>4</v>
      </c>
      <c r="Q560" s="109">
        <v>12</v>
      </c>
      <c r="R560" s="109">
        <v>15</v>
      </c>
      <c r="S560" s="109">
        <v>6</v>
      </c>
      <c r="T560" s="109">
        <v>11</v>
      </c>
      <c r="U560" s="109">
        <v>10</v>
      </c>
      <c r="V560" s="109">
        <v>13</v>
      </c>
      <c r="W560" s="109">
        <v>10</v>
      </c>
      <c r="X560" s="109">
        <v>9</v>
      </c>
      <c r="Y560" s="109">
        <v>4</v>
      </c>
      <c r="Z560" s="109">
        <v>6</v>
      </c>
      <c r="AA560" s="109">
        <v>10</v>
      </c>
      <c r="AB560" s="109">
        <v>9</v>
      </c>
      <c r="AC560" s="109">
        <v>8</v>
      </c>
      <c r="AD560" s="109">
        <v>7</v>
      </c>
      <c r="AE560" s="109">
        <v>5</v>
      </c>
      <c r="AF560" s="109">
        <v>7</v>
      </c>
      <c r="AG560" s="13"/>
      <c r="AH560" s="13"/>
    </row>
    <row r="561" spans="1:34" ht="12.75" customHeight="1">
      <c r="A561" s="10" t="s">
        <v>301</v>
      </c>
      <c r="B561" s="11">
        <f>AVERAGE(E561:AE561)</f>
        <v>9.1111111111111107</v>
      </c>
      <c r="C561" s="2">
        <f>MIN(E561:AE561)</f>
        <v>4</v>
      </c>
      <c r="D561" s="12">
        <f>MAX(E561:AE561)</f>
        <v>15</v>
      </c>
      <c r="E561" s="13">
        <v>5</v>
      </c>
      <c r="F561" s="109">
        <v>10</v>
      </c>
      <c r="G561" s="109">
        <v>6</v>
      </c>
      <c r="H561" s="109">
        <v>9</v>
      </c>
      <c r="I561" s="109">
        <v>10</v>
      </c>
      <c r="J561" s="109">
        <v>11</v>
      </c>
      <c r="K561" s="109">
        <v>10</v>
      </c>
      <c r="L561" s="109">
        <v>12</v>
      </c>
      <c r="M561" s="109">
        <v>10</v>
      </c>
      <c r="N561" s="109">
        <v>12</v>
      </c>
      <c r="O561" s="109">
        <v>12</v>
      </c>
      <c r="P561" s="109">
        <v>4</v>
      </c>
      <c r="Q561" s="109">
        <v>12</v>
      </c>
      <c r="R561" s="109">
        <v>15</v>
      </c>
      <c r="S561" s="109">
        <v>6</v>
      </c>
      <c r="T561" s="109">
        <v>11</v>
      </c>
      <c r="U561" s="109">
        <v>10</v>
      </c>
      <c r="V561" s="109">
        <v>13</v>
      </c>
      <c r="W561" s="109">
        <v>10</v>
      </c>
      <c r="X561" s="109">
        <v>9</v>
      </c>
      <c r="Y561" s="109">
        <v>4</v>
      </c>
      <c r="Z561" s="109">
        <v>6</v>
      </c>
      <c r="AA561" s="109">
        <v>10</v>
      </c>
      <c r="AB561" s="109">
        <v>9</v>
      </c>
      <c r="AC561" s="109">
        <v>8</v>
      </c>
      <c r="AD561" s="109">
        <v>7</v>
      </c>
      <c r="AE561" s="109">
        <v>5</v>
      </c>
      <c r="AF561" s="109">
        <v>7</v>
      </c>
      <c r="AG561" s="13"/>
      <c r="AH561" s="13"/>
    </row>
    <row r="562" spans="1:34" ht="12.75" customHeight="1">
      <c r="A562" s="10" t="s">
        <v>302</v>
      </c>
      <c r="B562" s="11">
        <f>AVERAGE(E562:AE562)</f>
        <v>9.2222222222222214</v>
      </c>
      <c r="C562" s="2">
        <f>MIN(E562:AE562)</f>
        <v>4</v>
      </c>
      <c r="D562" s="12">
        <f>MAX(E562:AE562)</f>
        <v>16</v>
      </c>
      <c r="E562" s="13">
        <v>6</v>
      </c>
      <c r="F562" s="109">
        <v>10</v>
      </c>
      <c r="G562" s="109">
        <v>6</v>
      </c>
      <c r="H562" s="109">
        <v>9</v>
      </c>
      <c r="I562" s="109">
        <v>10</v>
      </c>
      <c r="J562" s="109">
        <v>11</v>
      </c>
      <c r="K562" s="109">
        <v>10</v>
      </c>
      <c r="L562" s="109">
        <v>12</v>
      </c>
      <c r="M562" s="109">
        <v>10</v>
      </c>
      <c r="N562" s="109">
        <v>12</v>
      </c>
      <c r="O562" s="109">
        <v>12</v>
      </c>
      <c r="P562" s="109">
        <v>4</v>
      </c>
      <c r="Q562" s="109">
        <v>12</v>
      </c>
      <c r="R562" s="109">
        <v>16</v>
      </c>
      <c r="S562" s="109">
        <v>6</v>
      </c>
      <c r="T562" s="109">
        <v>12</v>
      </c>
      <c r="U562" s="109">
        <v>10</v>
      </c>
      <c r="V562" s="109">
        <v>13</v>
      </c>
      <c r="W562" s="109">
        <v>10</v>
      </c>
      <c r="X562" s="109">
        <v>9</v>
      </c>
      <c r="Y562" s="109">
        <v>4</v>
      </c>
      <c r="Z562" s="109">
        <v>6</v>
      </c>
      <c r="AA562" s="109">
        <v>10</v>
      </c>
      <c r="AB562" s="109">
        <v>9</v>
      </c>
      <c r="AC562" s="109">
        <v>8</v>
      </c>
      <c r="AD562" s="109">
        <v>7</v>
      </c>
      <c r="AE562" s="109">
        <v>5</v>
      </c>
      <c r="AF562" s="109">
        <v>7</v>
      </c>
      <c r="AG562" s="13"/>
      <c r="AH562" s="13"/>
    </row>
    <row r="563" spans="1:34" ht="12.75" customHeight="1">
      <c r="A563" s="10" t="s">
        <v>303</v>
      </c>
      <c r="B563" s="11">
        <f>AVERAGE(E563:AE563)</f>
        <v>9.4444444444444446</v>
      </c>
      <c r="C563" s="2">
        <f>MIN(E563:AE563)</f>
        <v>4</v>
      </c>
      <c r="D563" s="12">
        <f>MAX(E563:AE563)</f>
        <v>16</v>
      </c>
      <c r="E563" s="13">
        <v>7</v>
      </c>
      <c r="F563" s="109">
        <v>10</v>
      </c>
      <c r="G563" s="109">
        <v>6</v>
      </c>
      <c r="H563" s="109">
        <v>10</v>
      </c>
      <c r="I563" s="109">
        <v>10</v>
      </c>
      <c r="J563" s="109">
        <v>11</v>
      </c>
      <c r="K563" s="109">
        <v>10</v>
      </c>
      <c r="L563" s="109">
        <v>13</v>
      </c>
      <c r="M563" s="109">
        <v>10</v>
      </c>
      <c r="N563" s="109">
        <v>12</v>
      </c>
      <c r="O563" s="109">
        <v>12</v>
      </c>
      <c r="P563" s="109">
        <v>4</v>
      </c>
      <c r="Q563" s="109">
        <v>12</v>
      </c>
      <c r="R563" s="109">
        <v>16</v>
      </c>
      <c r="S563" s="109">
        <v>6</v>
      </c>
      <c r="T563" s="109">
        <v>12</v>
      </c>
      <c r="U563" s="109">
        <v>11</v>
      </c>
      <c r="V563" s="109">
        <v>13</v>
      </c>
      <c r="W563" s="109">
        <v>11</v>
      </c>
      <c r="X563" s="109">
        <v>9</v>
      </c>
      <c r="Y563" s="109">
        <v>4</v>
      </c>
      <c r="Z563" s="109">
        <v>6</v>
      </c>
      <c r="AA563" s="109">
        <v>10</v>
      </c>
      <c r="AB563" s="109">
        <v>9</v>
      </c>
      <c r="AC563" s="109">
        <v>8</v>
      </c>
      <c r="AD563" s="109">
        <v>8</v>
      </c>
      <c r="AE563" s="109">
        <v>5</v>
      </c>
      <c r="AF563" s="109">
        <v>7</v>
      </c>
      <c r="AG563" s="13"/>
      <c r="AH563" s="13"/>
    </row>
    <row r="564" spans="1:34" ht="12.75" customHeight="1">
      <c r="A564" s="10" t="s">
        <v>304</v>
      </c>
      <c r="B564" s="11">
        <f>AVERAGE(E564:AE564)</f>
        <v>9.5925925925925934</v>
      </c>
      <c r="C564" s="2">
        <f>MIN(E564:AE564)</f>
        <v>4</v>
      </c>
      <c r="D564" s="12">
        <f>MAX(E564:AE564)</f>
        <v>16</v>
      </c>
      <c r="E564" s="13">
        <v>7</v>
      </c>
      <c r="F564" s="109">
        <v>10</v>
      </c>
      <c r="G564" s="109">
        <v>7</v>
      </c>
      <c r="H564" s="109">
        <v>10</v>
      </c>
      <c r="I564" s="109">
        <v>10</v>
      </c>
      <c r="J564" s="109">
        <v>11</v>
      </c>
      <c r="K564" s="109">
        <v>10</v>
      </c>
      <c r="L564" s="109">
        <v>13</v>
      </c>
      <c r="M564" s="109">
        <v>10</v>
      </c>
      <c r="N564" s="109">
        <v>12</v>
      </c>
      <c r="O564" s="109">
        <v>12</v>
      </c>
      <c r="P564" s="109">
        <v>4</v>
      </c>
      <c r="Q564" s="109">
        <v>13</v>
      </c>
      <c r="R564" s="109">
        <v>16</v>
      </c>
      <c r="S564" s="109">
        <v>6</v>
      </c>
      <c r="T564" s="109">
        <v>12</v>
      </c>
      <c r="U564" s="109">
        <v>12</v>
      </c>
      <c r="V564" s="109">
        <v>13</v>
      </c>
      <c r="W564" s="109">
        <v>12</v>
      </c>
      <c r="X564" s="109">
        <v>9</v>
      </c>
      <c r="Y564" s="109">
        <v>4</v>
      </c>
      <c r="Z564" s="109">
        <v>6</v>
      </c>
      <c r="AA564" s="109">
        <v>10</v>
      </c>
      <c r="AB564" s="109">
        <v>9</v>
      </c>
      <c r="AC564" s="109">
        <v>8</v>
      </c>
      <c r="AD564" s="109">
        <v>8</v>
      </c>
      <c r="AE564" s="109">
        <v>5</v>
      </c>
      <c r="AF564" s="109">
        <v>7</v>
      </c>
      <c r="AG564" s="13"/>
      <c r="AH564" s="13"/>
    </row>
    <row r="565" spans="1:34" ht="12.75" customHeight="1">
      <c r="A565" s="10" t="s">
        <v>305</v>
      </c>
      <c r="B565" s="11">
        <f>AVERAGE(E565:AE565)</f>
        <v>9.8148148148148149</v>
      </c>
      <c r="C565" s="2">
        <f>MIN(E565:AE565)</f>
        <v>4</v>
      </c>
      <c r="D565" s="12">
        <f>MAX(E565:AE565)</f>
        <v>16</v>
      </c>
      <c r="E565" s="13">
        <v>7</v>
      </c>
      <c r="F565" s="109">
        <v>10</v>
      </c>
      <c r="G565" s="109">
        <v>8</v>
      </c>
      <c r="H565" s="109">
        <v>10</v>
      </c>
      <c r="I565" s="109">
        <v>10</v>
      </c>
      <c r="J565" s="109">
        <v>12</v>
      </c>
      <c r="K565" s="109">
        <v>10</v>
      </c>
      <c r="L565" s="109">
        <v>13</v>
      </c>
      <c r="M565" s="109">
        <v>10</v>
      </c>
      <c r="N565" s="109">
        <v>12</v>
      </c>
      <c r="O565" s="109">
        <v>12</v>
      </c>
      <c r="P565" s="109">
        <v>4</v>
      </c>
      <c r="Q565" s="109">
        <v>14</v>
      </c>
      <c r="R565" s="109">
        <v>16</v>
      </c>
      <c r="S565" s="109">
        <v>6</v>
      </c>
      <c r="T565" s="109">
        <v>13</v>
      </c>
      <c r="U565" s="109">
        <v>13</v>
      </c>
      <c r="V565" s="109">
        <v>13</v>
      </c>
      <c r="W565" s="109">
        <v>12</v>
      </c>
      <c r="X565" s="109">
        <v>9</v>
      </c>
      <c r="Y565" s="109">
        <v>4</v>
      </c>
      <c r="Z565" s="109">
        <v>6</v>
      </c>
      <c r="AA565" s="109">
        <v>11</v>
      </c>
      <c r="AB565" s="109">
        <v>9</v>
      </c>
      <c r="AC565" s="109">
        <v>8</v>
      </c>
      <c r="AD565" s="109">
        <v>8</v>
      </c>
      <c r="AE565" s="109">
        <v>5</v>
      </c>
      <c r="AF565" s="109">
        <v>7</v>
      </c>
      <c r="AG565" s="13"/>
      <c r="AH565" s="13"/>
    </row>
    <row r="566" spans="1:34" ht="12.75" customHeight="1">
      <c r="A566" s="10" t="s">
        <v>306</v>
      </c>
      <c r="B566" s="11">
        <f>AVERAGE(E566:AE566)</f>
        <v>9.9259259259259256</v>
      </c>
      <c r="C566" s="2">
        <f>MIN(E566:AE566)</f>
        <v>4</v>
      </c>
      <c r="D566" s="12">
        <f>MAX(E566:AE566)</f>
        <v>16</v>
      </c>
      <c r="E566" s="13">
        <v>7</v>
      </c>
      <c r="F566" s="109">
        <v>10</v>
      </c>
      <c r="G566" s="109">
        <v>8</v>
      </c>
      <c r="H566" s="109">
        <v>10</v>
      </c>
      <c r="I566" s="109">
        <v>10</v>
      </c>
      <c r="J566" s="109">
        <v>12</v>
      </c>
      <c r="K566" s="109">
        <v>10</v>
      </c>
      <c r="L566" s="109">
        <v>13</v>
      </c>
      <c r="M566" s="109">
        <v>11</v>
      </c>
      <c r="N566" s="109">
        <v>12</v>
      </c>
      <c r="O566" s="109">
        <v>12</v>
      </c>
      <c r="P566" s="109">
        <v>4</v>
      </c>
      <c r="Q566" s="109">
        <v>14</v>
      </c>
      <c r="R566" s="109">
        <v>16</v>
      </c>
      <c r="S566" s="109">
        <v>6</v>
      </c>
      <c r="T566" s="109">
        <v>13</v>
      </c>
      <c r="U566" s="109">
        <v>13</v>
      </c>
      <c r="V566" s="109">
        <v>13</v>
      </c>
      <c r="W566" s="109">
        <v>13</v>
      </c>
      <c r="X566" s="109">
        <v>9</v>
      </c>
      <c r="Y566" s="109">
        <v>4</v>
      </c>
      <c r="Z566" s="109">
        <v>6</v>
      </c>
      <c r="AA566" s="109">
        <v>12</v>
      </c>
      <c r="AB566" s="109">
        <v>9</v>
      </c>
      <c r="AC566" s="109">
        <v>8</v>
      </c>
      <c r="AD566" s="109">
        <v>8</v>
      </c>
      <c r="AE566" s="109">
        <v>5</v>
      </c>
      <c r="AF566" s="109">
        <v>7</v>
      </c>
      <c r="AG566" s="13"/>
      <c r="AH566" s="13"/>
    </row>
    <row r="567" spans="1:34" ht="12.75" customHeight="1">
      <c r="A567" s="10" t="s">
        <v>307</v>
      </c>
      <c r="B567" s="11">
        <f>AVERAGE(E567:AE567)</f>
        <v>10.148148148148149</v>
      </c>
      <c r="C567" s="2">
        <f>MIN(E567:AE567)</f>
        <v>4</v>
      </c>
      <c r="D567" s="12">
        <f>MAX(E567:AE567)</f>
        <v>17</v>
      </c>
      <c r="E567" s="109">
        <v>7</v>
      </c>
      <c r="F567" s="109">
        <v>10</v>
      </c>
      <c r="G567" s="109">
        <v>8</v>
      </c>
      <c r="H567" s="109">
        <v>11</v>
      </c>
      <c r="I567" s="109">
        <v>10</v>
      </c>
      <c r="J567" s="109">
        <v>12</v>
      </c>
      <c r="K567" s="109">
        <v>11</v>
      </c>
      <c r="L567" s="109">
        <v>13</v>
      </c>
      <c r="M567" s="109">
        <v>11</v>
      </c>
      <c r="N567" s="109">
        <v>12</v>
      </c>
      <c r="O567" s="109">
        <v>12</v>
      </c>
      <c r="P567" s="109">
        <v>4</v>
      </c>
      <c r="Q567" s="109">
        <v>15</v>
      </c>
      <c r="R567" s="109">
        <v>17</v>
      </c>
      <c r="S567" s="109">
        <v>6</v>
      </c>
      <c r="T567" s="109">
        <v>13</v>
      </c>
      <c r="U567" s="109">
        <v>13</v>
      </c>
      <c r="V567" s="109">
        <v>13</v>
      </c>
      <c r="W567" s="109">
        <v>13</v>
      </c>
      <c r="X567" s="109">
        <v>9</v>
      </c>
      <c r="Y567" s="109">
        <v>4</v>
      </c>
      <c r="Z567" s="109">
        <v>6</v>
      </c>
      <c r="AA567" s="109">
        <v>12</v>
      </c>
      <c r="AB567" s="109">
        <v>9</v>
      </c>
      <c r="AC567" s="109">
        <v>9</v>
      </c>
      <c r="AD567" s="109">
        <v>9</v>
      </c>
      <c r="AE567" s="109">
        <v>5</v>
      </c>
      <c r="AF567" s="109">
        <v>7</v>
      </c>
      <c r="AG567" s="13"/>
      <c r="AH567" s="13"/>
    </row>
    <row r="568" spans="1:34" ht="12.75" customHeight="1">
      <c r="A568" s="10" t="s">
        <v>308</v>
      </c>
      <c r="B568" s="11">
        <f>AVERAGE(E568:AE568)</f>
        <v>10.37037037037037</v>
      </c>
      <c r="C568" s="2">
        <f>MIN(E568:AE568)</f>
        <v>4</v>
      </c>
      <c r="D568" s="12">
        <f>MAX(E568:AE568)</f>
        <v>17</v>
      </c>
      <c r="E568" s="109">
        <v>7</v>
      </c>
      <c r="F568" s="109">
        <v>10</v>
      </c>
      <c r="G568" s="109">
        <v>8</v>
      </c>
      <c r="H568" s="109">
        <v>11</v>
      </c>
      <c r="I568" s="109">
        <v>10</v>
      </c>
      <c r="J568" s="109">
        <v>12</v>
      </c>
      <c r="K568" s="109">
        <v>11</v>
      </c>
      <c r="L568" s="109">
        <v>13</v>
      </c>
      <c r="M568" s="109">
        <v>12</v>
      </c>
      <c r="N568" s="109">
        <v>13</v>
      </c>
      <c r="O568" s="109">
        <v>12</v>
      </c>
      <c r="P568" s="109">
        <v>4</v>
      </c>
      <c r="Q568" s="109">
        <v>16</v>
      </c>
      <c r="R568" s="109">
        <v>17</v>
      </c>
      <c r="S568" s="109">
        <v>6</v>
      </c>
      <c r="T568" s="109">
        <v>14</v>
      </c>
      <c r="U568" s="109">
        <v>13</v>
      </c>
      <c r="V568" s="109">
        <v>13</v>
      </c>
      <c r="W568" s="109">
        <v>13</v>
      </c>
      <c r="X568" s="109">
        <v>9</v>
      </c>
      <c r="Y568" s="109">
        <v>4</v>
      </c>
      <c r="Z568" s="109">
        <v>6</v>
      </c>
      <c r="AA568" s="109">
        <v>13</v>
      </c>
      <c r="AB568" s="109">
        <v>9</v>
      </c>
      <c r="AC568" s="109">
        <v>9</v>
      </c>
      <c r="AD568" s="109">
        <v>10</v>
      </c>
      <c r="AE568" s="109">
        <v>5</v>
      </c>
      <c r="AF568" s="109">
        <v>7</v>
      </c>
      <c r="AG568" s="13"/>
      <c r="AH568" s="13"/>
    </row>
    <row r="569" spans="1:34" ht="12.75" customHeight="1">
      <c r="A569" s="10" t="s">
        <v>309</v>
      </c>
      <c r="B569" s="11">
        <f>AVERAGE(E569:AE569)</f>
        <v>10.481481481481481</v>
      </c>
      <c r="C569" s="2">
        <f>MIN(E569:AE569)</f>
        <v>4</v>
      </c>
      <c r="D569" s="12">
        <f>MAX(E569:AE569)</f>
        <v>18</v>
      </c>
      <c r="E569" s="109">
        <v>7</v>
      </c>
      <c r="F569" s="109">
        <v>10</v>
      </c>
      <c r="G569" s="109">
        <v>8</v>
      </c>
      <c r="H569" s="109">
        <v>11</v>
      </c>
      <c r="I569" s="109">
        <v>10</v>
      </c>
      <c r="J569" s="109">
        <v>12</v>
      </c>
      <c r="K569" s="109">
        <v>11</v>
      </c>
      <c r="L569" s="109">
        <v>14</v>
      </c>
      <c r="M569" s="109">
        <v>12</v>
      </c>
      <c r="N569" s="109">
        <v>13</v>
      </c>
      <c r="O569" s="109">
        <v>12</v>
      </c>
      <c r="P569" s="109">
        <v>4</v>
      </c>
      <c r="Q569" s="109">
        <v>16</v>
      </c>
      <c r="R569" s="109">
        <v>18</v>
      </c>
      <c r="S569" s="109">
        <v>6</v>
      </c>
      <c r="T569" s="109">
        <v>14</v>
      </c>
      <c r="U569" s="109">
        <v>13</v>
      </c>
      <c r="V569" s="109">
        <v>13</v>
      </c>
      <c r="W569" s="109">
        <v>13</v>
      </c>
      <c r="X569" s="109">
        <v>9</v>
      </c>
      <c r="Y569" s="109">
        <v>4</v>
      </c>
      <c r="Z569" s="109">
        <v>6</v>
      </c>
      <c r="AA569" s="109">
        <v>13</v>
      </c>
      <c r="AB569" s="109">
        <v>9</v>
      </c>
      <c r="AC569" s="109">
        <v>9</v>
      </c>
      <c r="AD569" s="109">
        <v>11</v>
      </c>
      <c r="AE569" s="109">
        <v>5</v>
      </c>
      <c r="AF569" s="109">
        <v>7</v>
      </c>
      <c r="AG569" s="13"/>
      <c r="AH569" s="13"/>
    </row>
    <row r="570" spans="1:34" ht="12.75" customHeight="1">
      <c r="A570" s="10" t="s">
        <v>310</v>
      </c>
      <c r="B570" s="11">
        <f>AVERAGE(E570:AE570)</f>
        <v>10.62962962962963</v>
      </c>
      <c r="C570" s="2">
        <f>MIN(E570:AE570)</f>
        <v>4</v>
      </c>
      <c r="D570" s="12">
        <f>MAX(E570:AE570)</f>
        <v>18</v>
      </c>
      <c r="E570" s="109">
        <v>7</v>
      </c>
      <c r="F570" s="109">
        <v>10</v>
      </c>
      <c r="G570" s="109">
        <v>8</v>
      </c>
      <c r="H570" s="109">
        <v>12</v>
      </c>
      <c r="I570" s="109">
        <v>10</v>
      </c>
      <c r="J570" s="109">
        <v>12</v>
      </c>
      <c r="K570" s="109">
        <v>11</v>
      </c>
      <c r="L570" s="109">
        <v>15</v>
      </c>
      <c r="M570" s="109">
        <v>12</v>
      </c>
      <c r="N570" s="109">
        <v>13</v>
      </c>
      <c r="O570" s="109">
        <v>12</v>
      </c>
      <c r="P570" s="109">
        <v>4</v>
      </c>
      <c r="Q570" s="109">
        <v>16</v>
      </c>
      <c r="R570" s="109">
        <v>18</v>
      </c>
      <c r="S570" s="109">
        <v>6</v>
      </c>
      <c r="T570" s="109">
        <v>14</v>
      </c>
      <c r="U570" s="109">
        <v>13</v>
      </c>
      <c r="V570" s="109">
        <v>14</v>
      </c>
      <c r="W570" s="109">
        <v>13</v>
      </c>
      <c r="X570" s="109">
        <v>9</v>
      </c>
      <c r="Y570" s="109">
        <v>4</v>
      </c>
      <c r="Z570" s="109">
        <v>6</v>
      </c>
      <c r="AA570" s="109">
        <v>14</v>
      </c>
      <c r="AB570" s="109">
        <v>9</v>
      </c>
      <c r="AC570" s="109">
        <v>9</v>
      </c>
      <c r="AD570" s="109">
        <v>11</v>
      </c>
      <c r="AE570" s="109">
        <v>5</v>
      </c>
      <c r="AF570" s="109">
        <v>7</v>
      </c>
      <c r="AG570" s="13"/>
      <c r="AH570" s="13"/>
    </row>
    <row r="571" spans="1:34" ht="12.75" customHeight="1">
      <c r="A571" s="10" t="s">
        <v>311</v>
      </c>
      <c r="B571" s="11">
        <f>AVERAGE(E571:AE571)</f>
        <v>10.814814814814815</v>
      </c>
      <c r="C571" s="2">
        <f>MIN(E571:AE571)</f>
        <v>4</v>
      </c>
      <c r="D571" s="12">
        <f>MAX(E571:AE571)</f>
        <v>18</v>
      </c>
      <c r="E571" s="109">
        <v>8</v>
      </c>
      <c r="F571" s="109">
        <v>10</v>
      </c>
      <c r="G571" s="109">
        <v>8</v>
      </c>
      <c r="H571" s="109">
        <v>13</v>
      </c>
      <c r="I571" s="109">
        <v>10</v>
      </c>
      <c r="J571" s="109">
        <v>12</v>
      </c>
      <c r="K571" s="109">
        <v>12</v>
      </c>
      <c r="L571" s="109">
        <v>15</v>
      </c>
      <c r="M571" s="109">
        <v>12</v>
      </c>
      <c r="N571" s="109">
        <v>13</v>
      </c>
      <c r="O571" s="109">
        <v>12</v>
      </c>
      <c r="P571" s="109">
        <v>4</v>
      </c>
      <c r="Q571" s="109">
        <v>16</v>
      </c>
      <c r="R571" s="109">
        <v>18</v>
      </c>
      <c r="S571" s="109">
        <v>6</v>
      </c>
      <c r="T571" s="109">
        <v>15</v>
      </c>
      <c r="U571" s="109">
        <v>13</v>
      </c>
      <c r="V571" s="109">
        <v>14</v>
      </c>
      <c r="W571" s="109">
        <v>13</v>
      </c>
      <c r="X571" s="109">
        <v>9</v>
      </c>
      <c r="Y571" s="109">
        <v>4</v>
      </c>
      <c r="Z571" s="109">
        <v>6</v>
      </c>
      <c r="AA571" s="109">
        <v>14</v>
      </c>
      <c r="AB571" s="109">
        <v>10</v>
      </c>
      <c r="AC571" s="109">
        <v>9</v>
      </c>
      <c r="AD571" s="109">
        <v>11</v>
      </c>
      <c r="AE571" s="109">
        <v>5</v>
      </c>
      <c r="AF571" s="109">
        <v>8</v>
      </c>
      <c r="AG571" s="13"/>
      <c r="AH571" s="13"/>
    </row>
    <row r="572" spans="1:34" ht="12.75" customHeight="1">
      <c r="A572" s="10" t="s">
        <v>312</v>
      </c>
      <c r="B572" s="11">
        <f>AVERAGE(E572:AE572)</f>
        <v>11.074074074074074</v>
      </c>
      <c r="C572" s="2">
        <f>MIN(E572:AE572)</f>
        <v>4</v>
      </c>
      <c r="D572" s="12">
        <f>MAX(E572:AE572)</f>
        <v>19</v>
      </c>
      <c r="E572" s="109">
        <v>8</v>
      </c>
      <c r="F572" s="109">
        <v>10</v>
      </c>
      <c r="G572" s="109">
        <v>9</v>
      </c>
      <c r="H572" s="109">
        <v>13</v>
      </c>
      <c r="I572" s="109">
        <v>10</v>
      </c>
      <c r="J572" s="109">
        <v>12</v>
      </c>
      <c r="K572" s="109">
        <v>13</v>
      </c>
      <c r="L572" s="109">
        <v>15</v>
      </c>
      <c r="M572" s="109">
        <v>12</v>
      </c>
      <c r="N572" s="109">
        <v>13</v>
      </c>
      <c r="O572" s="109">
        <v>12</v>
      </c>
      <c r="P572" s="109">
        <v>5</v>
      </c>
      <c r="Q572" s="109">
        <v>16</v>
      </c>
      <c r="R572" s="109">
        <v>19</v>
      </c>
      <c r="S572" s="109">
        <v>6</v>
      </c>
      <c r="T572" s="109">
        <v>15</v>
      </c>
      <c r="U572" s="109">
        <v>13</v>
      </c>
      <c r="V572" s="109">
        <v>14</v>
      </c>
      <c r="W572" s="109">
        <v>13</v>
      </c>
      <c r="X572" s="109">
        <v>10</v>
      </c>
      <c r="Y572" s="109">
        <v>4</v>
      </c>
      <c r="Z572" s="109">
        <v>6</v>
      </c>
      <c r="AA572" s="109">
        <v>15</v>
      </c>
      <c r="AB572" s="109">
        <v>10</v>
      </c>
      <c r="AC572" s="109">
        <v>9</v>
      </c>
      <c r="AD572" s="109">
        <v>11</v>
      </c>
      <c r="AE572" s="109">
        <v>6</v>
      </c>
      <c r="AF572" s="109">
        <v>8</v>
      </c>
      <c r="AG572" s="13"/>
      <c r="AH572" s="13"/>
    </row>
    <row r="573" spans="1:34" ht="12.75" customHeight="1">
      <c r="A573" s="10" t="s">
        <v>313</v>
      </c>
      <c r="B573" s="11">
        <f>AVERAGE(E573:AE573)</f>
        <v>11.111111111111111</v>
      </c>
      <c r="C573" s="2">
        <f>MIN(E573:AE573)</f>
        <v>4</v>
      </c>
      <c r="D573" s="12">
        <f>MAX(E573:AE573)</f>
        <v>19</v>
      </c>
      <c r="E573" s="109">
        <v>8</v>
      </c>
      <c r="F573" s="109">
        <v>10</v>
      </c>
      <c r="G573" s="109">
        <v>9</v>
      </c>
      <c r="H573" s="109">
        <v>14</v>
      </c>
      <c r="I573" s="109">
        <v>10</v>
      </c>
      <c r="J573" s="109">
        <v>12</v>
      </c>
      <c r="K573" s="109">
        <v>13</v>
      </c>
      <c r="L573" s="109">
        <v>15</v>
      </c>
      <c r="M573" s="109">
        <v>12</v>
      </c>
      <c r="N573" s="109">
        <v>13</v>
      </c>
      <c r="O573" s="109">
        <v>12</v>
      </c>
      <c r="P573" s="109">
        <v>5</v>
      </c>
      <c r="Q573" s="109">
        <v>16</v>
      </c>
      <c r="R573" s="109">
        <v>19</v>
      </c>
      <c r="S573" s="109">
        <v>6</v>
      </c>
      <c r="T573" s="109">
        <v>15</v>
      </c>
      <c r="U573" s="109">
        <v>13</v>
      </c>
      <c r="V573" s="109">
        <v>14</v>
      </c>
      <c r="W573" s="109">
        <v>13</v>
      </c>
      <c r="X573" s="109">
        <v>10</v>
      </c>
      <c r="Y573" s="109">
        <v>4</v>
      </c>
      <c r="Z573" s="109">
        <v>6</v>
      </c>
      <c r="AA573" s="109">
        <v>15</v>
      </c>
      <c r="AB573" s="109">
        <v>10</v>
      </c>
      <c r="AC573" s="109">
        <v>9</v>
      </c>
      <c r="AD573" s="109">
        <v>11</v>
      </c>
      <c r="AE573" s="109">
        <v>6</v>
      </c>
      <c r="AF573" s="109">
        <v>8</v>
      </c>
      <c r="AG573" s="13"/>
      <c r="AH573" s="13"/>
    </row>
    <row r="574" spans="1:34" ht="12.75" customHeight="1">
      <c r="A574" s="10" t="s">
        <v>314</v>
      </c>
      <c r="B574" s="11">
        <f>AVERAGE(E574:AE574)</f>
        <v>11.296296296296296</v>
      </c>
      <c r="C574" s="2">
        <f>MIN(E574:AE574)</f>
        <v>4</v>
      </c>
      <c r="D574" s="12">
        <f>MAX(E574:AE574)</f>
        <v>19</v>
      </c>
      <c r="E574" s="109">
        <v>8</v>
      </c>
      <c r="F574" s="109">
        <v>10</v>
      </c>
      <c r="G574" s="109">
        <v>9</v>
      </c>
      <c r="H574" s="109">
        <v>14</v>
      </c>
      <c r="I574" s="109">
        <v>11</v>
      </c>
      <c r="J574" s="109">
        <v>12</v>
      </c>
      <c r="K574" s="109">
        <v>13</v>
      </c>
      <c r="L574" s="109">
        <v>15</v>
      </c>
      <c r="M574" s="109">
        <v>12</v>
      </c>
      <c r="N574" s="109">
        <v>13</v>
      </c>
      <c r="O574" s="109">
        <v>13</v>
      </c>
      <c r="P574" s="109">
        <v>6</v>
      </c>
      <c r="Q574" s="109">
        <v>16</v>
      </c>
      <c r="R574" s="109">
        <v>19</v>
      </c>
      <c r="S574" s="109">
        <v>6</v>
      </c>
      <c r="T574" s="109">
        <v>16</v>
      </c>
      <c r="U574" s="109">
        <v>13</v>
      </c>
      <c r="V574" s="109">
        <v>15</v>
      </c>
      <c r="W574" s="109">
        <v>13</v>
      </c>
      <c r="X574" s="109">
        <v>10</v>
      </c>
      <c r="Y574" s="109">
        <v>4</v>
      </c>
      <c r="Z574" s="109">
        <v>6</v>
      </c>
      <c r="AA574" s="109">
        <v>15</v>
      </c>
      <c r="AB574" s="109">
        <v>10</v>
      </c>
      <c r="AC574" s="109">
        <v>9</v>
      </c>
      <c r="AD574" s="109">
        <v>11</v>
      </c>
      <c r="AE574" s="109">
        <v>6</v>
      </c>
      <c r="AF574" s="109">
        <v>8</v>
      </c>
      <c r="AG574" s="13"/>
      <c r="AH574" s="13"/>
    </row>
    <row r="575" spans="1:34" ht="12.75" customHeight="1">
      <c r="A575" s="10" t="s">
        <v>315</v>
      </c>
      <c r="B575" s="11">
        <f>AVERAGE(E575:AE575)</f>
        <v>11.37037037037037</v>
      </c>
      <c r="C575" s="2">
        <f>MIN(E575:AE575)</f>
        <v>4</v>
      </c>
      <c r="D575" s="12">
        <f>MAX(E575:AE575)</f>
        <v>19</v>
      </c>
      <c r="E575" s="109">
        <v>8</v>
      </c>
      <c r="F575" s="109">
        <v>10</v>
      </c>
      <c r="G575" s="109">
        <v>9</v>
      </c>
      <c r="H575" s="109">
        <v>14</v>
      </c>
      <c r="I575" s="109">
        <v>11</v>
      </c>
      <c r="J575" s="109">
        <v>12</v>
      </c>
      <c r="K575" s="109">
        <v>13</v>
      </c>
      <c r="L575" s="109">
        <v>15</v>
      </c>
      <c r="M575" s="109">
        <v>12</v>
      </c>
      <c r="N575" s="109">
        <v>13</v>
      </c>
      <c r="O575" s="109">
        <v>14</v>
      </c>
      <c r="P575" s="109">
        <v>6</v>
      </c>
      <c r="Q575" s="109">
        <v>16</v>
      </c>
      <c r="R575" s="109">
        <v>19</v>
      </c>
      <c r="S575" s="109">
        <v>6</v>
      </c>
      <c r="T575" s="109">
        <v>16</v>
      </c>
      <c r="U575" s="109">
        <v>14</v>
      </c>
      <c r="V575" s="109">
        <v>15</v>
      </c>
      <c r="W575" s="109">
        <v>13</v>
      </c>
      <c r="X575" s="109">
        <v>10</v>
      </c>
      <c r="Y575" s="109">
        <v>4</v>
      </c>
      <c r="Z575" s="109">
        <v>6</v>
      </c>
      <c r="AA575" s="109">
        <v>15</v>
      </c>
      <c r="AB575" s="109">
        <v>10</v>
      </c>
      <c r="AC575" s="109">
        <v>9</v>
      </c>
      <c r="AD575" s="109">
        <v>11</v>
      </c>
      <c r="AE575" s="109">
        <v>6</v>
      </c>
      <c r="AF575" s="109">
        <v>8</v>
      </c>
      <c r="AG575" s="13"/>
      <c r="AH575" s="13"/>
    </row>
    <row r="576" spans="1:34" ht="12.75" customHeight="1">
      <c r="A576" s="10" t="s">
        <v>316</v>
      </c>
      <c r="B576" s="11">
        <f>AVERAGE(E576:AE576)</f>
        <v>11.518518518518519</v>
      </c>
      <c r="C576" s="2">
        <f>MIN(E576:AE576)</f>
        <v>4</v>
      </c>
      <c r="D576" s="12">
        <f>MAX(E576:AE576)</f>
        <v>19</v>
      </c>
      <c r="E576" s="109">
        <v>8</v>
      </c>
      <c r="F576" s="109">
        <v>10</v>
      </c>
      <c r="G576" s="109">
        <v>9</v>
      </c>
      <c r="H576" s="109">
        <v>14</v>
      </c>
      <c r="I576" s="109">
        <v>11</v>
      </c>
      <c r="J576" s="109">
        <v>12</v>
      </c>
      <c r="K576" s="109">
        <v>14</v>
      </c>
      <c r="L576" s="109">
        <v>15</v>
      </c>
      <c r="M576" s="109">
        <v>13</v>
      </c>
      <c r="N576" s="109">
        <v>13</v>
      </c>
      <c r="O576" s="109">
        <v>14</v>
      </c>
      <c r="P576" s="109">
        <v>6</v>
      </c>
      <c r="Q576" s="109">
        <v>16</v>
      </c>
      <c r="R576" s="109">
        <v>19</v>
      </c>
      <c r="S576" s="109">
        <v>6</v>
      </c>
      <c r="T576" s="109">
        <v>16</v>
      </c>
      <c r="U576" s="109">
        <v>15</v>
      </c>
      <c r="V576" s="109">
        <v>15</v>
      </c>
      <c r="W576" s="109">
        <v>13</v>
      </c>
      <c r="X576" s="109">
        <v>10</v>
      </c>
      <c r="Y576" s="109">
        <v>4</v>
      </c>
      <c r="Z576" s="109">
        <v>7</v>
      </c>
      <c r="AA576" s="109">
        <v>15</v>
      </c>
      <c r="AB576" s="109">
        <v>10</v>
      </c>
      <c r="AC576" s="109">
        <v>9</v>
      </c>
      <c r="AD576" s="109">
        <v>11</v>
      </c>
      <c r="AE576" s="109">
        <v>6</v>
      </c>
      <c r="AF576" s="109">
        <v>8</v>
      </c>
      <c r="AG576" s="13"/>
      <c r="AH576" s="13"/>
    </row>
    <row r="577" spans="1:34" ht="12.75" customHeight="1">
      <c r="A577" s="10" t="s">
        <v>317</v>
      </c>
      <c r="B577" s="11">
        <f>AVERAGE(E577:AE577)</f>
        <v>11.703703703703704</v>
      </c>
      <c r="C577" s="2">
        <f>MIN(E577:AE577)</f>
        <v>4</v>
      </c>
      <c r="D577" s="12">
        <f>MAX(E577:AE577)</f>
        <v>19</v>
      </c>
      <c r="E577" s="109">
        <v>9</v>
      </c>
      <c r="F577" s="109">
        <v>10</v>
      </c>
      <c r="G577" s="109">
        <v>9</v>
      </c>
      <c r="H577" s="109">
        <v>14</v>
      </c>
      <c r="I577" s="109">
        <v>11</v>
      </c>
      <c r="J577" s="109">
        <v>13</v>
      </c>
      <c r="K577" s="109">
        <v>14</v>
      </c>
      <c r="L577" s="109">
        <v>15</v>
      </c>
      <c r="M577" s="109">
        <v>14</v>
      </c>
      <c r="N577" s="109">
        <v>13</v>
      </c>
      <c r="O577" s="109">
        <v>14</v>
      </c>
      <c r="P577" s="109">
        <v>6</v>
      </c>
      <c r="Q577" s="109">
        <v>17</v>
      </c>
      <c r="R577" s="109">
        <v>19</v>
      </c>
      <c r="S577" s="109">
        <v>6</v>
      </c>
      <c r="T577" s="109">
        <v>16</v>
      </c>
      <c r="U577" s="109">
        <v>15</v>
      </c>
      <c r="V577" s="109">
        <v>15</v>
      </c>
      <c r="W577" s="109">
        <v>14</v>
      </c>
      <c r="X577" s="109">
        <v>10</v>
      </c>
      <c r="Y577" s="109">
        <v>4</v>
      </c>
      <c r="Z577" s="109">
        <v>7</v>
      </c>
      <c r="AA577" s="109">
        <v>15</v>
      </c>
      <c r="AB577" s="109">
        <v>10</v>
      </c>
      <c r="AC577" s="109">
        <v>9</v>
      </c>
      <c r="AD577" s="109">
        <v>11</v>
      </c>
      <c r="AE577" s="109">
        <v>6</v>
      </c>
      <c r="AF577" s="109">
        <v>8</v>
      </c>
      <c r="AG577" s="13"/>
      <c r="AH577" s="13"/>
    </row>
    <row r="578" spans="1:34" ht="12.75" customHeight="1">
      <c r="A578" s="10" t="s">
        <v>318</v>
      </c>
      <c r="B578" s="11">
        <f>AVERAGE(E578:AE578)</f>
        <v>11.851851851851851</v>
      </c>
      <c r="C578" s="2">
        <f>MIN(E578:AE578)</f>
        <v>4</v>
      </c>
      <c r="D578" s="12">
        <f>MAX(E578:AE578)</f>
        <v>20</v>
      </c>
      <c r="E578" s="109">
        <v>9</v>
      </c>
      <c r="F578" s="109">
        <v>10</v>
      </c>
      <c r="G578" s="109">
        <v>9</v>
      </c>
      <c r="H578" s="109">
        <v>15</v>
      </c>
      <c r="I578" s="109">
        <v>11</v>
      </c>
      <c r="J578" s="109">
        <v>13</v>
      </c>
      <c r="K578" s="109">
        <v>14</v>
      </c>
      <c r="L578" s="109">
        <v>15</v>
      </c>
      <c r="M578" s="109">
        <v>14</v>
      </c>
      <c r="N578" s="109">
        <v>13</v>
      </c>
      <c r="O578" s="109">
        <v>14</v>
      </c>
      <c r="P578" s="109">
        <v>6</v>
      </c>
      <c r="Q578" s="109">
        <v>17</v>
      </c>
      <c r="R578" s="109">
        <v>20</v>
      </c>
      <c r="S578" s="109">
        <v>6</v>
      </c>
      <c r="T578" s="109">
        <v>16</v>
      </c>
      <c r="U578" s="109">
        <v>15</v>
      </c>
      <c r="V578" s="109">
        <v>15</v>
      </c>
      <c r="W578" s="109">
        <v>14</v>
      </c>
      <c r="X578" s="109">
        <v>10</v>
      </c>
      <c r="Y578" s="109">
        <v>4</v>
      </c>
      <c r="Z578" s="109">
        <v>7</v>
      </c>
      <c r="AA578" s="109">
        <v>15</v>
      </c>
      <c r="AB578" s="109">
        <v>11</v>
      </c>
      <c r="AC578" s="109">
        <v>9</v>
      </c>
      <c r="AD578" s="109">
        <v>11</v>
      </c>
      <c r="AE578" s="109">
        <v>7</v>
      </c>
      <c r="AF578" s="109">
        <v>8</v>
      </c>
      <c r="AG578" s="13"/>
      <c r="AH578" s="13"/>
    </row>
    <row r="579" spans="1:34" ht="12.75" customHeight="1">
      <c r="A579" s="10" t="s">
        <v>319</v>
      </c>
      <c r="B579" s="11">
        <f>AVERAGE(E579:AE579)</f>
        <v>12.111111111111111</v>
      </c>
      <c r="C579" s="2">
        <f>MIN(E579:AE579)</f>
        <v>4</v>
      </c>
      <c r="D579" s="12">
        <f>MAX(E579:AE579)</f>
        <v>20</v>
      </c>
      <c r="E579" s="109">
        <v>9</v>
      </c>
      <c r="F579" s="109">
        <v>10</v>
      </c>
      <c r="G579" s="109">
        <v>9</v>
      </c>
      <c r="H579" s="109">
        <v>15</v>
      </c>
      <c r="I579" s="109">
        <v>12</v>
      </c>
      <c r="J579" s="109">
        <v>14</v>
      </c>
      <c r="K579" s="109">
        <v>14</v>
      </c>
      <c r="L579" s="109">
        <v>15</v>
      </c>
      <c r="M579" s="109">
        <v>15</v>
      </c>
      <c r="N579" s="109">
        <v>13</v>
      </c>
      <c r="O579" s="109">
        <v>14</v>
      </c>
      <c r="P579" s="109">
        <v>7</v>
      </c>
      <c r="Q579" s="109">
        <v>17</v>
      </c>
      <c r="R579" s="109">
        <v>20</v>
      </c>
      <c r="S579" s="109">
        <v>6</v>
      </c>
      <c r="T579" s="109">
        <v>16</v>
      </c>
      <c r="U579" s="109">
        <v>16</v>
      </c>
      <c r="V579" s="109">
        <v>15</v>
      </c>
      <c r="W579" s="109">
        <v>15</v>
      </c>
      <c r="X579" s="109">
        <v>10</v>
      </c>
      <c r="Y579" s="109">
        <v>4</v>
      </c>
      <c r="Z579" s="109">
        <v>7</v>
      </c>
      <c r="AA579" s="109">
        <v>15</v>
      </c>
      <c r="AB579" s="109">
        <v>11</v>
      </c>
      <c r="AC579" s="109">
        <v>9</v>
      </c>
      <c r="AD579" s="109">
        <v>11</v>
      </c>
      <c r="AE579" s="110">
        <v>8</v>
      </c>
      <c r="AF579" s="109">
        <v>8</v>
      </c>
      <c r="AG579" s="13"/>
      <c r="AH579" s="13"/>
    </row>
    <row r="580" spans="1:34" ht="12.75" customHeight="1">
      <c r="A580" s="10" t="s">
        <v>320</v>
      </c>
      <c r="B580" s="11">
        <f>AVERAGE(E580:AE580)</f>
        <v>12.333333333333334</v>
      </c>
      <c r="C580" s="2">
        <f>MIN(E580:AE580)</f>
        <v>4</v>
      </c>
      <c r="D580" s="12">
        <f>MAX(E580:AE580)</f>
        <v>20</v>
      </c>
      <c r="E580" s="109">
        <v>9</v>
      </c>
      <c r="F580" s="109">
        <v>10</v>
      </c>
      <c r="G580" s="109">
        <v>9</v>
      </c>
      <c r="H580" s="109">
        <v>15</v>
      </c>
      <c r="I580" s="109">
        <v>13</v>
      </c>
      <c r="J580" s="109">
        <v>15</v>
      </c>
      <c r="K580" s="109">
        <v>14</v>
      </c>
      <c r="L580" s="109">
        <v>16</v>
      </c>
      <c r="M580" s="109">
        <v>15</v>
      </c>
      <c r="N580" s="109">
        <v>13</v>
      </c>
      <c r="O580" s="109">
        <v>15</v>
      </c>
      <c r="P580" s="109">
        <v>8</v>
      </c>
      <c r="Q580" s="109">
        <v>17</v>
      </c>
      <c r="R580" s="109">
        <v>20</v>
      </c>
      <c r="S580" s="109">
        <v>6</v>
      </c>
      <c r="T580" s="109">
        <v>16</v>
      </c>
      <c r="U580" s="109">
        <v>16</v>
      </c>
      <c r="V580" s="109">
        <v>16</v>
      </c>
      <c r="W580" s="109">
        <v>15</v>
      </c>
      <c r="X580" s="109">
        <v>10</v>
      </c>
      <c r="Y580" s="109">
        <v>4</v>
      </c>
      <c r="Z580" s="109">
        <v>7</v>
      </c>
      <c r="AA580" s="109">
        <v>15</v>
      </c>
      <c r="AB580" s="109">
        <v>11</v>
      </c>
      <c r="AC580" s="109">
        <v>9</v>
      </c>
      <c r="AD580" s="109">
        <v>11</v>
      </c>
      <c r="AE580" s="109">
        <v>8</v>
      </c>
      <c r="AF580" s="109">
        <v>8</v>
      </c>
      <c r="AG580" s="13"/>
      <c r="AH580" s="13"/>
    </row>
    <row r="581" spans="1:34" ht="12.75" customHeight="1">
      <c r="A581" s="10" t="s">
        <v>321</v>
      </c>
      <c r="B581" s="11">
        <f>AVERAGE(E581:AE581)</f>
        <v>12.407407407407407</v>
      </c>
      <c r="C581" s="2">
        <f>MIN(E581:AE581)</f>
        <v>4</v>
      </c>
      <c r="D581" s="12">
        <f>MAX(E581:AE581)</f>
        <v>20</v>
      </c>
      <c r="E581" s="109">
        <v>9</v>
      </c>
      <c r="F581" s="109">
        <v>10</v>
      </c>
      <c r="G581" s="109">
        <v>9</v>
      </c>
      <c r="H581" s="109">
        <v>15</v>
      </c>
      <c r="I581" s="109">
        <v>14</v>
      </c>
      <c r="J581" s="109">
        <v>15</v>
      </c>
      <c r="K581" s="109">
        <v>14</v>
      </c>
      <c r="L581" s="109">
        <v>16</v>
      </c>
      <c r="M581" s="109">
        <v>15</v>
      </c>
      <c r="N581" s="109">
        <v>13</v>
      </c>
      <c r="O581" s="109">
        <v>15</v>
      </c>
      <c r="P581" s="109">
        <v>8</v>
      </c>
      <c r="Q581" s="109">
        <v>17</v>
      </c>
      <c r="R581" s="109">
        <v>20</v>
      </c>
      <c r="S581" s="109">
        <v>6</v>
      </c>
      <c r="T581" s="109">
        <v>16</v>
      </c>
      <c r="U581" s="109">
        <v>16</v>
      </c>
      <c r="V581" s="109">
        <v>16</v>
      </c>
      <c r="W581" s="109">
        <v>15</v>
      </c>
      <c r="X581" s="109">
        <v>10</v>
      </c>
      <c r="Y581" s="109">
        <v>4</v>
      </c>
      <c r="Z581" s="109">
        <v>7</v>
      </c>
      <c r="AA581" s="109">
        <v>15</v>
      </c>
      <c r="AB581" s="109">
        <v>11</v>
      </c>
      <c r="AC581" s="109">
        <v>10</v>
      </c>
      <c r="AD581" s="109">
        <v>11</v>
      </c>
      <c r="AE581" s="109">
        <v>8</v>
      </c>
      <c r="AF581" s="109">
        <v>8</v>
      </c>
      <c r="AG581" s="13"/>
      <c r="AH581" s="13"/>
    </row>
    <row r="582" spans="1:34" ht="12.75" customHeight="1">
      <c r="A582" s="10" t="s">
        <v>322</v>
      </c>
      <c r="B582" s="11">
        <f>AVERAGE(E582:AE582)</f>
        <v>12.592592592592593</v>
      </c>
      <c r="C582" s="2">
        <f>MIN(E582:AE582)</f>
        <v>4</v>
      </c>
      <c r="D582" s="12">
        <f>MAX(E582:AE582)</f>
        <v>20</v>
      </c>
      <c r="E582" s="109">
        <v>9</v>
      </c>
      <c r="F582" s="109">
        <v>10</v>
      </c>
      <c r="G582" s="109">
        <v>9</v>
      </c>
      <c r="H582" s="109">
        <v>15</v>
      </c>
      <c r="I582" s="109">
        <v>14</v>
      </c>
      <c r="J582" s="109">
        <v>15</v>
      </c>
      <c r="K582" s="109">
        <v>14</v>
      </c>
      <c r="L582" s="109">
        <v>16</v>
      </c>
      <c r="M582" s="109">
        <v>15</v>
      </c>
      <c r="N582" s="109">
        <v>13</v>
      </c>
      <c r="O582" s="109">
        <v>15</v>
      </c>
      <c r="P582" s="109">
        <v>8</v>
      </c>
      <c r="Q582" s="109">
        <v>17</v>
      </c>
      <c r="R582" s="109">
        <v>20</v>
      </c>
      <c r="S582" s="109">
        <v>6</v>
      </c>
      <c r="T582" s="109">
        <v>17</v>
      </c>
      <c r="U582" s="109">
        <v>17</v>
      </c>
      <c r="V582" s="109">
        <v>16</v>
      </c>
      <c r="W582" s="109">
        <v>15</v>
      </c>
      <c r="X582" s="109">
        <v>11</v>
      </c>
      <c r="Y582" s="109">
        <v>4</v>
      </c>
      <c r="Z582" s="109">
        <v>7</v>
      </c>
      <c r="AA582" s="109">
        <v>16</v>
      </c>
      <c r="AB582" s="109">
        <v>11</v>
      </c>
      <c r="AC582" s="109">
        <v>10</v>
      </c>
      <c r="AD582" s="109">
        <v>11</v>
      </c>
      <c r="AE582" s="110">
        <v>9</v>
      </c>
      <c r="AF582" s="109">
        <v>8</v>
      </c>
      <c r="AG582" s="13"/>
      <c r="AH582" s="13"/>
    </row>
    <row r="583" spans="1:34" ht="12.75" customHeight="1">
      <c r="A583" s="10" t="s">
        <v>323</v>
      </c>
      <c r="B583" s="11">
        <f>AVERAGE(E583:AE583)</f>
        <v>12.666666666666666</v>
      </c>
      <c r="C583" s="2">
        <f>MIN(E583:AE583)</f>
        <v>4</v>
      </c>
      <c r="D583" s="12">
        <f>MAX(E583:AE583)</f>
        <v>20</v>
      </c>
      <c r="E583" s="109">
        <v>9</v>
      </c>
      <c r="F583" s="109">
        <v>10</v>
      </c>
      <c r="G583" s="109">
        <v>9</v>
      </c>
      <c r="H583" s="109">
        <v>15</v>
      </c>
      <c r="I583" s="109">
        <v>14</v>
      </c>
      <c r="J583" s="109">
        <v>15</v>
      </c>
      <c r="K583" s="109">
        <v>14</v>
      </c>
      <c r="L583" s="109">
        <v>16</v>
      </c>
      <c r="M583" s="109">
        <v>15</v>
      </c>
      <c r="N583" s="109">
        <v>13</v>
      </c>
      <c r="O583" s="109">
        <v>15</v>
      </c>
      <c r="P583" s="109">
        <v>8</v>
      </c>
      <c r="Q583" s="109">
        <v>17</v>
      </c>
      <c r="R583" s="109">
        <v>20</v>
      </c>
      <c r="S583" s="109">
        <v>6</v>
      </c>
      <c r="T583" s="109">
        <v>17</v>
      </c>
      <c r="U583" s="109">
        <v>17</v>
      </c>
      <c r="V583" s="109">
        <v>17</v>
      </c>
      <c r="W583" s="109">
        <v>15</v>
      </c>
      <c r="X583" s="109">
        <v>11</v>
      </c>
      <c r="Y583" s="109">
        <v>4</v>
      </c>
      <c r="Z583" s="109">
        <v>7</v>
      </c>
      <c r="AA583" s="109">
        <v>17</v>
      </c>
      <c r="AB583" s="109">
        <v>11</v>
      </c>
      <c r="AC583" s="109">
        <v>10</v>
      </c>
      <c r="AD583" s="109">
        <v>11</v>
      </c>
      <c r="AE583" s="109">
        <v>9</v>
      </c>
      <c r="AF583" s="109">
        <v>8</v>
      </c>
      <c r="AG583" s="13"/>
      <c r="AH583" s="13"/>
    </row>
    <row r="584" spans="1:34" ht="12.75" customHeight="1">
      <c r="A584" s="10" t="s">
        <v>324</v>
      </c>
      <c r="B584" s="11">
        <f>AVERAGE(E584:AE584)</f>
        <v>12.777777777777779</v>
      </c>
      <c r="C584" s="2">
        <f>MIN(E584:AE584)</f>
        <v>5</v>
      </c>
      <c r="D584" s="12">
        <f>MAX(E584:AE584)</f>
        <v>20</v>
      </c>
      <c r="E584" s="109">
        <v>9</v>
      </c>
      <c r="F584" s="109">
        <v>10</v>
      </c>
      <c r="G584" s="109">
        <v>9</v>
      </c>
      <c r="H584" s="109">
        <v>15</v>
      </c>
      <c r="I584" s="109">
        <v>14</v>
      </c>
      <c r="J584" s="109">
        <v>15</v>
      </c>
      <c r="K584" s="109">
        <v>14</v>
      </c>
      <c r="L584" s="109">
        <v>16</v>
      </c>
      <c r="M584" s="109">
        <v>15</v>
      </c>
      <c r="N584" s="109">
        <v>13</v>
      </c>
      <c r="O584" s="109">
        <v>15</v>
      </c>
      <c r="P584" s="109">
        <v>8</v>
      </c>
      <c r="Q584" s="109">
        <v>17</v>
      </c>
      <c r="R584" s="109">
        <v>20</v>
      </c>
      <c r="S584" s="109">
        <v>6</v>
      </c>
      <c r="T584" s="109">
        <v>18</v>
      </c>
      <c r="U584" s="109">
        <v>17</v>
      </c>
      <c r="V584" s="109">
        <v>18</v>
      </c>
      <c r="W584" s="109">
        <v>15</v>
      </c>
      <c r="X584" s="109">
        <v>11</v>
      </c>
      <c r="Y584" s="109">
        <v>5</v>
      </c>
      <c r="Z584" s="109">
        <v>7</v>
      </c>
      <c r="AA584" s="109">
        <v>17</v>
      </c>
      <c r="AB584" s="109">
        <v>11</v>
      </c>
      <c r="AC584" s="109">
        <v>10</v>
      </c>
      <c r="AD584" s="109">
        <v>11</v>
      </c>
      <c r="AE584" s="110">
        <v>9</v>
      </c>
      <c r="AF584" s="109">
        <v>8</v>
      </c>
      <c r="AG584" s="13"/>
      <c r="AH584" s="13"/>
    </row>
    <row r="585" spans="1:34" ht="12.75" customHeight="1">
      <c r="A585" s="10" t="s">
        <v>325</v>
      </c>
      <c r="B585" s="11">
        <f>AVERAGE(E585:AE585)</f>
        <v>12.888888888888889</v>
      </c>
      <c r="C585" s="2">
        <f>MIN(E585:AE585)</f>
        <v>5</v>
      </c>
      <c r="D585" s="12">
        <f>MAX(E585:AE585)</f>
        <v>20</v>
      </c>
      <c r="E585" s="109">
        <v>9</v>
      </c>
      <c r="F585" s="109">
        <v>10</v>
      </c>
      <c r="G585" s="109">
        <v>9</v>
      </c>
      <c r="H585" s="109">
        <v>15</v>
      </c>
      <c r="I585" s="109">
        <v>14</v>
      </c>
      <c r="J585" s="109">
        <v>15</v>
      </c>
      <c r="K585" s="109">
        <v>14</v>
      </c>
      <c r="L585" s="109">
        <v>17</v>
      </c>
      <c r="M585" s="109">
        <v>15</v>
      </c>
      <c r="N585" s="109">
        <v>13</v>
      </c>
      <c r="O585" s="109">
        <v>15</v>
      </c>
      <c r="P585" s="109">
        <v>8</v>
      </c>
      <c r="Q585" s="109">
        <v>17</v>
      </c>
      <c r="R585" s="109">
        <v>20</v>
      </c>
      <c r="S585" s="109">
        <v>7</v>
      </c>
      <c r="T585" s="109">
        <v>19</v>
      </c>
      <c r="U585" s="109">
        <v>17</v>
      </c>
      <c r="V585" s="109">
        <v>18</v>
      </c>
      <c r="W585" s="109">
        <v>15</v>
      </c>
      <c r="X585" s="109">
        <v>11</v>
      </c>
      <c r="Y585" s="109">
        <v>5</v>
      </c>
      <c r="Z585" s="109">
        <v>7</v>
      </c>
      <c r="AA585" s="109">
        <v>17</v>
      </c>
      <c r="AB585" s="109">
        <v>11</v>
      </c>
      <c r="AC585" s="109">
        <v>10</v>
      </c>
      <c r="AD585" s="109">
        <v>11</v>
      </c>
      <c r="AE585" s="109">
        <v>9</v>
      </c>
      <c r="AF585" s="109">
        <v>8</v>
      </c>
      <c r="AG585" s="13"/>
      <c r="AH585" s="13"/>
    </row>
    <row r="586" spans="1:34" ht="12.75" customHeight="1">
      <c r="A586" s="10" t="s">
        <v>326</v>
      </c>
      <c r="B586" s="11">
        <f>AVERAGE(E586:AE586)</f>
        <v>13.111111111111111</v>
      </c>
      <c r="C586" s="2">
        <f>MIN(E586:AE586)</f>
        <v>6</v>
      </c>
      <c r="D586" s="12">
        <f>MAX(E586:AE586)</f>
        <v>20</v>
      </c>
      <c r="E586" s="109">
        <v>9</v>
      </c>
      <c r="F586" s="109">
        <v>10</v>
      </c>
      <c r="G586" s="109">
        <v>9</v>
      </c>
      <c r="H586" s="109">
        <v>15</v>
      </c>
      <c r="I586" s="109">
        <v>15</v>
      </c>
      <c r="J586" s="109">
        <v>15</v>
      </c>
      <c r="K586" s="109">
        <v>15</v>
      </c>
      <c r="L586" s="109">
        <v>17</v>
      </c>
      <c r="M586" s="109">
        <v>15</v>
      </c>
      <c r="N586" s="109">
        <v>13</v>
      </c>
      <c r="O586" s="109">
        <v>15</v>
      </c>
      <c r="P586" s="109">
        <v>8</v>
      </c>
      <c r="Q586" s="109">
        <v>17</v>
      </c>
      <c r="R586" s="109">
        <v>20</v>
      </c>
      <c r="S586" s="109">
        <v>8</v>
      </c>
      <c r="T586" s="109">
        <v>20</v>
      </c>
      <c r="U586" s="109">
        <v>17</v>
      </c>
      <c r="V586" s="109">
        <v>18</v>
      </c>
      <c r="W586" s="109">
        <v>15</v>
      </c>
      <c r="X586" s="109">
        <v>11</v>
      </c>
      <c r="Y586" s="109">
        <v>6</v>
      </c>
      <c r="Z586" s="109">
        <v>7</v>
      </c>
      <c r="AA586" s="109">
        <v>17</v>
      </c>
      <c r="AB586" s="109">
        <v>11</v>
      </c>
      <c r="AC586" s="109">
        <v>11</v>
      </c>
      <c r="AD586" s="109">
        <v>11</v>
      </c>
      <c r="AE586" s="110">
        <v>9</v>
      </c>
      <c r="AF586" s="109">
        <v>8</v>
      </c>
      <c r="AG586" s="13"/>
      <c r="AH586" s="13"/>
    </row>
    <row r="587" spans="1:34" ht="12.75" customHeight="1">
      <c r="A587" s="10" t="s">
        <v>327</v>
      </c>
      <c r="B587" s="11">
        <f>AVERAGE(E587:AE587)</f>
        <v>13.222222222222221</v>
      </c>
      <c r="C587" s="2">
        <f>MIN(E587:AE587)</f>
        <v>6</v>
      </c>
      <c r="D587" s="12">
        <f>MAX(E587:AE587)</f>
        <v>21</v>
      </c>
      <c r="E587" s="109">
        <v>9</v>
      </c>
      <c r="F587" s="109">
        <v>10</v>
      </c>
      <c r="G587" s="109">
        <v>9</v>
      </c>
      <c r="H587" s="109">
        <v>15</v>
      </c>
      <c r="I587" s="109">
        <v>15</v>
      </c>
      <c r="J587" s="109">
        <v>15</v>
      </c>
      <c r="K587" s="109">
        <v>16</v>
      </c>
      <c r="L587" s="109">
        <v>17</v>
      </c>
      <c r="M587" s="109">
        <v>15</v>
      </c>
      <c r="N587" s="109">
        <v>13</v>
      </c>
      <c r="O587" s="109">
        <v>15</v>
      </c>
      <c r="P587" s="109">
        <v>8</v>
      </c>
      <c r="Q587" s="109">
        <v>17</v>
      </c>
      <c r="R587" s="109">
        <v>20</v>
      </c>
      <c r="S587" s="109">
        <v>8</v>
      </c>
      <c r="T587" s="109">
        <v>21</v>
      </c>
      <c r="U587" s="109">
        <v>17</v>
      </c>
      <c r="V587" s="109">
        <v>18</v>
      </c>
      <c r="W587" s="109">
        <v>15</v>
      </c>
      <c r="X587" s="109">
        <v>11</v>
      </c>
      <c r="Y587" s="109">
        <v>6</v>
      </c>
      <c r="Z587" s="109">
        <v>7</v>
      </c>
      <c r="AA587" s="109">
        <v>17</v>
      </c>
      <c r="AB587" s="109">
        <v>11</v>
      </c>
      <c r="AC587" s="109">
        <v>12</v>
      </c>
      <c r="AD587" s="109">
        <v>11</v>
      </c>
      <c r="AE587" s="109">
        <v>9</v>
      </c>
      <c r="AF587" s="109">
        <v>8</v>
      </c>
      <c r="AG587" s="13"/>
      <c r="AH587" s="13"/>
    </row>
    <row r="588" spans="1:34" ht="12.75" customHeight="1">
      <c r="A588" s="10" t="s">
        <v>328</v>
      </c>
      <c r="B588" s="11">
        <f>AVERAGE(E588:AE588)</f>
        <v>13.296296296296296</v>
      </c>
      <c r="C588" s="2">
        <f>MIN(E588:AE588)</f>
        <v>7</v>
      </c>
      <c r="D588" s="12">
        <f>MAX(E588:AE588)</f>
        <v>21</v>
      </c>
      <c r="E588" s="109">
        <v>9</v>
      </c>
      <c r="F588" s="109">
        <v>10</v>
      </c>
      <c r="G588" s="109">
        <v>9</v>
      </c>
      <c r="H588" s="109">
        <v>15</v>
      </c>
      <c r="I588" s="109">
        <v>15</v>
      </c>
      <c r="J588" s="109">
        <v>15</v>
      </c>
      <c r="K588" s="109">
        <v>16</v>
      </c>
      <c r="L588" s="109">
        <v>18</v>
      </c>
      <c r="M588" s="109">
        <v>15</v>
      </c>
      <c r="N588" s="109">
        <v>13</v>
      </c>
      <c r="O588" s="109">
        <v>15</v>
      </c>
      <c r="P588" s="109">
        <v>8</v>
      </c>
      <c r="Q588" s="109">
        <v>17</v>
      </c>
      <c r="R588" s="109">
        <v>20</v>
      </c>
      <c r="S588" s="109">
        <v>8</v>
      </c>
      <c r="T588" s="109">
        <v>21</v>
      </c>
      <c r="U588" s="109">
        <v>17</v>
      </c>
      <c r="V588" s="109">
        <v>18</v>
      </c>
      <c r="W588" s="109">
        <v>15</v>
      </c>
      <c r="X588" s="109">
        <v>11</v>
      </c>
      <c r="Y588" s="109">
        <v>7</v>
      </c>
      <c r="Z588" s="109">
        <v>7</v>
      </c>
      <c r="AA588" s="109">
        <v>17</v>
      </c>
      <c r="AB588" s="109">
        <v>11</v>
      </c>
      <c r="AC588" s="109">
        <v>12</v>
      </c>
      <c r="AD588" s="109">
        <v>11</v>
      </c>
      <c r="AE588" s="110">
        <v>9</v>
      </c>
      <c r="AF588" s="109">
        <v>8</v>
      </c>
      <c r="AG588" s="13"/>
      <c r="AH588" s="13"/>
    </row>
    <row r="589" spans="1:34" ht="12.75" customHeight="1">
      <c r="A589" s="10" t="s">
        <v>329</v>
      </c>
      <c r="B589" s="11">
        <f>AVERAGE(E589:AE589)</f>
        <v>13.481481481481481</v>
      </c>
      <c r="C589" s="2">
        <f>MIN(E589:AE589)</f>
        <v>7</v>
      </c>
      <c r="D589" s="12">
        <f>MAX(E589:AE589)</f>
        <v>21</v>
      </c>
      <c r="E589" s="109">
        <v>9</v>
      </c>
      <c r="F589" s="109">
        <v>10</v>
      </c>
      <c r="G589" s="109">
        <v>9</v>
      </c>
      <c r="H589" s="109">
        <v>16</v>
      </c>
      <c r="I589" s="109">
        <v>15</v>
      </c>
      <c r="J589" s="109">
        <v>15</v>
      </c>
      <c r="K589" s="109">
        <v>16</v>
      </c>
      <c r="L589" s="109">
        <v>18</v>
      </c>
      <c r="M589" s="109">
        <v>15</v>
      </c>
      <c r="N589" s="109">
        <v>14</v>
      </c>
      <c r="O589" s="109">
        <v>15</v>
      </c>
      <c r="P589" s="109">
        <v>8</v>
      </c>
      <c r="Q589" s="109">
        <v>17</v>
      </c>
      <c r="R589" s="109">
        <v>20</v>
      </c>
      <c r="S589" s="109">
        <v>8</v>
      </c>
      <c r="T589" s="109">
        <v>21</v>
      </c>
      <c r="U589" s="109">
        <v>17</v>
      </c>
      <c r="V589" s="109">
        <v>18</v>
      </c>
      <c r="W589" s="109">
        <v>16</v>
      </c>
      <c r="X589" s="109">
        <v>11</v>
      </c>
      <c r="Y589" s="109">
        <v>7</v>
      </c>
      <c r="Z589" s="109">
        <v>7</v>
      </c>
      <c r="AA589" s="109">
        <v>17</v>
      </c>
      <c r="AB589" s="109">
        <v>11</v>
      </c>
      <c r="AC589" s="109">
        <v>12</v>
      </c>
      <c r="AD589" s="109">
        <v>12</v>
      </c>
      <c r="AE589" s="109">
        <v>10</v>
      </c>
      <c r="AF589" s="109">
        <v>8</v>
      </c>
      <c r="AG589" s="13"/>
      <c r="AH589" s="13"/>
    </row>
    <row r="590" spans="1:34" ht="12.75" customHeight="1">
      <c r="A590" s="10" t="s">
        <v>330</v>
      </c>
      <c r="B590" s="11">
        <f>AVERAGE(E590:AE590)</f>
        <v>13.703703703703704</v>
      </c>
      <c r="C590" s="2">
        <f>MIN(E590:AE590)</f>
        <v>7</v>
      </c>
      <c r="D590" s="12">
        <f>MAX(E590:AE590)</f>
        <v>22</v>
      </c>
      <c r="E590" s="109">
        <v>9</v>
      </c>
      <c r="F590" s="109">
        <v>10</v>
      </c>
      <c r="G590" s="109">
        <v>9</v>
      </c>
      <c r="H590" s="109">
        <v>16</v>
      </c>
      <c r="I590" s="109">
        <v>15</v>
      </c>
      <c r="J590" s="109">
        <v>15</v>
      </c>
      <c r="K590" s="109">
        <v>16</v>
      </c>
      <c r="L590" s="109">
        <v>18</v>
      </c>
      <c r="M590" s="109">
        <v>15</v>
      </c>
      <c r="N590" s="109">
        <v>14</v>
      </c>
      <c r="O590" s="109">
        <v>16</v>
      </c>
      <c r="P590" s="109">
        <v>8</v>
      </c>
      <c r="Q590" s="109">
        <v>17</v>
      </c>
      <c r="R590" s="109">
        <v>21</v>
      </c>
      <c r="S590" s="109">
        <v>8</v>
      </c>
      <c r="T590" s="109">
        <v>22</v>
      </c>
      <c r="U590" s="109">
        <v>17</v>
      </c>
      <c r="V590" s="109">
        <v>18</v>
      </c>
      <c r="W590" s="109">
        <v>16</v>
      </c>
      <c r="X590" s="109">
        <v>12</v>
      </c>
      <c r="Y590" s="109">
        <v>8</v>
      </c>
      <c r="Z590" s="109">
        <v>7</v>
      </c>
      <c r="AA590" s="109">
        <v>17</v>
      </c>
      <c r="AB590" s="109">
        <v>11</v>
      </c>
      <c r="AC590" s="109">
        <v>12</v>
      </c>
      <c r="AD590" s="109">
        <v>12</v>
      </c>
      <c r="AE590" s="110">
        <v>11</v>
      </c>
      <c r="AF590" s="109">
        <v>8</v>
      </c>
      <c r="AG590" s="13"/>
      <c r="AH590" s="13"/>
    </row>
    <row r="591" spans="1:34" ht="12.75" customHeight="1">
      <c r="A591" s="10" t="s">
        <v>331</v>
      </c>
      <c r="B591" s="11">
        <f>AVERAGE(E591:AE591)</f>
        <v>13.814814814814815</v>
      </c>
      <c r="C591" s="2">
        <f>MIN(E591:AE591)</f>
        <v>7</v>
      </c>
      <c r="D591" s="12">
        <f>MAX(E591:AE591)</f>
        <v>22</v>
      </c>
      <c r="E591" s="109">
        <v>9</v>
      </c>
      <c r="F591" s="109">
        <v>10</v>
      </c>
      <c r="G591" s="109">
        <v>9</v>
      </c>
      <c r="H591" s="109">
        <v>16</v>
      </c>
      <c r="I591" s="109">
        <v>15</v>
      </c>
      <c r="J591" s="109">
        <v>15</v>
      </c>
      <c r="K591" s="109">
        <v>16</v>
      </c>
      <c r="L591" s="109">
        <v>18</v>
      </c>
      <c r="M591" s="109">
        <v>15</v>
      </c>
      <c r="N591" s="109">
        <v>14</v>
      </c>
      <c r="O591" s="109">
        <v>16</v>
      </c>
      <c r="P591" s="109">
        <v>8</v>
      </c>
      <c r="Q591" s="109">
        <v>17</v>
      </c>
      <c r="R591" s="109">
        <v>22</v>
      </c>
      <c r="S591" s="109">
        <v>8</v>
      </c>
      <c r="T591" s="109">
        <v>22</v>
      </c>
      <c r="U591" s="109">
        <v>17</v>
      </c>
      <c r="V591" s="109">
        <v>18</v>
      </c>
      <c r="W591" s="109">
        <v>16</v>
      </c>
      <c r="X591" s="109">
        <v>12</v>
      </c>
      <c r="Y591" s="109">
        <v>9</v>
      </c>
      <c r="Z591" s="109">
        <v>7</v>
      </c>
      <c r="AA591" s="109">
        <v>18</v>
      </c>
      <c r="AB591" s="109">
        <v>11</v>
      </c>
      <c r="AC591" s="109">
        <v>12</v>
      </c>
      <c r="AD591" s="109">
        <v>12</v>
      </c>
      <c r="AE591" s="109">
        <v>11</v>
      </c>
      <c r="AF591" s="109">
        <v>8</v>
      </c>
      <c r="AG591" s="13"/>
      <c r="AH591" s="13"/>
    </row>
    <row r="592" spans="1:34" ht="12.75" customHeight="1">
      <c r="A592" s="10" t="s">
        <v>332</v>
      </c>
      <c r="B592" s="11">
        <f>AVERAGE(E592:AE592)</f>
        <v>14.037037037037036</v>
      </c>
      <c r="C592" s="2">
        <f>MIN(E592:AE592)</f>
        <v>7</v>
      </c>
      <c r="D592" s="12">
        <f>MAX(E592:AE592)</f>
        <v>23</v>
      </c>
      <c r="E592" s="109">
        <v>9</v>
      </c>
      <c r="F592" s="109">
        <v>10</v>
      </c>
      <c r="G592" s="109">
        <v>9</v>
      </c>
      <c r="H592" s="109">
        <v>16</v>
      </c>
      <c r="I592" s="109">
        <v>15</v>
      </c>
      <c r="J592" s="109">
        <v>15</v>
      </c>
      <c r="K592" s="109">
        <v>16</v>
      </c>
      <c r="L592" s="109">
        <v>18</v>
      </c>
      <c r="M592" s="109">
        <v>15</v>
      </c>
      <c r="N592" s="109">
        <v>14</v>
      </c>
      <c r="O592" s="109">
        <v>16</v>
      </c>
      <c r="P592" s="109">
        <v>8</v>
      </c>
      <c r="Q592" s="109">
        <v>18</v>
      </c>
      <c r="R592" s="109">
        <v>22</v>
      </c>
      <c r="S592" s="109">
        <v>9</v>
      </c>
      <c r="T592" s="109">
        <v>23</v>
      </c>
      <c r="U592" s="109">
        <v>17</v>
      </c>
      <c r="V592" s="109">
        <v>18</v>
      </c>
      <c r="W592" s="109">
        <v>16</v>
      </c>
      <c r="X592" s="109">
        <v>13</v>
      </c>
      <c r="Y592" s="109">
        <v>10</v>
      </c>
      <c r="Z592" s="109">
        <v>7</v>
      </c>
      <c r="AA592" s="109">
        <v>18</v>
      </c>
      <c r="AB592" s="109">
        <v>11</v>
      </c>
      <c r="AC592" s="109">
        <v>12</v>
      </c>
      <c r="AD592" s="109">
        <v>13</v>
      </c>
      <c r="AE592" s="110">
        <v>11</v>
      </c>
      <c r="AF592" s="109"/>
      <c r="AG592" s="13"/>
      <c r="AH592" s="13"/>
    </row>
    <row r="593" spans="1:34" ht="12.75" customHeight="1">
      <c r="A593" s="10" t="s">
        <v>333</v>
      </c>
      <c r="B593" s="11">
        <f>AVERAGE(E593:AE593)</f>
        <v>14.074074074074074</v>
      </c>
      <c r="C593" s="2">
        <f>MIN(E593:AE593)</f>
        <v>7</v>
      </c>
      <c r="D593" s="12">
        <f>MAX(E593:AE593)</f>
        <v>23</v>
      </c>
      <c r="E593" s="109">
        <v>9</v>
      </c>
      <c r="F593" s="109">
        <v>10</v>
      </c>
      <c r="G593" s="109">
        <v>9</v>
      </c>
      <c r="H593" s="109">
        <v>16</v>
      </c>
      <c r="I593" s="109">
        <v>15</v>
      </c>
      <c r="J593" s="109">
        <v>15</v>
      </c>
      <c r="K593" s="109">
        <v>16</v>
      </c>
      <c r="L593" s="109">
        <v>18</v>
      </c>
      <c r="M593" s="109">
        <v>15</v>
      </c>
      <c r="N593" s="109">
        <v>14</v>
      </c>
      <c r="O593" s="109">
        <v>16</v>
      </c>
      <c r="P593" s="109">
        <v>8</v>
      </c>
      <c r="Q593" s="109">
        <v>18</v>
      </c>
      <c r="R593" s="109">
        <v>22</v>
      </c>
      <c r="S593" s="109">
        <v>9</v>
      </c>
      <c r="T593" s="109">
        <v>23</v>
      </c>
      <c r="U593" s="109">
        <v>17</v>
      </c>
      <c r="V593" s="109">
        <v>19</v>
      </c>
      <c r="W593" s="109">
        <v>16</v>
      </c>
      <c r="X593" s="109">
        <v>13</v>
      </c>
      <c r="Y593" s="109">
        <v>10</v>
      </c>
      <c r="Z593" s="109">
        <v>7</v>
      </c>
      <c r="AA593" s="109">
        <v>18</v>
      </c>
      <c r="AB593" s="109">
        <v>11</v>
      </c>
      <c r="AC593" s="109">
        <v>12</v>
      </c>
      <c r="AD593" s="109">
        <v>13</v>
      </c>
      <c r="AE593" s="109">
        <v>11</v>
      </c>
      <c r="AF593" s="109"/>
      <c r="AG593" s="13"/>
      <c r="AH593" s="13"/>
    </row>
    <row r="594" spans="1:34" ht="12.75" customHeight="1">
      <c r="A594" s="10" t="s">
        <v>334</v>
      </c>
      <c r="B594" s="11">
        <f>AVERAGE(E594:AE594)</f>
        <v>14.148148148148149</v>
      </c>
      <c r="C594" s="2">
        <f>MIN(E594:AE594)</f>
        <v>7</v>
      </c>
      <c r="D594" s="12">
        <f>MAX(E594:AE594)</f>
        <v>23</v>
      </c>
      <c r="E594" s="109">
        <v>9</v>
      </c>
      <c r="F594" s="109">
        <v>10</v>
      </c>
      <c r="G594" s="109">
        <v>9</v>
      </c>
      <c r="H594" s="109">
        <v>16</v>
      </c>
      <c r="I594" s="109">
        <v>15</v>
      </c>
      <c r="J594" s="109">
        <v>15</v>
      </c>
      <c r="K594" s="109">
        <v>16</v>
      </c>
      <c r="L594" s="109">
        <v>18</v>
      </c>
      <c r="M594" s="109">
        <v>15</v>
      </c>
      <c r="N594" s="109">
        <v>14</v>
      </c>
      <c r="O594" s="109">
        <v>16</v>
      </c>
      <c r="P594" s="109">
        <v>8</v>
      </c>
      <c r="Q594" s="109">
        <v>18</v>
      </c>
      <c r="R594" s="109">
        <v>22</v>
      </c>
      <c r="S594" s="109">
        <v>10</v>
      </c>
      <c r="T594" s="109">
        <v>23</v>
      </c>
      <c r="U594" s="109">
        <v>17</v>
      </c>
      <c r="V594" s="109">
        <v>19</v>
      </c>
      <c r="W594" s="109">
        <v>16</v>
      </c>
      <c r="X594" s="109">
        <v>13</v>
      </c>
      <c r="Y594" s="109">
        <v>10</v>
      </c>
      <c r="Z594" s="109">
        <v>7</v>
      </c>
      <c r="AA594" s="109">
        <v>18</v>
      </c>
      <c r="AB594" s="109">
        <v>12</v>
      </c>
      <c r="AC594" s="109">
        <v>12</v>
      </c>
      <c r="AD594" s="109">
        <v>13</v>
      </c>
      <c r="AE594" s="110">
        <v>11</v>
      </c>
      <c r="AF594" s="109"/>
      <c r="AG594" s="13"/>
      <c r="AH594" s="13"/>
    </row>
    <row r="595" spans="1:34" ht="12.75" customHeight="1">
      <c r="A595" s="10" t="s">
        <v>335</v>
      </c>
      <c r="B595" s="11">
        <f>AVERAGE(E595:AE595)</f>
        <v>14.296296296296296</v>
      </c>
      <c r="C595" s="2">
        <f>MIN(E595:AE595)</f>
        <v>7</v>
      </c>
      <c r="D595" s="12">
        <f>MAX(E595:AE595)</f>
        <v>23</v>
      </c>
      <c r="E595" s="109">
        <v>9</v>
      </c>
      <c r="F595" s="13">
        <v>10</v>
      </c>
      <c r="G595" s="109">
        <v>9</v>
      </c>
      <c r="H595" s="109">
        <v>16</v>
      </c>
      <c r="I595" s="109">
        <v>15</v>
      </c>
      <c r="J595" s="109">
        <v>15</v>
      </c>
      <c r="K595" s="109">
        <v>17</v>
      </c>
      <c r="L595" s="109">
        <v>18</v>
      </c>
      <c r="M595" s="109">
        <v>16</v>
      </c>
      <c r="N595" s="109">
        <v>15</v>
      </c>
      <c r="O595" s="109">
        <v>16</v>
      </c>
      <c r="P595" s="109">
        <v>8</v>
      </c>
      <c r="Q595" s="109">
        <v>18</v>
      </c>
      <c r="R595" s="109">
        <v>22</v>
      </c>
      <c r="S595" s="109">
        <v>10</v>
      </c>
      <c r="T595" s="109">
        <v>23</v>
      </c>
      <c r="U595" s="109">
        <v>17</v>
      </c>
      <c r="V595" s="109">
        <v>19</v>
      </c>
      <c r="W595" s="109">
        <v>16</v>
      </c>
      <c r="X595" s="109">
        <v>13</v>
      </c>
      <c r="Y595" s="109">
        <v>11</v>
      </c>
      <c r="Z595" s="109">
        <v>7</v>
      </c>
      <c r="AA595" s="109">
        <v>18</v>
      </c>
      <c r="AB595" s="109">
        <v>12</v>
      </c>
      <c r="AC595" s="109">
        <v>12</v>
      </c>
      <c r="AD595" s="109">
        <v>13</v>
      </c>
      <c r="AE595" s="109">
        <v>11</v>
      </c>
      <c r="AF595" s="109"/>
      <c r="AG595" s="13"/>
      <c r="AH595" s="13"/>
    </row>
    <row r="596" spans="1:34" ht="12.75" customHeight="1">
      <c r="A596" s="10" t="s">
        <v>336</v>
      </c>
      <c r="B596" s="11">
        <f>AVERAGE(E596:AE596)</f>
        <v>14.481481481481481</v>
      </c>
      <c r="C596" s="2">
        <f>MIN(E596:AE596)</f>
        <v>7</v>
      </c>
      <c r="D596" s="12">
        <f>MAX(E596:AE596)</f>
        <v>23</v>
      </c>
      <c r="E596" s="109">
        <v>9</v>
      </c>
      <c r="F596" s="13">
        <v>10</v>
      </c>
      <c r="G596" s="109">
        <v>9</v>
      </c>
      <c r="H596" s="109">
        <v>17</v>
      </c>
      <c r="I596" s="109">
        <v>15</v>
      </c>
      <c r="J596" s="109">
        <v>15</v>
      </c>
      <c r="K596" s="109">
        <v>17</v>
      </c>
      <c r="L596" s="109">
        <v>18</v>
      </c>
      <c r="M596" s="109">
        <v>17</v>
      </c>
      <c r="N596" s="109">
        <v>16</v>
      </c>
      <c r="O596" s="109">
        <v>16</v>
      </c>
      <c r="P596" s="109">
        <v>8</v>
      </c>
      <c r="Q596" s="109">
        <v>18</v>
      </c>
      <c r="R596" s="109">
        <v>22</v>
      </c>
      <c r="S596" s="109">
        <v>10</v>
      </c>
      <c r="T596" s="109">
        <v>23</v>
      </c>
      <c r="U596" s="109">
        <v>17</v>
      </c>
      <c r="V596" s="109">
        <v>19</v>
      </c>
      <c r="W596" s="109">
        <v>16</v>
      </c>
      <c r="X596" s="109">
        <v>14</v>
      </c>
      <c r="Y596" s="109">
        <v>11</v>
      </c>
      <c r="Z596" s="109">
        <v>7</v>
      </c>
      <c r="AA596" s="109">
        <v>18</v>
      </c>
      <c r="AB596" s="109">
        <v>12</v>
      </c>
      <c r="AC596" s="109">
        <v>12</v>
      </c>
      <c r="AD596" s="109">
        <v>14</v>
      </c>
      <c r="AE596" s="110">
        <v>11</v>
      </c>
      <c r="AF596" s="109"/>
      <c r="AG596" s="13"/>
      <c r="AH596" s="13"/>
    </row>
    <row r="597" spans="1:34" ht="12.75" customHeight="1">
      <c r="A597" s="10" t="s">
        <v>337</v>
      </c>
      <c r="B597" s="11">
        <f>AVERAGE(E597:AE597)</f>
        <v>14.555555555555555</v>
      </c>
      <c r="C597" s="2">
        <f>MIN(E597:AE597)</f>
        <v>7</v>
      </c>
      <c r="D597" s="12">
        <f>MAX(E597:AE597)</f>
        <v>23</v>
      </c>
      <c r="E597" s="109">
        <v>9</v>
      </c>
      <c r="F597" s="13">
        <v>10</v>
      </c>
      <c r="G597" s="109">
        <v>9</v>
      </c>
      <c r="H597" s="109">
        <v>17</v>
      </c>
      <c r="I597" s="109">
        <v>15</v>
      </c>
      <c r="J597" s="109">
        <v>15</v>
      </c>
      <c r="K597" s="109">
        <v>17</v>
      </c>
      <c r="L597" s="109">
        <v>18</v>
      </c>
      <c r="M597" s="109">
        <v>18</v>
      </c>
      <c r="N597" s="109">
        <v>16</v>
      </c>
      <c r="O597" s="109">
        <v>16</v>
      </c>
      <c r="P597" s="109">
        <v>8</v>
      </c>
      <c r="Q597" s="109">
        <v>18</v>
      </c>
      <c r="R597" s="109">
        <v>22</v>
      </c>
      <c r="S597" s="109">
        <v>10</v>
      </c>
      <c r="T597" s="109">
        <v>23</v>
      </c>
      <c r="U597" s="109">
        <v>17</v>
      </c>
      <c r="V597" s="109">
        <v>19</v>
      </c>
      <c r="W597" s="109">
        <v>17</v>
      </c>
      <c r="X597" s="109">
        <v>14</v>
      </c>
      <c r="Y597" s="109">
        <v>11</v>
      </c>
      <c r="Z597" s="109">
        <v>7</v>
      </c>
      <c r="AA597" s="109">
        <v>18</v>
      </c>
      <c r="AB597" s="109">
        <v>12</v>
      </c>
      <c r="AC597" s="109">
        <v>12</v>
      </c>
      <c r="AD597" s="109">
        <v>14</v>
      </c>
      <c r="AE597" s="109">
        <v>11</v>
      </c>
      <c r="AF597" s="109"/>
      <c r="AG597" s="13"/>
      <c r="AH597" s="13"/>
    </row>
    <row r="598" spans="1:34" ht="12.75" customHeight="1">
      <c r="A598" s="10" t="s">
        <v>338</v>
      </c>
      <c r="B598" s="11">
        <f>AVERAGE(E598:AE598)</f>
        <v>14.703703703703704</v>
      </c>
      <c r="C598" s="2">
        <f>MIN(E598:AE598)</f>
        <v>8</v>
      </c>
      <c r="D598" s="12">
        <f>MAX(E598:AE598)</f>
        <v>23</v>
      </c>
      <c r="E598" s="109">
        <v>9</v>
      </c>
      <c r="F598" s="13">
        <v>10</v>
      </c>
      <c r="G598" s="109">
        <v>9</v>
      </c>
      <c r="H598" s="109">
        <v>17</v>
      </c>
      <c r="I598" s="109">
        <v>15</v>
      </c>
      <c r="J598" s="109">
        <v>15</v>
      </c>
      <c r="K598" s="109">
        <v>17</v>
      </c>
      <c r="L598" s="109">
        <v>18</v>
      </c>
      <c r="M598" s="109">
        <v>18</v>
      </c>
      <c r="N598" s="109">
        <v>16</v>
      </c>
      <c r="O598" s="109">
        <v>17</v>
      </c>
      <c r="P598" s="109">
        <v>8</v>
      </c>
      <c r="Q598" s="109">
        <v>18</v>
      </c>
      <c r="R598" s="109">
        <v>22</v>
      </c>
      <c r="S598" s="109">
        <v>11</v>
      </c>
      <c r="T598" s="109">
        <v>23</v>
      </c>
      <c r="U598" s="109">
        <v>17</v>
      </c>
      <c r="V598" s="109">
        <v>19</v>
      </c>
      <c r="W598" s="109">
        <v>18</v>
      </c>
      <c r="X598" s="109">
        <v>14</v>
      </c>
      <c r="Y598" s="109">
        <v>11</v>
      </c>
      <c r="Z598" s="109">
        <v>8</v>
      </c>
      <c r="AA598" s="109">
        <v>18</v>
      </c>
      <c r="AB598" s="109">
        <v>12</v>
      </c>
      <c r="AC598" s="109">
        <v>12</v>
      </c>
      <c r="AD598" s="109">
        <v>14</v>
      </c>
      <c r="AE598" s="110">
        <v>11</v>
      </c>
      <c r="AF598" s="109"/>
      <c r="AG598" s="13"/>
      <c r="AH598" s="13"/>
    </row>
    <row r="599" spans="1:34" ht="12.75" customHeight="1">
      <c r="A599" s="10" t="s">
        <v>339</v>
      </c>
      <c r="B599" s="11">
        <f>AVERAGE(E599:AE599)</f>
        <v>14.814814814814815</v>
      </c>
      <c r="C599" s="2">
        <f>MIN(E599:AE599)</f>
        <v>8</v>
      </c>
      <c r="D599" s="12">
        <f>MAX(E599:AE599)</f>
        <v>23</v>
      </c>
      <c r="E599" s="109">
        <v>9</v>
      </c>
      <c r="F599" s="13">
        <v>10</v>
      </c>
      <c r="G599" s="109">
        <v>9</v>
      </c>
      <c r="H599" s="109">
        <v>18</v>
      </c>
      <c r="I599" s="109">
        <v>15</v>
      </c>
      <c r="J599" s="109">
        <v>15</v>
      </c>
      <c r="K599" s="109">
        <v>17</v>
      </c>
      <c r="L599" s="109">
        <v>18</v>
      </c>
      <c r="M599" s="109">
        <v>18</v>
      </c>
      <c r="N599" s="109">
        <v>16</v>
      </c>
      <c r="O599" s="109">
        <v>17</v>
      </c>
      <c r="P599" s="109">
        <v>8</v>
      </c>
      <c r="Q599" s="109">
        <v>18</v>
      </c>
      <c r="R599" s="109">
        <v>22</v>
      </c>
      <c r="S599" s="109">
        <v>11</v>
      </c>
      <c r="T599" s="109">
        <v>23</v>
      </c>
      <c r="U599" s="109">
        <v>17</v>
      </c>
      <c r="V599" s="109">
        <v>19</v>
      </c>
      <c r="W599" s="109">
        <v>19</v>
      </c>
      <c r="X599" s="109">
        <v>14</v>
      </c>
      <c r="Y599" s="109">
        <v>12</v>
      </c>
      <c r="Z599" s="109">
        <v>8</v>
      </c>
      <c r="AA599" s="109">
        <v>18</v>
      </c>
      <c r="AB599" s="109">
        <v>12</v>
      </c>
      <c r="AC599" s="109">
        <v>12</v>
      </c>
      <c r="AD599" s="109">
        <v>14</v>
      </c>
      <c r="AE599" s="109">
        <v>11</v>
      </c>
      <c r="AF599" s="109"/>
      <c r="AG599" s="13"/>
      <c r="AH599" s="13"/>
    </row>
    <row r="600" spans="1:34" ht="12.75" customHeight="1">
      <c r="A600" s="10" t="s">
        <v>340</v>
      </c>
      <c r="B600" s="11">
        <f>AVERAGE(E600:AE600)</f>
        <v>14.888888888888889</v>
      </c>
      <c r="C600" s="2">
        <f>MIN(E600:AE600)</f>
        <v>8</v>
      </c>
      <c r="D600" s="12">
        <f>MAX(E600:AE600)</f>
        <v>23</v>
      </c>
      <c r="E600" s="109">
        <v>9</v>
      </c>
      <c r="F600" s="13">
        <v>10</v>
      </c>
      <c r="G600" s="109">
        <v>9</v>
      </c>
      <c r="H600" s="109">
        <v>18</v>
      </c>
      <c r="I600" s="109">
        <v>15</v>
      </c>
      <c r="J600" s="109">
        <v>15</v>
      </c>
      <c r="K600" s="109">
        <v>17</v>
      </c>
      <c r="L600" s="109">
        <v>18</v>
      </c>
      <c r="M600" s="109">
        <v>18</v>
      </c>
      <c r="N600" s="109">
        <v>16</v>
      </c>
      <c r="O600" s="109">
        <v>17</v>
      </c>
      <c r="P600" s="109">
        <v>9</v>
      </c>
      <c r="Q600" s="109">
        <v>18</v>
      </c>
      <c r="R600" s="109">
        <v>22</v>
      </c>
      <c r="S600" s="109">
        <v>11</v>
      </c>
      <c r="T600" s="109">
        <v>23</v>
      </c>
      <c r="U600" s="109">
        <v>17</v>
      </c>
      <c r="V600" s="109">
        <v>19</v>
      </c>
      <c r="W600" s="109">
        <v>19</v>
      </c>
      <c r="X600" s="109">
        <v>14</v>
      </c>
      <c r="Y600" s="109">
        <v>13</v>
      </c>
      <c r="Z600" s="109">
        <v>8</v>
      </c>
      <c r="AA600" s="109">
        <v>18</v>
      </c>
      <c r="AB600" s="109">
        <v>12</v>
      </c>
      <c r="AC600" s="109">
        <v>12</v>
      </c>
      <c r="AD600" s="109">
        <v>14</v>
      </c>
      <c r="AE600" s="110">
        <v>11</v>
      </c>
      <c r="AF600" s="109"/>
      <c r="AG600" s="13"/>
      <c r="AH600" s="13"/>
    </row>
    <row r="601" spans="1:34" ht="12.75" customHeight="1">
      <c r="A601" s="10" t="s">
        <v>341</v>
      </c>
      <c r="B601" s="11">
        <f>AVERAGE(E601:AE601)</f>
        <v>15</v>
      </c>
      <c r="C601" s="2">
        <f>MIN(E601:AE601)</f>
        <v>8</v>
      </c>
      <c r="D601" s="12">
        <f>MAX(E601:AE601)</f>
        <v>23</v>
      </c>
      <c r="E601" s="109">
        <v>9</v>
      </c>
      <c r="F601" s="13">
        <v>10</v>
      </c>
      <c r="G601" s="109">
        <v>9</v>
      </c>
      <c r="H601" s="109">
        <v>18</v>
      </c>
      <c r="I601" s="109">
        <v>16</v>
      </c>
      <c r="J601" s="109">
        <v>16</v>
      </c>
      <c r="K601" s="109">
        <v>17</v>
      </c>
      <c r="L601" s="109">
        <v>18</v>
      </c>
      <c r="M601" s="109">
        <v>18</v>
      </c>
      <c r="N601" s="109">
        <v>16</v>
      </c>
      <c r="O601" s="109">
        <v>17</v>
      </c>
      <c r="P601" s="109">
        <v>9</v>
      </c>
      <c r="Q601" s="109">
        <v>18</v>
      </c>
      <c r="R601" s="109">
        <v>22</v>
      </c>
      <c r="S601" s="109">
        <v>11</v>
      </c>
      <c r="T601" s="109">
        <v>23</v>
      </c>
      <c r="U601" s="109">
        <v>17</v>
      </c>
      <c r="V601" s="109">
        <v>19</v>
      </c>
      <c r="W601" s="109">
        <v>19</v>
      </c>
      <c r="X601" s="109">
        <v>15</v>
      </c>
      <c r="Y601" s="109">
        <v>13</v>
      </c>
      <c r="Z601" s="109">
        <v>8</v>
      </c>
      <c r="AA601" s="109">
        <v>18</v>
      </c>
      <c r="AB601" s="109">
        <v>12</v>
      </c>
      <c r="AC601" s="109">
        <v>12</v>
      </c>
      <c r="AD601" s="109">
        <v>14</v>
      </c>
      <c r="AE601" s="109">
        <v>11</v>
      </c>
      <c r="AF601" s="109"/>
      <c r="AG601" s="13"/>
      <c r="AH601" s="13"/>
    </row>
    <row r="602" spans="1:34" ht="12.75" customHeight="1">
      <c r="A602" s="10" t="s">
        <v>342</v>
      </c>
      <c r="B602" s="11">
        <f>AVERAGE(E602:AE602)</f>
        <v>15.148148148148149</v>
      </c>
      <c r="C602" s="2">
        <f>MIN(E602:AE602)</f>
        <v>9</v>
      </c>
      <c r="D602" s="12">
        <f>MAX(E602:AE602)</f>
        <v>23</v>
      </c>
      <c r="E602" s="109">
        <v>9</v>
      </c>
      <c r="F602" s="13">
        <v>10</v>
      </c>
      <c r="G602" s="109">
        <v>9</v>
      </c>
      <c r="H602" s="109">
        <v>18</v>
      </c>
      <c r="I602" s="109">
        <v>17</v>
      </c>
      <c r="J602" s="109">
        <v>16</v>
      </c>
      <c r="K602" s="109">
        <v>17</v>
      </c>
      <c r="L602" s="109">
        <v>18</v>
      </c>
      <c r="M602" s="109">
        <v>18</v>
      </c>
      <c r="N602" s="109">
        <v>16</v>
      </c>
      <c r="O602" s="109">
        <v>17</v>
      </c>
      <c r="P602" s="109">
        <v>9</v>
      </c>
      <c r="Q602" s="109">
        <v>19</v>
      </c>
      <c r="R602" s="109">
        <v>22</v>
      </c>
      <c r="S602" s="109">
        <v>11</v>
      </c>
      <c r="T602" s="109">
        <v>23</v>
      </c>
      <c r="U602" s="109">
        <v>17</v>
      </c>
      <c r="V602" s="109">
        <v>19</v>
      </c>
      <c r="W602" s="109">
        <v>19</v>
      </c>
      <c r="X602" s="109">
        <v>15</v>
      </c>
      <c r="Y602" s="109">
        <v>13</v>
      </c>
      <c r="Z602" s="109">
        <v>9</v>
      </c>
      <c r="AA602" s="109">
        <v>18</v>
      </c>
      <c r="AB602" s="109">
        <v>12</v>
      </c>
      <c r="AC602" s="109">
        <v>12</v>
      </c>
      <c r="AD602" s="109">
        <v>15</v>
      </c>
      <c r="AE602" s="110">
        <v>11</v>
      </c>
      <c r="AF602" s="109"/>
      <c r="AG602" s="13"/>
      <c r="AH602" s="13"/>
    </row>
    <row r="603" spans="1:34" ht="12.75" customHeight="1">
      <c r="A603" s="10" t="s">
        <v>343</v>
      </c>
      <c r="B603" s="11">
        <f>AVERAGE(E603:AE603)</f>
        <v>15.25925925925926</v>
      </c>
      <c r="C603" s="2">
        <f>MIN(E603:AE603)</f>
        <v>9</v>
      </c>
      <c r="D603" s="12">
        <f>MAX(E603:AE603)</f>
        <v>23</v>
      </c>
      <c r="E603" s="109">
        <v>9</v>
      </c>
      <c r="F603" s="13">
        <v>10</v>
      </c>
      <c r="G603" s="109">
        <v>9</v>
      </c>
      <c r="H603" s="109">
        <v>18</v>
      </c>
      <c r="I603" s="109">
        <v>17</v>
      </c>
      <c r="J603" s="109">
        <v>16</v>
      </c>
      <c r="K603" s="109">
        <v>17</v>
      </c>
      <c r="L603" s="109">
        <v>18</v>
      </c>
      <c r="M603" s="109">
        <v>18</v>
      </c>
      <c r="N603" s="109">
        <v>16</v>
      </c>
      <c r="O603" s="109">
        <v>17</v>
      </c>
      <c r="P603" s="109">
        <v>10</v>
      </c>
      <c r="Q603" s="109">
        <v>19</v>
      </c>
      <c r="R603" s="109">
        <v>22</v>
      </c>
      <c r="S603" s="109">
        <v>11</v>
      </c>
      <c r="T603" s="109">
        <v>23</v>
      </c>
      <c r="U603" s="109">
        <v>18</v>
      </c>
      <c r="V603" s="109">
        <v>19</v>
      </c>
      <c r="W603" s="109">
        <v>19</v>
      </c>
      <c r="X603" s="109">
        <v>15</v>
      </c>
      <c r="Y603" s="109">
        <v>13</v>
      </c>
      <c r="Z603" s="109">
        <v>9</v>
      </c>
      <c r="AA603" s="109">
        <v>18</v>
      </c>
      <c r="AB603" s="109">
        <v>12</v>
      </c>
      <c r="AC603" s="109">
        <v>12</v>
      </c>
      <c r="AD603" s="109">
        <v>16</v>
      </c>
      <c r="AE603" s="109">
        <v>11</v>
      </c>
      <c r="AF603" s="109"/>
      <c r="AG603" s="13"/>
      <c r="AH603" s="13"/>
    </row>
    <row r="604" spans="1:34" ht="12.75" customHeight="1">
      <c r="A604" s="10" t="s">
        <v>344</v>
      </c>
      <c r="B604" s="11">
        <f>AVERAGE(E604:AE604)</f>
        <v>15.37037037037037</v>
      </c>
      <c r="C604" s="2">
        <f>MIN(E604:AE604)</f>
        <v>9</v>
      </c>
      <c r="D604" s="12">
        <f>MAX(E604:AE604)</f>
        <v>23</v>
      </c>
      <c r="E604" s="109">
        <v>9</v>
      </c>
      <c r="F604" s="13">
        <v>10</v>
      </c>
      <c r="G604" s="109">
        <v>10</v>
      </c>
      <c r="H604" s="109">
        <v>18</v>
      </c>
      <c r="I604" s="109">
        <v>17</v>
      </c>
      <c r="J604" s="109">
        <v>16</v>
      </c>
      <c r="K604" s="109">
        <v>17</v>
      </c>
      <c r="L604" s="109">
        <v>18</v>
      </c>
      <c r="M604" s="109">
        <v>18</v>
      </c>
      <c r="N604" s="109">
        <v>16</v>
      </c>
      <c r="O604" s="109">
        <v>17</v>
      </c>
      <c r="P604" s="109">
        <v>11</v>
      </c>
      <c r="Q604" s="109">
        <v>19</v>
      </c>
      <c r="R604" s="109">
        <v>22</v>
      </c>
      <c r="S604" s="109">
        <v>11</v>
      </c>
      <c r="T604" s="109">
        <v>23</v>
      </c>
      <c r="U604" s="109">
        <v>19</v>
      </c>
      <c r="V604" s="109">
        <v>19</v>
      </c>
      <c r="W604" s="13">
        <v>19</v>
      </c>
      <c r="X604" s="109">
        <v>15</v>
      </c>
      <c r="Y604" s="109">
        <v>13</v>
      </c>
      <c r="Z604" s="109">
        <v>9</v>
      </c>
      <c r="AA604" s="109">
        <v>18</v>
      </c>
      <c r="AB604" s="109">
        <v>12</v>
      </c>
      <c r="AC604" s="109">
        <v>12</v>
      </c>
      <c r="AD604" s="109">
        <v>16</v>
      </c>
      <c r="AE604" s="110">
        <v>11</v>
      </c>
      <c r="AF604" s="109"/>
      <c r="AG604" s="13"/>
      <c r="AH604" s="13"/>
    </row>
    <row r="605" spans="1:34" ht="12.75" customHeight="1">
      <c r="A605" s="10" t="s">
        <v>345</v>
      </c>
      <c r="B605" s="11">
        <f>AVERAGE(E605:AE605)</f>
        <v>15.518518518518519</v>
      </c>
      <c r="C605" s="2">
        <f>MIN(E605:AE605)</f>
        <v>9</v>
      </c>
      <c r="D605" s="12">
        <f>MAX(E605:AE605)</f>
        <v>23</v>
      </c>
      <c r="E605" s="109">
        <v>9</v>
      </c>
      <c r="F605" s="13">
        <v>10</v>
      </c>
      <c r="G605" s="109">
        <v>10</v>
      </c>
      <c r="H605" s="109">
        <v>19</v>
      </c>
      <c r="I605" s="109">
        <v>17</v>
      </c>
      <c r="J605" s="109">
        <v>16</v>
      </c>
      <c r="K605" s="109">
        <v>17</v>
      </c>
      <c r="L605" s="109">
        <v>18</v>
      </c>
      <c r="M605" s="109">
        <v>18</v>
      </c>
      <c r="N605" s="109">
        <v>16</v>
      </c>
      <c r="O605" s="109">
        <v>18</v>
      </c>
      <c r="P605" s="109">
        <v>11</v>
      </c>
      <c r="Q605" s="109">
        <v>19</v>
      </c>
      <c r="R605" s="109">
        <v>22</v>
      </c>
      <c r="S605" s="109">
        <v>11</v>
      </c>
      <c r="T605" s="109">
        <v>23</v>
      </c>
      <c r="U605" s="109">
        <v>19</v>
      </c>
      <c r="V605" s="109">
        <v>19</v>
      </c>
      <c r="W605" s="13">
        <v>19</v>
      </c>
      <c r="X605" s="109">
        <v>15</v>
      </c>
      <c r="Y605" s="109">
        <v>13</v>
      </c>
      <c r="Z605" s="109">
        <v>9</v>
      </c>
      <c r="AA605" s="109">
        <v>18</v>
      </c>
      <c r="AB605" s="109">
        <v>12</v>
      </c>
      <c r="AC605" s="109">
        <v>13</v>
      </c>
      <c r="AD605" s="109">
        <v>17</v>
      </c>
      <c r="AE605" s="109">
        <v>11</v>
      </c>
      <c r="AF605" s="109"/>
      <c r="AG605" s="13"/>
      <c r="AH605" s="13"/>
    </row>
    <row r="606" spans="1:34" ht="12.75" customHeight="1">
      <c r="A606" s="10" t="s">
        <v>346</v>
      </c>
      <c r="B606" s="11">
        <f>AVERAGE(E606:AE606)</f>
        <v>15.666666666666666</v>
      </c>
      <c r="C606" s="2">
        <f>MIN(E606:AE606)</f>
        <v>9</v>
      </c>
      <c r="D606" s="12">
        <f>MAX(E606:AE606)</f>
        <v>23</v>
      </c>
      <c r="E606" s="109">
        <v>9</v>
      </c>
      <c r="F606" s="13">
        <v>10</v>
      </c>
      <c r="G606" s="109">
        <v>10</v>
      </c>
      <c r="H606" s="109">
        <v>19</v>
      </c>
      <c r="I606" s="109">
        <v>17</v>
      </c>
      <c r="J606" s="109">
        <v>16</v>
      </c>
      <c r="K606" s="109">
        <v>17</v>
      </c>
      <c r="L606" s="109">
        <v>18</v>
      </c>
      <c r="M606" s="109">
        <v>18</v>
      </c>
      <c r="N606" s="109">
        <v>16</v>
      </c>
      <c r="O606" s="109">
        <v>18</v>
      </c>
      <c r="P606" s="109">
        <v>11</v>
      </c>
      <c r="Q606" s="109">
        <v>19</v>
      </c>
      <c r="R606" s="109">
        <v>22</v>
      </c>
      <c r="S606" s="109">
        <v>11</v>
      </c>
      <c r="T606" s="109">
        <v>23</v>
      </c>
      <c r="U606" s="109">
        <v>19</v>
      </c>
      <c r="V606" s="109">
        <v>19</v>
      </c>
      <c r="W606" s="13">
        <v>20</v>
      </c>
      <c r="X606" s="109">
        <v>15</v>
      </c>
      <c r="Y606" s="109">
        <v>13</v>
      </c>
      <c r="Z606" s="109">
        <v>10</v>
      </c>
      <c r="AA606" s="109">
        <v>18</v>
      </c>
      <c r="AB606" s="109">
        <v>12</v>
      </c>
      <c r="AC606" s="109">
        <v>14</v>
      </c>
      <c r="AD606" s="109">
        <v>18</v>
      </c>
      <c r="AE606" s="110">
        <v>11</v>
      </c>
      <c r="AF606" s="109"/>
      <c r="AG606" s="13"/>
      <c r="AH606" s="13"/>
    </row>
    <row r="607" spans="1:34" ht="12.75" customHeight="1">
      <c r="A607" s="10" t="s">
        <v>347</v>
      </c>
      <c r="B607" s="11">
        <f>AVERAGE(E607:AE607)</f>
        <v>15.777777777777779</v>
      </c>
      <c r="C607" s="2">
        <f>MIN(E607:AE607)</f>
        <v>9</v>
      </c>
      <c r="D607" s="12">
        <f>MAX(E607:AE607)</f>
        <v>23</v>
      </c>
      <c r="E607" s="109">
        <v>9</v>
      </c>
      <c r="F607" s="13">
        <v>10</v>
      </c>
      <c r="G607" s="109">
        <v>11</v>
      </c>
      <c r="H607" s="109">
        <v>19</v>
      </c>
      <c r="I607" s="109">
        <v>17</v>
      </c>
      <c r="J607" s="109">
        <v>16</v>
      </c>
      <c r="K607" s="109">
        <v>17</v>
      </c>
      <c r="L607" s="109">
        <v>18</v>
      </c>
      <c r="M607" s="109">
        <v>18</v>
      </c>
      <c r="N607" s="109">
        <v>17</v>
      </c>
      <c r="O607" s="109">
        <v>18</v>
      </c>
      <c r="P607" s="109">
        <v>11</v>
      </c>
      <c r="Q607" s="109">
        <v>20</v>
      </c>
      <c r="R607" s="109">
        <v>22</v>
      </c>
      <c r="S607" s="13">
        <v>11</v>
      </c>
      <c r="T607" s="109">
        <v>23</v>
      </c>
      <c r="U607" s="109">
        <v>19</v>
      </c>
      <c r="V607" s="109">
        <v>19</v>
      </c>
      <c r="W607" s="13">
        <v>20</v>
      </c>
      <c r="X607" s="109">
        <v>15</v>
      </c>
      <c r="Y607" s="109">
        <v>13</v>
      </c>
      <c r="Z607" s="109">
        <v>10</v>
      </c>
      <c r="AA607" s="109">
        <v>18</v>
      </c>
      <c r="AB607" s="109">
        <v>12</v>
      </c>
      <c r="AC607" s="109">
        <v>14</v>
      </c>
      <c r="AD607" s="109">
        <v>18</v>
      </c>
      <c r="AE607" s="109">
        <v>11</v>
      </c>
      <c r="AF607" s="109"/>
      <c r="AG607" s="13"/>
      <c r="AH607" s="13"/>
    </row>
    <row r="608" spans="1:34" ht="12.75" customHeight="1">
      <c r="A608" s="10" t="s">
        <v>348</v>
      </c>
      <c r="B608" s="11">
        <f>AVERAGE(E608:AE608)</f>
        <v>15.925925925925926</v>
      </c>
      <c r="C608" s="2">
        <f>MIN(E608:AE608)</f>
        <v>9</v>
      </c>
      <c r="D608" s="12">
        <f>MAX(E608:AE608)</f>
        <v>23</v>
      </c>
      <c r="E608" s="109">
        <v>9</v>
      </c>
      <c r="F608" s="13">
        <v>10</v>
      </c>
      <c r="G608" s="109">
        <v>12</v>
      </c>
      <c r="H608" s="109">
        <v>19</v>
      </c>
      <c r="I608" s="109">
        <v>17</v>
      </c>
      <c r="J608" s="109">
        <v>17</v>
      </c>
      <c r="K608" s="109">
        <v>18</v>
      </c>
      <c r="L608" s="109">
        <v>19</v>
      </c>
      <c r="M608" s="109">
        <v>18</v>
      </c>
      <c r="N608" s="109">
        <v>17</v>
      </c>
      <c r="O608" s="109">
        <v>18</v>
      </c>
      <c r="P608" s="109">
        <v>11</v>
      </c>
      <c r="Q608" s="109">
        <v>20</v>
      </c>
      <c r="R608" s="109">
        <v>22</v>
      </c>
      <c r="S608" s="13">
        <v>11</v>
      </c>
      <c r="T608" s="109">
        <v>23</v>
      </c>
      <c r="U608" s="109">
        <v>19</v>
      </c>
      <c r="V608" s="109">
        <v>19</v>
      </c>
      <c r="W608" s="13">
        <v>20</v>
      </c>
      <c r="X608" s="109">
        <v>15</v>
      </c>
      <c r="Y608" s="109">
        <v>13</v>
      </c>
      <c r="Z608" s="109">
        <v>10</v>
      </c>
      <c r="AA608" s="109">
        <v>18</v>
      </c>
      <c r="AB608" s="109">
        <v>12</v>
      </c>
      <c r="AC608" s="109">
        <v>14</v>
      </c>
      <c r="AD608" s="109">
        <v>18</v>
      </c>
      <c r="AE608" s="110">
        <v>11</v>
      </c>
      <c r="AF608" s="109"/>
      <c r="AG608" s="13"/>
      <c r="AH608" s="13"/>
    </row>
    <row r="609" spans="1:34" ht="12.75" customHeight="1">
      <c r="A609" s="10" t="s">
        <v>349</v>
      </c>
      <c r="B609" s="11">
        <f>AVERAGE(E609:AE609)</f>
        <v>16.037037037037038</v>
      </c>
      <c r="C609" s="2">
        <f>MIN(E609:AE609)</f>
        <v>9</v>
      </c>
      <c r="D609" s="12">
        <f>MAX(E609:AE609)</f>
        <v>23</v>
      </c>
      <c r="E609" s="109">
        <v>9</v>
      </c>
      <c r="F609" s="13">
        <v>11</v>
      </c>
      <c r="G609" s="109">
        <v>12</v>
      </c>
      <c r="H609" s="109">
        <v>19</v>
      </c>
      <c r="I609" s="109">
        <v>17</v>
      </c>
      <c r="J609" s="109">
        <v>17</v>
      </c>
      <c r="K609" s="109">
        <v>18</v>
      </c>
      <c r="L609" s="109">
        <v>19</v>
      </c>
      <c r="M609" s="109">
        <v>18</v>
      </c>
      <c r="N609" s="109">
        <v>17</v>
      </c>
      <c r="O609" s="109">
        <v>18</v>
      </c>
      <c r="P609" s="109">
        <v>11</v>
      </c>
      <c r="Q609" s="109">
        <v>20</v>
      </c>
      <c r="R609" s="109">
        <v>23</v>
      </c>
      <c r="S609" s="13">
        <v>11</v>
      </c>
      <c r="T609" s="109">
        <v>23</v>
      </c>
      <c r="U609" s="109">
        <v>19</v>
      </c>
      <c r="V609" s="109">
        <v>19</v>
      </c>
      <c r="W609" s="13">
        <v>20</v>
      </c>
      <c r="X609" s="109">
        <v>15</v>
      </c>
      <c r="Y609" s="109">
        <v>13</v>
      </c>
      <c r="Z609" s="13">
        <v>10</v>
      </c>
      <c r="AA609" s="109">
        <v>18</v>
      </c>
      <c r="AB609" s="109">
        <v>12</v>
      </c>
      <c r="AC609" s="109">
        <v>14</v>
      </c>
      <c r="AD609" s="109">
        <v>19</v>
      </c>
      <c r="AE609" s="109">
        <v>11</v>
      </c>
      <c r="AF609" s="109"/>
      <c r="AG609" s="13"/>
      <c r="AH609" s="13"/>
    </row>
    <row r="610" spans="1:34" ht="12.75" customHeight="1">
      <c r="A610" s="10" t="s">
        <v>350</v>
      </c>
      <c r="B610" s="11">
        <f>AVERAGE(E610:AE610)</f>
        <v>16.148148148148149</v>
      </c>
      <c r="C610" s="2">
        <f>MIN(E610:AE610)</f>
        <v>9</v>
      </c>
      <c r="D610" s="12">
        <f>MAX(E610:AE610)</f>
        <v>23</v>
      </c>
      <c r="E610" s="109">
        <v>9</v>
      </c>
      <c r="F610" s="13">
        <v>11</v>
      </c>
      <c r="G610" s="109">
        <v>12</v>
      </c>
      <c r="H610" s="109">
        <v>19</v>
      </c>
      <c r="I610" s="109">
        <v>17</v>
      </c>
      <c r="J610" s="109">
        <v>17</v>
      </c>
      <c r="K610" s="109">
        <v>19</v>
      </c>
      <c r="L610" s="109">
        <v>19</v>
      </c>
      <c r="M610" s="109">
        <v>19</v>
      </c>
      <c r="N610" s="109">
        <v>17</v>
      </c>
      <c r="O610" s="109">
        <v>18</v>
      </c>
      <c r="P610" s="109">
        <v>12</v>
      </c>
      <c r="Q610" s="109">
        <v>20</v>
      </c>
      <c r="R610" s="109">
        <v>23</v>
      </c>
      <c r="S610" s="13">
        <v>11</v>
      </c>
      <c r="T610" s="109">
        <v>23</v>
      </c>
      <c r="U610" s="109">
        <v>19</v>
      </c>
      <c r="V610" s="109">
        <v>19</v>
      </c>
      <c r="W610" s="13">
        <v>20</v>
      </c>
      <c r="X610" s="109">
        <v>15</v>
      </c>
      <c r="Y610" s="109">
        <v>13</v>
      </c>
      <c r="Z610" s="13">
        <v>10</v>
      </c>
      <c r="AA610" s="109">
        <v>18</v>
      </c>
      <c r="AB610" s="109">
        <v>12</v>
      </c>
      <c r="AC610" s="109">
        <v>14</v>
      </c>
      <c r="AD610" s="109">
        <v>19</v>
      </c>
      <c r="AE610" s="110">
        <v>11</v>
      </c>
      <c r="AF610" s="109"/>
      <c r="AG610" s="13"/>
      <c r="AH610" s="13"/>
    </row>
    <row r="611" spans="1:34" ht="12.75" customHeight="1">
      <c r="A611" s="10" t="s">
        <v>351</v>
      </c>
      <c r="B611" s="11">
        <f>AVERAGE(E611:AE611)</f>
        <v>16.25925925925926</v>
      </c>
      <c r="C611" s="2">
        <f>MIN(E611:AE611)</f>
        <v>9</v>
      </c>
      <c r="D611" s="12">
        <f>MAX(E611:AE611)</f>
        <v>23</v>
      </c>
      <c r="E611" s="109">
        <v>9</v>
      </c>
      <c r="F611" s="13">
        <v>11</v>
      </c>
      <c r="G611" s="109">
        <v>13</v>
      </c>
      <c r="H611" s="109">
        <v>19</v>
      </c>
      <c r="I611" s="109">
        <v>17</v>
      </c>
      <c r="J611" s="109">
        <v>17</v>
      </c>
      <c r="K611" s="109">
        <v>19</v>
      </c>
      <c r="L611" s="109">
        <v>19</v>
      </c>
      <c r="M611" s="109">
        <v>20</v>
      </c>
      <c r="N611" s="109">
        <v>17</v>
      </c>
      <c r="O611" s="109">
        <v>18</v>
      </c>
      <c r="P611" s="109">
        <v>12</v>
      </c>
      <c r="Q611" s="109">
        <v>20</v>
      </c>
      <c r="R611" s="109">
        <v>23</v>
      </c>
      <c r="S611" s="13">
        <v>11</v>
      </c>
      <c r="T611" s="109">
        <v>23</v>
      </c>
      <c r="U611" s="109">
        <v>19</v>
      </c>
      <c r="V611" s="13">
        <v>19</v>
      </c>
      <c r="W611" s="13">
        <v>20</v>
      </c>
      <c r="X611" s="109">
        <v>15</v>
      </c>
      <c r="Y611" s="109">
        <v>13</v>
      </c>
      <c r="Z611" s="13">
        <v>11</v>
      </c>
      <c r="AA611" s="109">
        <v>18</v>
      </c>
      <c r="AB611" s="109">
        <v>12</v>
      </c>
      <c r="AC611" s="109">
        <v>14</v>
      </c>
      <c r="AD611" s="109">
        <v>19</v>
      </c>
      <c r="AE611" s="109">
        <v>11</v>
      </c>
      <c r="AF611" s="109"/>
      <c r="AG611" s="13"/>
      <c r="AH611" s="13"/>
    </row>
    <row r="612" spans="1:34" ht="12.75" customHeight="1">
      <c r="A612" s="10" t="s">
        <v>352</v>
      </c>
      <c r="B612" s="11">
        <f>AVERAGE(E612:AE612)</f>
        <v>16.296296296296298</v>
      </c>
      <c r="C612" s="2">
        <f>MIN(E612:AE612)</f>
        <v>9</v>
      </c>
      <c r="D612" s="12">
        <f>MAX(E612:AE612)</f>
        <v>23</v>
      </c>
      <c r="E612" s="109">
        <v>9</v>
      </c>
      <c r="F612" s="13">
        <v>11</v>
      </c>
      <c r="G612" s="109">
        <v>13</v>
      </c>
      <c r="H612" s="109">
        <v>19</v>
      </c>
      <c r="I612" s="109">
        <v>17</v>
      </c>
      <c r="J612" s="109">
        <v>17</v>
      </c>
      <c r="K612" s="109">
        <v>19</v>
      </c>
      <c r="L612" s="109">
        <v>19</v>
      </c>
      <c r="M612" s="109">
        <v>21</v>
      </c>
      <c r="N612" s="109">
        <v>17</v>
      </c>
      <c r="O612" s="109">
        <v>18</v>
      </c>
      <c r="P612" s="109">
        <v>12</v>
      </c>
      <c r="Q612" s="109">
        <v>20</v>
      </c>
      <c r="R612" s="109">
        <v>23</v>
      </c>
      <c r="S612" s="13">
        <v>11</v>
      </c>
      <c r="T612" s="109">
        <v>23</v>
      </c>
      <c r="U612" s="109">
        <v>19</v>
      </c>
      <c r="V612" s="13">
        <v>19</v>
      </c>
      <c r="W612" s="13">
        <v>20</v>
      </c>
      <c r="X612" s="109">
        <v>15</v>
      </c>
      <c r="Y612" s="109">
        <v>13</v>
      </c>
      <c r="Z612" s="13">
        <v>11</v>
      </c>
      <c r="AA612" s="109">
        <v>18</v>
      </c>
      <c r="AB612" s="109">
        <v>12</v>
      </c>
      <c r="AC612" s="109">
        <v>14</v>
      </c>
      <c r="AD612" s="109">
        <v>19</v>
      </c>
      <c r="AE612" s="110">
        <v>11</v>
      </c>
      <c r="AF612" s="109"/>
      <c r="AG612" s="13"/>
      <c r="AH612" s="13"/>
    </row>
    <row r="613" spans="1:34" ht="12.75" customHeight="1">
      <c r="A613" s="10" t="s">
        <v>353</v>
      </c>
      <c r="B613" s="11">
        <f>AVERAGE(E613:AE613)</f>
        <v>16.333333333333332</v>
      </c>
      <c r="C613" s="2">
        <f>MIN(E613:AE613)</f>
        <v>9</v>
      </c>
      <c r="D613" s="12">
        <f>MAX(E613:AE613)</f>
        <v>23</v>
      </c>
      <c r="E613" s="109">
        <v>9</v>
      </c>
      <c r="F613" s="13">
        <v>11</v>
      </c>
      <c r="G613" s="109">
        <v>13</v>
      </c>
      <c r="H613" s="109">
        <v>19</v>
      </c>
      <c r="I613" s="109">
        <v>17</v>
      </c>
      <c r="J613" s="109">
        <v>17</v>
      </c>
      <c r="K613" s="109">
        <v>19</v>
      </c>
      <c r="L613" s="109">
        <v>19</v>
      </c>
      <c r="M613" s="109">
        <v>21</v>
      </c>
      <c r="N613" s="109">
        <v>17</v>
      </c>
      <c r="O613" s="109">
        <v>18</v>
      </c>
      <c r="P613" s="109">
        <v>12</v>
      </c>
      <c r="Q613" s="109">
        <v>21</v>
      </c>
      <c r="R613" s="109">
        <v>23</v>
      </c>
      <c r="S613" s="13">
        <v>11</v>
      </c>
      <c r="T613" s="109">
        <v>23</v>
      </c>
      <c r="U613" s="109">
        <v>19</v>
      </c>
      <c r="V613" s="13">
        <v>19</v>
      </c>
      <c r="W613" s="13">
        <v>20</v>
      </c>
      <c r="X613" s="109">
        <v>15</v>
      </c>
      <c r="Y613" s="109">
        <v>13</v>
      </c>
      <c r="Z613" s="13">
        <v>11</v>
      </c>
      <c r="AA613" s="109">
        <v>18</v>
      </c>
      <c r="AB613" s="109">
        <v>12</v>
      </c>
      <c r="AC613" s="109">
        <v>14</v>
      </c>
      <c r="AD613" s="109">
        <v>19</v>
      </c>
      <c r="AE613" s="109">
        <v>11</v>
      </c>
      <c r="AF613" s="109"/>
      <c r="AG613" s="13"/>
      <c r="AH613" s="13"/>
    </row>
    <row r="614" spans="1:34" ht="12.75" customHeight="1">
      <c r="A614" s="10" t="s">
        <v>354</v>
      </c>
      <c r="B614" s="11">
        <f>AVERAGE(E614:AE614)</f>
        <v>16.481481481481481</v>
      </c>
      <c r="C614" s="2">
        <f>MIN(E614:AE614)</f>
        <v>9</v>
      </c>
      <c r="D614" s="12">
        <f>MAX(E614:AE614)</f>
        <v>23</v>
      </c>
      <c r="E614" s="109">
        <v>9</v>
      </c>
      <c r="F614" s="13">
        <v>11</v>
      </c>
      <c r="G614" s="109">
        <v>13</v>
      </c>
      <c r="H614" s="109">
        <v>19</v>
      </c>
      <c r="I614" s="109">
        <v>17</v>
      </c>
      <c r="J614" s="109">
        <v>18</v>
      </c>
      <c r="K614" s="109">
        <v>19</v>
      </c>
      <c r="L614" s="109">
        <v>20</v>
      </c>
      <c r="M614" s="109">
        <v>21</v>
      </c>
      <c r="N614" s="109">
        <v>17</v>
      </c>
      <c r="O614" s="109">
        <v>18</v>
      </c>
      <c r="P614" s="109">
        <v>12</v>
      </c>
      <c r="Q614" s="109">
        <v>21</v>
      </c>
      <c r="R614" s="109">
        <v>23</v>
      </c>
      <c r="S614" s="13">
        <v>11</v>
      </c>
      <c r="T614" s="109">
        <v>23</v>
      </c>
      <c r="U614" s="109">
        <v>19</v>
      </c>
      <c r="V614" s="13">
        <v>19</v>
      </c>
      <c r="W614" s="13">
        <v>21</v>
      </c>
      <c r="X614" s="109">
        <v>15</v>
      </c>
      <c r="Y614" s="109">
        <v>13</v>
      </c>
      <c r="Z614" s="13">
        <v>11</v>
      </c>
      <c r="AA614" s="109">
        <v>18</v>
      </c>
      <c r="AB614" s="109">
        <v>13</v>
      </c>
      <c r="AC614" s="109">
        <v>14</v>
      </c>
      <c r="AD614" s="109">
        <v>19</v>
      </c>
      <c r="AE614" s="110">
        <v>11</v>
      </c>
      <c r="AF614" s="109"/>
      <c r="AG614" s="13"/>
      <c r="AH614" s="13"/>
    </row>
    <row r="615" spans="1:34" ht="12.75" customHeight="1">
      <c r="A615" s="10" t="s">
        <v>355</v>
      </c>
      <c r="B615" s="11">
        <f>AVERAGE(E615:AE615)</f>
        <v>16.555555555555557</v>
      </c>
      <c r="C615" s="2">
        <f>MIN(E615:AE615)</f>
        <v>9</v>
      </c>
      <c r="D615" s="12">
        <f>MAX(E615:AE615)</f>
        <v>23</v>
      </c>
      <c r="E615" s="109">
        <v>9</v>
      </c>
      <c r="F615" s="13">
        <v>11</v>
      </c>
      <c r="G615" s="109">
        <v>14</v>
      </c>
      <c r="H615" s="109">
        <v>19</v>
      </c>
      <c r="I615" s="109">
        <v>17</v>
      </c>
      <c r="J615" s="109">
        <v>18</v>
      </c>
      <c r="K615" s="109">
        <v>19</v>
      </c>
      <c r="L615" s="109">
        <v>21</v>
      </c>
      <c r="M615" s="109">
        <v>21</v>
      </c>
      <c r="N615" s="109">
        <v>17</v>
      </c>
      <c r="O615" s="109">
        <v>18</v>
      </c>
      <c r="P615" s="109">
        <v>12</v>
      </c>
      <c r="Q615" s="109">
        <v>21</v>
      </c>
      <c r="R615" s="109">
        <v>23</v>
      </c>
      <c r="S615" s="13">
        <v>11</v>
      </c>
      <c r="T615" s="109">
        <v>23</v>
      </c>
      <c r="U615" s="109">
        <v>19</v>
      </c>
      <c r="V615" s="13">
        <v>19</v>
      </c>
      <c r="W615" s="13">
        <v>21</v>
      </c>
      <c r="X615" s="109">
        <v>15</v>
      </c>
      <c r="Y615" s="109">
        <v>13</v>
      </c>
      <c r="Z615" s="13">
        <v>11</v>
      </c>
      <c r="AA615" s="109">
        <v>18</v>
      </c>
      <c r="AB615" s="109">
        <v>13</v>
      </c>
      <c r="AC615" s="109">
        <v>14</v>
      </c>
      <c r="AD615" s="109">
        <v>19</v>
      </c>
      <c r="AE615" s="109">
        <v>11</v>
      </c>
      <c r="AF615" s="109"/>
      <c r="AG615" s="13"/>
      <c r="AH615" s="13"/>
    </row>
    <row r="616" spans="1:34" ht="12.75" customHeight="1">
      <c r="A616" s="10" t="s">
        <v>356</v>
      </c>
      <c r="B616" s="11">
        <f>AVERAGE(E616:AE616)</f>
        <v>16.555555555555557</v>
      </c>
      <c r="C616" s="2">
        <f>MIN(E616:AE616)</f>
        <v>9</v>
      </c>
      <c r="D616" s="12">
        <f>MAX(E616:AE616)</f>
        <v>23</v>
      </c>
      <c r="E616" s="109">
        <v>9</v>
      </c>
      <c r="F616" s="13">
        <v>11</v>
      </c>
      <c r="G616" s="109">
        <v>14</v>
      </c>
      <c r="H616" s="109">
        <v>19</v>
      </c>
      <c r="I616" s="109">
        <v>17</v>
      </c>
      <c r="J616" s="109">
        <v>18</v>
      </c>
      <c r="K616" s="109">
        <v>19</v>
      </c>
      <c r="L616" s="109">
        <v>21</v>
      </c>
      <c r="M616" s="109">
        <v>21</v>
      </c>
      <c r="N616" s="109">
        <v>17</v>
      </c>
      <c r="O616" s="109">
        <v>18</v>
      </c>
      <c r="P616" s="109">
        <v>12</v>
      </c>
      <c r="Q616" s="109">
        <v>21</v>
      </c>
      <c r="R616" s="109">
        <v>23</v>
      </c>
      <c r="S616" s="13">
        <v>11</v>
      </c>
      <c r="T616" s="109">
        <v>23</v>
      </c>
      <c r="U616" s="109">
        <v>19</v>
      </c>
      <c r="V616" s="13">
        <v>19</v>
      </c>
      <c r="W616" s="13">
        <v>21</v>
      </c>
      <c r="X616" s="109">
        <v>15</v>
      </c>
      <c r="Y616" s="109">
        <v>13</v>
      </c>
      <c r="Z616" s="13">
        <v>11</v>
      </c>
      <c r="AA616" s="109">
        <v>18</v>
      </c>
      <c r="AB616" s="109">
        <v>13</v>
      </c>
      <c r="AC616" s="109">
        <v>14</v>
      </c>
      <c r="AD616" s="109">
        <v>19</v>
      </c>
      <c r="AE616" s="110">
        <v>11</v>
      </c>
      <c r="AF616" s="109"/>
      <c r="AG616" s="13"/>
      <c r="AH616" s="13"/>
    </row>
    <row r="617" spans="1:34" ht="12.75" customHeight="1">
      <c r="A617" s="10" t="s">
        <v>357</v>
      </c>
      <c r="B617" s="11">
        <f>AVERAGE(E617:AE617)</f>
        <v>16.62962962962963</v>
      </c>
      <c r="C617" s="2">
        <f>MIN(E617:AE617)</f>
        <v>9</v>
      </c>
      <c r="D617" s="12">
        <f>MAX(E617:AE617)</f>
        <v>23</v>
      </c>
      <c r="E617" s="109">
        <v>9</v>
      </c>
      <c r="F617" s="13">
        <v>11</v>
      </c>
      <c r="G617" s="109">
        <v>14</v>
      </c>
      <c r="H617" s="109">
        <v>19</v>
      </c>
      <c r="I617" s="109">
        <v>17</v>
      </c>
      <c r="J617" s="109">
        <v>18</v>
      </c>
      <c r="K617" s="109">
        <v>19</v>
      </c>
      <c r="L617" s="109">
        <v>21</v>
      </c>
      <c r="M617" s="109">
        <v>21</v>
      </c>
      <c r="N617" s="109">
        <v>17</v>
      </c>
      <c r="O617" s="109">
        <v>18</v>
      </c>
      <c r="P617" s="109">
        <v>12</v>
      </c>
      <c r="Q617" s="109">
        <v>21</v>
      </c>
      <c r="R617" s="109">
        <v>23</v>
      </c>
      <c r="S617" s="13">
        <v>11</v>
      </c>
      <c r="T617" s="109">
        <v>23</v>
      </c>
      <c r="U617" s="109">
        <v>19</v>
      </c>
      <c r="V617" s="13">
        <v>19</v>
      </c>
      <c r="W617" s="13">
        <v>21</v>
      </c>
      <c r="X617" s="109">
        <v>15</v>
      </c>
      <c r="Y617" s="109">
        <v>14</v>
      </c>
      <c r="Z617" s="13">
        <v>11</v>
      </c>
      <c r="AA617" s="109">
        <v>19</v>
      </c>
      <c r="AB617" s="109">
        <v>13</v>
      </c>
      <c r="AC617" s="109">
        <v>14</v>
      </c>
      <c r="AD617" s="109">
        <v>19</v>
      </c>
      <c r="AE617" s="109">
        <v>11</v>
      </c>
      <c r="AF617" s="109"/>
      <c r="AG617" s="13"/>
      <c r="AH617" s="13"/>
    </row>
    <row r="618" spans="1:34" ht="12.75" customHeight="1">
      <c r="A618" s="10" t="s">
        <v>358</v>
      </c>
      <c r="B618" s="11">
        <f>AVERAGE(E618:AE618)</f>
        <v>16.703703703703702</v>
      </c>
      <c r="C618" s="2">
        <f>MIN(E618:AE618)</f>
        <v>9</v>
      </c>
      <c r="D618" s="12">
        <f>MAX(E618:AE618)</f>
        <v>24</v>
      </c>
      <c r="E618" s="109">
        <v>9</v>
      </c>
      <c r="F618" s="13">
        <v>11</v>
      </c>
      <c r="G618" s="109">
        <v>14</v>
      </c>
      <c r="H618" s="109">
        <v>19</v>
      </c>
      <c r="I618" s="109">
        <v>17</v>
      </c>
      <c r="J618" s="109">
        <v>18</v>
      </c>
      <c r="K618" s="109">
        <v>19</v>
      </c>
      <c r="L618" s="109">
        <v>21</v>
      </c>
      <c r="M618" s="109">
        <v>21</v>
      </c>
      <c r="N618" s="109">
        <v>17</v>
      </c>
      <c r="O618" s="109">
        <v>18</v>
      </c>
      <c r="P618" s="109">
        <v>12</v>
      </c>
      <c r="Q618" s="109">
        <v>21</v>
      </c>
      <c r="R618" s="109">
        <v>24</v>
      </c>
      <c r="S618" s="13">
        <v>11</v>
      </c>
      <c r="T618" s="109">
        <v>24</v>
      </c>
      <c r="U618" s="109">
        <v>19</v>
      </c>
      <c r="V618" s="13">
        <v>19</v>
      </c>
      <c r="W618" s="13">
        <v>21</v>
      </c>
      <c r="X618" s="109">
        <v>15</v>
      </c>
      <c r="Y618" s="109">
        <v>14</v>
      </c>
      <c r="Z618" s="13">
        <v>11</v>
      </c>
      <c r="AA618" s="109">
        <v>19</v>
      </c>
      <c r="AB618" s="109">
        <v>13</v>
      </c>
      <c r="AC618" s="109">
        <v>14</v>
      </c>
      <c r="AD618" s="109">
        <v>19</v>
      </c>
      <c r="AE618" s="110">
        <v>11</v>
      </c>
      <c r="AF618" s="109"/>
      <c r="AG618" s="13"/>
      <c r="AH618" s="13"/>
    </row>
    <row r="619" spans="1:34" ht="12.75" customHeight="1">
      <c r="A619" s="10" t="s">
        <v>359</v>
      </c>
      <c r="B619" s="11">
        <f>AVERAGE(E619:AE619)</f>
        <v>16.777777777777779</v>
      </c>
      <c r="C619" s="2">
        <f>MIN(E619:AE619)</f>
        <v>9</v>
      </c>
      <c r="D619" s="12">
        <f>MAX(E619:AE619)</f>
        <v>24</v>
      </c>
      <c r="E619" s="109">
        <v>9</v>
      </c>
      <c r="F619" s="13">
        <v>12</v>
      </c>
      <c r="G619" s="109">
        <v>14</v>
      </c>
      <c r="H619" s="109">
        <v>19</v>
      </c>
      <c r="I619" s="109">
        <v>18</v>
      </c>
      <c r="J619" s="109">
        <v>18</v>
      </c>
      <c r="K619" s="109">
        <v>19</v>
      </c>
      <c r="L619" s="109">
        <v>21</v>
      </c>
      <c r="M619" s="109">
        <v>21</v>
      </c>
      <c r="N619" s="109">
        <v>17</v>
      </c>
      <c r="O619" s="109">
        <v>18</v>
      </c>
      <c r="P619" s="109">
        <v>12</v>
      </c>
      <c r="Q619" s="109">
        <v>21</v>
      </c>
      <c r="R619" s="109">
        <v>24</v>
      </c>
      <c r="S619" s="13">
        <v>11</v>
      </c>
      <c r="T619" s="109">
        <v>24</v>
      </c>
      <c r="U619" s="109">
        <v>19</v>
      </c>
      <c r="V619" s="13">
        <v>19</v>
      </c>
      <c r="W619" s="13">
        <v>21</v>
      </c>
      <c r="X619" s="109">
        <v>15</v>
      </c>
      <c r="Y619" s="109">
        <v>14</v>
      </c>
      <c r="Z619" s="13">
        <v>11</v>
      </c>
      <c r="AA619" s="13">
        <v>19</v>
      </c>
      <c r="AB619" s="109">
        <v>13</v>
      </c>
      <c r="AC619" s="109">
        <v>14</v>
      </c>
      <c r="AD619" s="109">
        <v>19</v>
      </c>
      <c r="AE619" s="109">
        <v>11</v>
      </c>
      <c r="AF619" s="109"/>
      <c r="AG619" s="13"/>
      <c r="AH619" s="13"/>
    </row>
    <row r="620" spans="1:34" ht="12.75" customHeight="1">
      <c r="A620" s="10" t="s">
        <v>360</v>
      </c>
      <c r="B620" s="11">
        <f>AVERAGE(E620:AE620)</f>
        <v>16.814814814814813</v>
      </c>
      <c r="C620" s="2">
        <f>MIN(E620:AE620)</f>
        <v>9</v>
      </c>
      <c r="D620" s="12">
        <f>MAX(E620:AE620)</f>
        <v>24</v>
      </c>
      <c r="E620" s="109">
        <v>9</v>
      </c>
      <c r="F620" s="13">
        <v>12</v>
      </c>
      <c r="G620" s="109">
        <v>14</v>
      </c>
      <c r="H620" s="109">
        <v>19</v>
      </c>
      <c r="I620" s="109">
        <v>18</v>
      </c>
      <c r="J620" s="109">
        <v>18</v>
      </c>
      <c r="K620" s="109">
        <v>19</v>
      </c>
      <c r="L620" s="109">
        <v>21</v>
      </c>
      <c r="M620" s="109">
        <v>21</v>
      </c>
      <c r="N620" s="109">
        <v>17</v>
      </c>
      <c r="O620" s="109">
        <v>18</v>
      </c>
      <c r="P620" s="109">
        <v>12</v>
      </c>
      <c r="Q620" s="109">
        <v>21</v>
      </c>
      <c r="R620" s="109">
        <v>24</v>
      </c>
      <c r="S620" s="13">
        <v>11</v>
      </c>
      <c r="T620" s="109">
        <v>24</v>
      </c>
      <c r="U620" s="109">
        <v>19</v>
      </c>
      <c r="V620" s="13">
        <v>19</v>
      </c>
      <c r="W620" s="13">
        <v>21</v>
      </c>
      <c r="X620" s="109">
        <v>15</v>
      </c>
      <c r="Y620" s="109">
        <v>15</v>
      </c>
      <c r="Z620" s="13">
        <v>11</v>
      </c>
      <c r="AA620" s="13">
        <v>19</v>
      </c>
      <c r="AB620" s="109">
        <v>13</v>
      </c>
      <c r="AC620" s="109">
        <v>14</v>
      </c>
      <c r="AD620" s="109">
        <v>19</v>
      </c>
      <c r="AE620" s="110">
        <v>11</v>
      </c>
      <c r="AF620" s="109"/>
      <c r="AG620" s="13"/>
      <c r="AH620" s="13"/>
    </row>
    <row r="621" spans="1:34" ht="12.75" customHeight="1">
      <c r="A621" s="10" t="s">
        <v>361</v>
      </c>
      <c r="B621" s="11">
        <f>AVERAGE(E621:AE621)</f>
        <v>16.814814814814813</v>
      </c>
      <c r="C621" s="2">
        <f>MIN(E621:AE621)</f>
        <v>9</v>
      </c>
      <c r="D621" s="12">
        <f>MAX(E621:AE621)</f>
        <v>24</v>
      </c>
      <c r="E621" s="109">
        <v>9</v>
      </c>
      <c r="F621" s="13">
        <v>12</v>
      </c>
      <c r="G621" s="13">
        <v>14</v>
      </c>
      <c r="H621" s="109">
        <v>19</v>
      </c>
      <c r="I621" s="109">
        <v>18</v>
      </c>
      <c r="J621" s="109">
        <v>18</v>
      </c>
      <c r="K621" s="109">
        <v>19</v>
      </c>
      <c r="L621" s="109">
        <v>21</v>
      </c>
      <c r="M621" s="109">
        <v>21</v>
      </c>
      <c r="N621" s="109">
        <v>17</v>
      </c>
      <c r="O621" s="109">
        <v>18</v>
      </c>
      <c r="P621" s="109">
        <v>12</v>
      </c>
      <c r="Q621" s="109">
        <v>21</v>
      </c>
      <c r="R621" s="109">
        <v>24</v>
      </c>
      <c r="S621" s="13">
        <v>11</v>
      </c>
      <c r="T621" s="109">
        <v>24</v>
      </c>
      <c r="U621" s="109">
        <v>19</v>
      </c>
      <c r="V621" s="13">
        <v>19</v>
      </c>
      <c r="W621" s="13">
        <v>21</v>
      </c>
      <c r="X621" s="109">
        <v>15</v>
      </c>
      <c r="Y621" s="109">
        <v>15</v>
      </c>
      <c r="Z621" s="13">
        <v>11</v>
      </c>
      <c r="AA621" s="13">
        <v>19</v>
      </c>
      <c r="AB621" s="109">
        <v>13</v>
      </c>
      <c r="AC621" s="109">
        <v>14</v>
      </c>
      <c r="AD621" s="109">
        <v>19</v>
      </c>
      <c r="AE621" s="109">
        <v>11</v>
      </c>
      <c r="AF621" s="109"/>
      <c r="AG621" s="13"/>
      <c r="AH621" s="13"/>
    </row>
    <row r="622" spans="1:34" ht="12.75" customHeight="1">
      <c r="A622" s="10" t="s">
        <v>362</v>
      </c>
      <c r="B622" s="11">
        <f>AVERAGE(E622:AE622)</f>
        <v>16.814814814814813</v>
      </c>
      <c r="C622" s="2">
        <f>MIN(E622:AE622)</f>
        <v>9</v>
      </c>
      <c r="D622" s="12">
        <f>MAX(E622:AE622)</f>
        <v>24</v>
      </c>
      <c r="E622" s="109">
        <v>9</v>
      </c>
      <c r="F622" s="13">
        <v>12</v>
      </c>
      <c r="G622" s="13">
        <v>14</v>
      </c>
      <c r="H622" s="109">
        <v>19</v>
      </c>
      <c r="I622" s="109">
        <v>18</v>
      </c>
      <c r="J622" s="109">
        <v>18</v>
      </c>
      <c r="K622" s="109">
        <v>19</v>
      </c>
      <c r="L622" s="109">
        <v>21</v>
      </c>
      <c r="M622" s="109">
        <v>21</v>
      </c>
      <c r="N622" s="109">
        <v>17</v>
      </c>
      <c r="O622" s="109">
        <v>18</v>
      </c>
      <c r="P622" s="109">
        <v>12</v>
      </c>
      <c r="Q622" s="109">
        <v>21</v>
      </c>
      <c r="R622" s="109">
        <v>24</v>
      </c>
      <c r="S622" s="13">
        <v>11</v>
      </c>
      <c r="T622" s="109">
        <v>24</v>
      </c>
      <c r="U622" s="109">
        <v>19</v>
      </c>
      <c r="V622" s="13">
        <v>19</v>
      </c>
      <c r="W622" s="13">
        <v>21</v>
      </c>
      <c r="X622" s="109">
        <v>15</v>
      </c>
      <c r="Y622" s="109">
        <v>15</v>
      </c>
      <c r="Z622" s="13">
        <v>11</v>
      </c>
      <c r="AA622" s="13">
        <v>19</v>
      </c>
      <c r="AB622" s="109">
        <v>13</v>
      </c>
      <c r="AC622" s="109">
        <v>14</v>
      </c>
      <c r="AD622" s="109">
        <v>19</v>
      </c>
      <c r="AE622" s="110">
        <v>11</v>
      </c>
      <c r="AF622" s="109"/>
      <c r="AG622" s="13"/>
      <c r="AH622" s="13"/>
    </row>
    <row r="623" spans="1:34" ht="12.75" customHeight="1">
      <c r="A623" s="10" t="s">
        <v>363</v>
      </c>
      <c r="B623" s="11">
        <f>AVERAGE(E623:AE623)</f>
        <v>16.814814814814813</v>
      </c>
      <c r="C623" s="2">
        <f>MIN(E623:AE623)</f>
        <v>9</v>
      </c>
      <c r="D623" s="12">
        <f>MAX(E623:AE623)</f>
        <v>24</v>
      </c>
      <c r="E623" s="109">
        <v>9</v>
      </c>
      <c r="F623" s="13">
        <v>12</v>
      </c>
      <c r="G623" s="13">
        <v>14</v>
      </c>
      <c r="H623" s="109">
        <v>19</v>
      </c>
      <c r="I623" s="109">
        <v>18</v>
      </c>
      <c r="J623" s="13">
        <v>18</v>
      </c>
      <c r="K623" s="109">
        <v>19</v>
      </c>
      <c r="L623" s="109">
        <v>21</v>
      </c>
      <c r="M623" s="109">
        <v>21</v>
      </c>
      <c r="N623" s="109">
        <v>17</v>
      </c>
      <c r="O623" s="109">
        <v>18</v>
      </c>
      <c r="P623" s="109">
        <v>12</v>
      </c>
      <c r="Q623" s="109">
        <v>21</v>
      </c>
      <c r="R623" s="109">
        <v>24</v>
      </c>
      <c r="S623" s="13">
        <v>11</v>
      </c>
      <c r="T623" s="109">
        <v>24</v>
      </c>
      <c r="U623" s="109">
        <v>19</v>
      </c>
      <c r="V623" s="13">
        <v>19</v>
      </c>
      <c r="W623" s="13">
        <v>21</v>
      </c>
      <c r="X623" s="109">
        <v>15</v>
      </c>
      <c r="Y623" s="109">
        <v>15</v>
      </c>
      <c r="Z623" s="13">
        <v>11</v>
      </c>
      <c r="AA623" s="13">
        <v>19</v>
      </c>
      <c r="AB623" s="109">
        <v>13</v>
      </c>
      <c r="AC623" s="109">
        <v>14</v>
      </c>
      <c r="AD623" s="109">
        <v>19</v>
      </c>
      <c r="AE623" s="109">
        <v>11</v>
      </c>
      <c r="AF623" s="109"/>
      <c r="AG623" s="13"/>
      <c r="AH623" s="13"/>
    </row>
    <row r="624" spans="1:34" ht="12.75" customHeight="1">
      <c r="A624" s="10" t="s">
        <v>364</v>
      </c>
      <c r="B624" s="11">
        <f>AVERAGE(E624:AE624)</f>
        <v>16.925925925925927</v>
      </c>
      <c r="C624" s="2">
        <f>MIN(E624:AE624)</f>
        <v>9</v>
      </c>
      <c r="D624" s="12">
        <f>MAX(E624:AE624)</f>
        <v>24</v>
      </c>
      <c r="E624" s="109">
        <v>9</v>
      </c>
      <c r="F624" s="13">
        <v>12</v>
      </c>
      <c r="G624" s="13">
        <v>14</v>
      </c>
      <c r="H624" s="109">
        <v>20</v>
      </c>
      <c r="I624" s="109">
        <v>18</v>
      </c>
      <c r="J624" s="13">
        <v>18</v>
      </c>
      <c r="K624" s="109">
        <v>19</v>
      </c>
      <c r="L624" s="109">
        <v>21</v>
      </c>
      <c r="M624" s="109">
        <v>21</v>
      </c>
      <c r="N624" s="109">
        <v>17</v>
      </c>
      <c r="O624" s="109">
        <v>18</v>
      </c>
      <c r="P624" s="109">
        <v>12</v>
      </c>
      <c r="Q624" s="109">
        <v>22</v>
      </c>
      <c r="R624" s="109">
        <v>24</v>
      </c>
      <c r="S624" s="13">
        <v>11</v>
      </c>
      <c r="T624" s="109">
        <v>24</v>
      </c>
      <c r="U624" s="109">
        <v>19</v>
      </c>
      <c r="V624" s="13">
        <v>19</v>
      </c>
      <c r="W624" s="13">
        <v>21</v>
      </c>
      <c r="X624" s="109">
        <v>15</v>
      </c>
      <c r="Y624" s="109">
        <v>15</v>
      </c>
      <c r="Z624" s="13">
        <v>12</v>
      </c>
      <c r="AA624" s="13">
        <v>19</v>
      </c>
      <c r="AB624" s="109">
        <v>13</v>
      </c>
      <c r="AC624" s="109">
        <v>14</v>
      </c>
      <c r="AD624" s="109">
        <v>19</v>
      </c>
      <c r="AE624" s="110">
        <v>11</v>
      </c>
      <c r="AF624" s="109"/>
      <c r="AG624" s="13"/>
      <c r="AH624" s="13"/>
    </row>
    <row r="625" spans="1:34" ht="12.75" customHeight="1">
      <c r="A625" s="10" t="s">
        <v>365</v>
      </c>
      <c r="B625" s="11">
        <f>AVERAGE(E625:AE625)</f>
        <v>16.962962962962962</v>
      </c>
      <c r="C625" s="2">
        <f>MIN(E625:AE625)</f>
        <v>9</v>
      </c>
      <c r="D625" s="12">
        <f>MAX(E625:AE625)</f>
        <v>25</v>
      </c>
      <c r="E625" s="109">
        <v>9</v>
      </c>
      <c r="F625" s="13">
        <v>12</v>
      </c>
      <c r="G625" s="13">
        <v>14</v>
      </c>
      <c r="H625" s="109">
        <v>20</v>
      </c>
      <c r="I625" s="109">
        <v>18</v>
      </c>
      <c r="J625" s="13">
        <v>18</v>
      </c>
      <c r="K625" s="109">
        <v>19</v>
      </c>
      <c r="L625" s="109">
        <v>21</v>
      </c>
      <c r="M625" s="109">
        <v>21</v>
      </c>
      <c r="N625" s="109">
        <v>17</v>
      </c>
      <c r="O625" s="109">
        <v>18</v>
      </c>
      <c r="P625" s="109">
        <v>12</v>
      </c>
      <c r="Q625" s="109">
        <v>22</v>
      </c>
      <c r="R625" s="109">
        <v>24</v>
      </c>
      <c r="S625" s="13">
        <v>11</v>
      </c>
      <c r="T625" s="109">
        <v>25</v>
      </c>
      <c r="U625" s="109">
        <v>19</v>
      </c>
      <c r="V625" s="13">
        <v>19</v>
      </c>
      <c r="W625" s="13">
        <v>21</v>
      </c>
      <c r="X625" s="109">
        <v>15</v>
      </c>
      <c r="Y625" s="109">
        <v>15</v>
      </c>
      <c r="Z625" s="13">
        <v>12</v>
      </c>
      <c r="AA625" s="13">
        <v>19</v>
      </c>
      <c r="AB625" s="109">
        <v>13</v>
      </c>
      <c r="AC625" s="109">
        <v>14</v>
      </c>
      <c r="AD625" s="109">
        <v>19</v>
      </c>
      <c r="AE625" s="109">
        <v>11</v>
      </c>
      <c r="AF625" s="109"/>
      <c r="AG625" s="13"/>
      <c r="AH625" s="13"/>
    </row>
    <row r="626" spans="1:34" ht="12.75" customHeight="1">
      <c r="A626" s="10" t="s">
        <v>366</v>
      </c>
      <c r="B626" s="11">
        <f>AVERAGE(E626:AE626)</f>
        <v>17</v>
      </c>
      <c r="C626" s="2">
        <f>MIN(E626:AE626)</f>
        <v>9</v>
      </c>
      <c r="D626" s="12">
        <f>MAX(E626:AE626)</f>
        <v>25</v>
      </c>
      <c r="E626" s="109">
        <v>9</v>
      </c>
      <c r="F626" s="13">
        <v>12</v>
      </c>
      <c r="G626" s="13">
        <v>14</v>
      </c>
      <c r="H626" s="109">
        <v>20</v>
      </c>
      <c r="I626" s="109">
        <v>18</v>
      </c>
      <c r="J626" s="13">
        <v>18</v>
      </c>
      <c r="K626" s="109">
        <v>19</v>
      </c>
      <c r="L626" s="109">
        <v>21</v>
      </c>
      <c r="M626" s="109">
        <v>21</v>
      </c>
      <c r="N626" s="109">
        <v>17</v>
      </c>
      <c r="O626" s="109">
        <v>18</v>
      </c>
      <c r="P626" s="109">
        <v>12</v>
      </c>
      <c r="Q626" s="109">
        <v>22</v>
      </c>
      <c r="R626" s="109">
        <v>24</v>
      </c>
      <c r="S626" s="13">
        <v>11</v>
      </c>
      <c r="T626" s="109">
        <v>25</v>
      </c>
      <c r="U626" s="109">
        <v>19</v>
      </c>
      <c r="V626" s="13">
        <v>19</v>
      </c>
      <c r="W626" s="13">
        <v>21</v>
      </c>
      <c r="X626" s="109">
        <v>15</v>
      </c>
      <c r="Y626" s="109">
        <v>15</v>
      </c>
      <c r="Z626" s="13">
        <v>12</v>
      </c>
      <c r="AA626" s="13">
        <v>19</v>
      </c>
      <c r="AB626" s="109">
        <v>14</v>
      </c>
      <c r="AC626" s="109">
        <v>14</v>
      </c>
      <c r="AD626" s="109">
        <v>19</v>
      </c>
      <c r="AE626" s="110">
        <v>11</v>
      </c>
      <c r="AF626" s="109"/>
      <c r="AG626" s="13"/>
      <c r="AH626" s="13"/>
    </row>
    <row r="627" spans="1:34" ht="12.75" customHeight="1">
      <c r="A627" s="10" t="s">
        <v>367</v>
      </c>
      <c r="B627" s="11">
        <f>AVERAGE(E627:AE627)</f>
        <v>17.074074074074073</v>
      </c>
      <c r="C627" s="2">
        <f>MIN(E627:AE627)</f>
        <v>9</v>
      </c>
      <c r="D627" s="12">
        <f>MAX(E627:AE627)</f>
        <v>26</v>
      </c>
      <c r="E627" s="109">
        <v>9</v>
      </c>
      <c r="F627" s="13">
        <v>12</v>
      </c>
      <c r="G627" s="13">
        <v>14</v>
      </c>
      <c r="H627" s="109">
        <v>20</v>
      </c>
      <c r="I627" s="109">
        <v>18</v>
      </c>
      <c r="J627" s="13">
        <v>18</v>
      </c>
      <c r="K627" s="109">
        <v>19</v>
      </c>
      <c r="L627" s="109">
        <v>21</v>
      </c>
      <c r="M627" s="109">
        <v>21</v>
      </c>
      <c r="N627" s="109">
        <v>18</v>
      </c>
      <c r="O627" s="109">
        <v>18</v>
      </c>
      <c r="P627" s="109">
        <v>12</v>
      </c>
      <c r="Q627" s="109">
        <v>22</v>
      </c>
      <c r="R627" s="109">
        <v>24</v>
      </c>
      <c r="S627" s="13">
        <v>11</v>
      </c>
      <c r="T627" s="109">
        <v>26</v>
      </c>
      <c r="U627" s="109">
        <v>19</v>
      </c>
      <c r="V627" s="13">
        <v>19</v>
      </c>
      <c r="W627" s="13">
        <v>21</v>
      </c>
      <c r="X627" s="109">
        <v>15</v>
      </c>
      <c r="Y627" s="109">
        <v>15</v>
      </c>
      <c r="Z627" s="13">
        <v>12</v>
      </c>
      <c r="AA627" s="13">
        <v>19</v>
      </c>
      <c r="AB627" s="109">
        <v>14</v>
      </c>
      <c r="AC627" s="109">
        <v>14</v>
      </c>
      <c r="AD627" s="109">
        <v>19</v>
      </c>
      <c r="AE627" s="109">
        <v>11</v>
      </c>
      <c r="AF627" s="109"/>
      <c r="AG627" s="13"/>
      <c r="AH627" s="13"/>
    </row>
    <row r="628" spans="1:34" ht="12.75" customHeight="1">
      <c r="A628" s="10" t="s">
        <v>368</v>
      </c>
      <c r="B628" s="11">
        <f>AVERAGE(E628:AE628)</f>
        <v>17.148148148148149</v>
      </c>
      <c r="C628" s="2">
        <f>MIN(E628:AE628)</f>
        <v>9</v>
      </c>
      <c r="D628" s="12">
        <f>MAX(E628:AE628)</f>
        <v>26</v>
      </c>
      <c r="E628" s="109">
        <v>9</v>
      </c>
      <c r="F628" s="13">
        <v>12</v>
      </c>
      <c r="G628" s="13">
        <v>14</v>
      </c>
      <c r="H628" s="109">
        <v>20</v>
      </c>
      <c r="I628" s="109">
        <v>18</v>
      </c>
      <c r="J628" s="13">
        <v>18</v>
      </c>
      <c r="K628" s="109">
        <v>19</v>
      </c>
      <c r="L628" s="109">
        <v>21</v>
      </c>
      <c r="M628" s="109">
        <v>21</v>
      </c>
      <c r="N628" s="109">
        <v>18</v>
      </c>
      <c r="O628" s="109">
        <v>18</v>
      </c>
      <c r="P628" s="109">
        <v>12</v>
      </c>
      <c r="Q628" s="109">
        <v>22</v>
      </c>
      <c r="R628" s="109">
        <v>24</v>
      </c>
      <c r="S628" s="13">
        <v>12</v>
      </c>
      <c r="T628" s="109">
        <v>26</v>
      </c>
      <c r="U628" s="109">
        <v>19</v>
      </c>
      <c r="V628" s="13">
        <v>19</v>
      </c>
      <c r="W628" s="13">
        <v>21</v>
      </c>
      <c r="X628" s="109">
        <v>15</v>
      </c>
      <c r="Y628" s="109">
        <v>15</v>
      </c>
      <c r="Z628" s="13">
        <v>12</v>
      </c>
      <c r="AA628" s="13">
        <v>19</v>
      </c>
      <c r="AB628" s="109">
        <v>15</v>
      </c>
      <c r="AC628" s="109">
        <v>14</v>
      </c>
      <c r="AD628" s="109">
        <v>19</v>
      </c>
      <c r="AE628" s="110">
        <v>11</v>
      </c>
      <c r="AF628" s="109"/>
      <c r="AG628" s="13"/>
      <c r="AH628" s="13"/>
    </row>
    <row r="629" spans="1:34" ht="12.75" customHeight="1">
      <c r="A629" s="10" t="s">
        <v>369</v>
      </c>
      <c r="B629" s="11">
        <f>AVERAGE(E629:AE629)</f>
        <v>17.222222222222221</v>
      </c>
      <c r="C629" s="2">
        <f>MIN(E629:AE629)</f>
        <v>9</v>
      </c>
      <c r="D629" s="12">
        <f>MAX(E629:AE629)</f>
        <v>26</v>
      </c>
      <c r="E629" s="109">
        <v>9</v>
      </c>
      <c r="F629" s="13">
        <v>12</v>
      </c>
      <c r="G629" s="13">
        <v>14</v>
      </c>
      <c r="H629" s="109">
        <v>21</v>
      </c>
      <c r="I629" s="109">
        <v>18</v>
      </c>
      <c r="J629" s="13">
        <v>18</v>
      </c>
      <c r="K629" s="109">
        <v>20</v>
      </c>
      <c r="L629" s="109">
        <v>21</v>
      </c>
      <c r="M629" s="109">
        <v>21</v>
      </c>
      <c r="N629" s="109">
        <v>18</v>
      </c>
      <c r="O629" s="109">
        <v>18</v>
      </c>
      <c r="P629" s="109">
        <v>12</v>
      </c>
      <c r="Q629" s="109">
        <v>22</v>
      </c>
      <c r="R629" s="109">
        <v>24</v>
      </c>
      <c r="S629" s="13">
        <v>12</v>
      </c>
      <c r="T629" s="109">
        <v>26</v>
      </c>
      <c r="U629" s="109">
        <v>19</v>
      </c>
      <c r="V629" s="13">
        <v>19</v>
      </c>
      <c r="W629" s="13">
        <v>21</v>
      </c>
      <c r="X629" s="109">
        <v>15</v>
      </c>
      <c r="Y629" s="109">
        <v>15</v>
      </c>
      <c r="Z629" s="13">
        <v>12</v>
      </c>
      <c r="AA629" s="13">
        <v>19</v>
      </c>
      <c r="AB629" s="109">
        <v>15</v>
      </c>
      <c r="AC629" s="109">
        <v>14</v>
      </c>
      <c r="AD629" s="109">
        <v>19</v>
      </c>
      <c r="AE629" s="109">
        <v>11</v>
      </c>
      <c r="AF629" s="109"/>
      <c r="AG629" s="13"/>
      <c r="AH629" s="13"/>
    </row>
    <row r="630" spans="1:34" ht="12.75" customHeight="1">
      <c r="A630" s="10" t="s">
        <v>370</v>
      </c>
      <c r="B630" s="11">
        <f>AVERAGE(E630:AE630)</f>
        <v>17.296296296296298</v>
      </c>
      <c r="C630" s="2">
        <f>MIN(E630:AE630)</f>
        <v>9</v>
      </c>
      <c r="D630" s="12">
        <f>MAX(E630:AE630)</f>
        <v>26</v>
      </c>
      <c r="E630" s="109">
        <v>9</v>
      </c>
      <c r="F630" s="13">
        <v>12</v>
      </c>
      <c r="G630" s="13">
        <v>14</v>
      </c>
      <c r="H630" s="109">
        <v>21</v>
      </c>
      <c r="I630" s="109">
        <v>18</v>
      </c>
      <c r="J630" s="13">
        <v>18</v>
      </c>
      <c r="K630" s="109">
        <v>20</v>
      </c>
      <c r="L630" s="109">
        <v>21</v>
      </c>
      <c r="M630" s="109">
        <v>21</v>
      </c>
      <c r="N630" s="109">
        <v>18</v>
      </c>
      <c r="O630" s="109">
        <v>18</v>
      </c>
      <c r="P630" s="109">
        <v>12</v>
      </c>
      <c r="Q630" s="109">
        <v>23</v>
      </c>
      <c r="R630" s="109">
        <v>25</v>
      </c>
      <c r="S630" s="13">
        <v>12</v>
      </c>
      <c r="T630" s="109">
        <v>26</v>
      </c>
      <c r="U630" s="109">
        <v>19</v>
      </c>
      <c r="V630" s="13">
        <v>19</v>
      </c>
      <c r="W630" s="13">
        <v>21</v>
      </c>
      <c r="X630" s="109">
        <v>15</v>
      </c>
      <c r="Y630" s="109">
        <v>15</v>
      </c>
      <c r="Z630" s="13">
        <v>12</v>
      </c>
      <c r="AA630" s="13">
        <v>19</v>
      </c>
      <c r="AB630" s="109">
        <v>15</v>
      </c>
      <c r="AC630" s="109">
        <v>14</v>
      </c>
      <c r="AD630" s="109">
        <v>19</v>
      </c>
      <c r="AE630" s="110">
        <v>11</v>
      </c>
      <c r="AF630" s="109"/>
      <c r="AG630" s="13"/>
      <c r="AH630" s="13"/>
    </row>
    <row r="631" spans="1:34" ht="12.75" customHeight="1">
      <c r="A631" s="10" t="s">
        <v>371</v>
      </c>
      <c r="B631" s="11">
        <f>AVERAGE(E631:AE631)</f>
        <v>17.296296296296298</v>
      </c>
      <c r="C631" s="2">
        <f>MIN(E631:AE631)</f>
        <v>9</v>
      </c>
      <c r="D631" s="12">
        <f>MAX(E631:AE631)</f>
        <v>26</v>
      </c>
      <c r="E631" s="109">
        <v>9</v>
      </c>
      <c r="F631" s="13">
        <v>12</v>
      </c>
      <c r="G631" s="13">
        <v>14</v>
      </c>
      <c r="H631" s="109">
        <v>21</v>
      </c>
      <c r="I631" s="109">
        <v>18</v>
      </c>
      <c r="J631" s="13">
        <v>18</v>
      </c>
      <c r="K631" s="109">
        <v>20</v>
      </c>
      <c r="L631" s="109">
        <v>21</v>
      </c>
      <c r="M631" s="109">
        <v>21</v>
      </c>
      <c r="N631" s="109">
        <v>18</v>
      </c>
      <c r="O631" s="109">
        <v>18</v>
      </c>
      <c r="P631" s="109">
        <v>12</v>
      </c>
      <c r="Q631" s="109">
        <v>23</v>
      </c>
      <c r="R631" s="109">
        <v>25</v>
      </c>
      <c r="S631" s="13">
        <v>12</v>
      </c>
      <c r="T631" s="109">
        <v>26</v>
      </c>
      <c r="U631" s="109">
        <v>19</v>
      </c>
      <c r="V631" s="13">
        <v>19</v>
      </c>
      <c r="W631" s="13">
        <v>21</v>
      </c>
      <c r="X631" s="109">
        <v>15</v>
      </c>
      <c r="Y631" s="109">
        <v>15</v>
      </c>
      <c r="Z631" s="13">
        <v>12</v>
      </c>
      <c r="AA631" s="13">
        <v>19</v>
      </c>
      <c r="AB631" s="109">
        <v>15</v>
      </c>
      <c r="AC631" s="109">
        <v>14</v>
      </c>
      <c r="AD631" s="109">
        <v>19</v>
      </c>
      <c r="AE631" s="109">
        <v>11</v>
      </c>
      <c r="AF631" s="109"/>
      <c r="AG631" s="13"/>
      <c r="AH631" s="13"/>
    </row>
    <row r="632" spans="1:34" ht="12.75" customHeight="1">
      <c r="A632" s="10" t="s">
        <v>372</v>
      </c>
      <c r="B632" s="11">
        <f>AVERAGE(E632:AE632)</f>
        <v>17.296296296296298</v>
      </c>
      <c r="C632" s="2">
        <f>MIN(E632:AE632)</f>
        <v>9</v>
      </c>
      <c r="D632" s="12">
        <f>MAX(E632:AE632)</f>
        <v>26</v>
      </c>
      <c r="E632" s="109">
        <v>9</v>
      </c>
      <c r="F632" s="13">
        <v>12</v>
      </c>
      <c r="G632" s="13">
        <v>14</v>
      </c>
      <c r="H632" s="109">
        <v>21</v>
      </c>
      <c r="I632" s="109">
        <v>18</v>
      </c>
      <c r="J632" s="13">
        <v>18</v>
      </c>
      <c r="K632" s="109">
        <v>20</v>
      </c>
      <c r="L632" s="109">
        <v>21</v>
      </c>
      <c r="M632" s="109">
        <v>21</v>
      </c>
      <c r="N632" s="109">
        <v>18</v>
      </c>
      <c r="O632" s="109">
        <v>18</v>
      </c>
      <c r="P632" s="109">
        <v>12</v>
      </c>
      <c r="Q632" s="109">
        <v>23</v>
      </c>
      <c r="R632" s="109">
        <v>25</v>
      </c>
      <c r="S632" s="13">
        <v>12</v>
      </c>
      <c r="T632" s="109">
        <v>26</v>
      </c>
      <c r="U632" s="109">
        <v>19</v>
      </c>
      <c r="V632" s="13">
        <v>19</v>
      </c>
      <c r="W632" s="13">
        <v>21</v>
      </c>
      <c r="X632" s="109">
        <v>15</v>
      </c>
      <c r="Y632" s="109">
        <v>15</v>
      </c>
      <c r="Z632" s="13">
        <v>12</v>
      </c>
      <c r="AA632" s="13">
        <v>19</v>
      </c>
      <c r="AB632" s="13">
        <v>15</v>
      </c>
      <c r="AC632" s="109">
        <v>14</v>
      </c>
      <c r="AD632" s="109">
        <v>19</v>
      </c>
      <c r="AE632" s="110">
        <v>11</v>
      </c>
      <c r="AF632" s="109"/>
      <c r="AG632" s="13"/>
      <c r="AH632" s="13"/>
    </row>
    <row r="633" spans="1:34" ht="12.75" customHeight="1">
      <c r="A633" s="10" t="s">
        <v>373</v>
      </c>
      <c r="B633" s="11">
        <f>AVERAGE(E633:AE633)</f>
        <v>17.296296296296298</v>
      </c>
      <c r="C633" s="2">
        <f>MIN(E633:AE633)</f>
        <v>9</v>
      </c>
      <c r="D633" s="12">
        <f>MAX(E633:AE633)</f>
        <v>26</v>
      </c>
      <c r="E633" s="109">
        <v>9</v>
      </c>
      <c r="F633" s="13">
        <v>12</v>
      </c>
      <c r="G633" s="13">
        <v>14</v>
      </c>
      <c r="H633" s="109">
        <v>21</v>
      </c>
      <c r="I633" s="109">
        <v>18</v>
      </c>
      <c r="J633" s="13">
        <v>18</v>
      </c>
      <c r="K633" s="109">
        <v>20</v>
      </c>
      <c r="L633" s="109">
        <v>21</v>
      </c>
      <c r="M633" s="109">
        <v>21</v>
      </c>
      <c r="N633" s="109">
        <v>18</v>
      </c>
      <c r="O633" s="109">
        <v>18</v>
      </c>
      <c r="P633" s="109">
        <v>12</v>
      </c>
      <c r="Q633" s="109">
        <v>23</v>
      </c>
      <c r="R633" s="109">
        <v>25</v>
      </c>
      <c r="S633" s="13">
        <v>12</v>
      </c>
      <c r="T633" s="109">
        <v>26</v>
      </c>
      <c r="U633" s="109">
        <v>19</v>
      </c>
      <c r="V633" s="13">
        <v>19</v>
      </c>
      <c r="W633" s="13">
        <v>21</v>
      </c>
      <c r="X633" s="109">
        <v>15</v>
      </c>
      <c r="Y633" s="109">
        <v>15</v>
      </c>
      <c r="Z633" s="13">
        <v>12</v>
      </c>
      <c r="AA633" s="13">
        <v>19</v>
      </c>
      <c r="AB633" s="13">
        <v>15</v>
      </c>
      <c r="AC633" s="109">
        <v>14</v>
      </c>
      <c r="AD633" s="109">
        <v>19</v>
      </c>
      <c r="AE633" s="109">
        <v>11</v>
      </c>
      <c r="AF633" s="109"/>
      <c r="AG633" s="13"/>
      <c r="AH633" s="13"/>
    </row>
    <row r="634" spans="1:34" ht="12.75" customHeight="1">
      <c r="A634" s="10" t="s">
        <v>374</v>
      </c>
      <c r="B634" s="11">
        <f>AVERAGE(E634:AE634)</f>
        <v>17.296296296296298</v>
      </c>
      <c r="C634" s="2">
        <f>MIN(E634:AE634)</f>
        <v>9</v>
      </c>
      <c r="D634" s="12">
        <f>MAX(E634:AE634)</f>
        <v>26</v>
      </c>
      <c r="E634" s="109">
        <v>9</v>
      </c>
      <c r="F634" s="13">
        <v>12</v>
      </c>
      <c r="G634" s="13">
        <v>14</v>
      </c>
      <c r="H634" s="109">
        <v>21</v>
      </c>
      <c r="I634" s="109">
        <v>18</v>
      </c>
      <c r="J634" s="13">
        <v>18</v>
      </c>
      <c r="K634" s="109">
        <v>20</v>
      </c>
      <c r="L634" s="109">
        <v>21</v>
      </c>
      <c r="M634" s="109">
        <v>21</v>
      </c>
      <c r="N634" s="109">
        <v>18</v>
      </c>
      <c r="O634" s="109">
        <v>18</v>
      </c>
      <c r="P634" s="109">
        <v>12</v>
      </c>
      <c r="Q634" s="109">
        <v>23</v>
      </c>
      <c r="R634" s="109">
        <v>25</v>
      </c>
      <c r="S634" s="13">
        <v>12</v>
      </c>
      <c r="T634" s="109">
        <v>26</v>
      </c>
      <c r="U634" s="109">
        <v>19</v>
      </c>
      <c r="V634" s="13">
        <v>19</v>
      </c>
      <c r="W634" s="13">
        <v>21</v>
      </c>
      <c r="X634" s="109">
        <v>15</v>
      </c>
      <c r="Y634" s="109">
        <v>15</v>
      </c>
      <c r="Z634" s="13">
        <v>12</v>
      </c>
      <c r="AA634" s="13">
        <v>19</v>
      </c>
      <c r="AB634" s="13">
        <v>15</v>
      </c>
      <c r="AC634" s="109">
        <v>14</v>
      </c>
      <c r="AD634" s="109">
        <v>19</v>
      </c>
      <c r="AE634" s="110">
        <v>11</v>
      </c>
      <c r="AF634" s="109"/>
      <c r="AG634" s="13"/>
      <c r="AH634" s="13"/>
    </row>
    <row r="635" spans="1:34" ht="12.75" customHeight="1">
      <c r="A635" s="10" t="s">
        <v>375</v>
      </c>
      <c r="B635" s="11">
        <f>AVERAGE(E635:AE635)</f>
        <v>17.296296296296298</v>
      </c>
      <c r="C635" s="2">
        <f>MIN(E635:AE635)</f>
        <v>9</v>
      </c>
      <c r="D635" s="12">
        <f>MAX(E635:AE635)</f>
        <v>26</v>
      </c>
      <c r="E635" s="109">
        <v>9</v>
      </c>
      <c r="F635" s="13">
        <v>12</v>
      </c>
      <c r="G635" s="13">
        <v>14</v>
      </c>
      <c r="H635" s="109">
        <v>21</v>
      </c>
      <c r="I635" s="109">
        <v>18</v>
      </c>
      <c r="J635" s="13">
        <v>18</v>
      </c>
      <c r="K635" s="109">
        <v>20</v>
      </c>
      <c r="L635" s="109">
        <v>21</v>
      </c>
      <c r="M635" s="109">
        <v>21</v>
      </c>
      <c r="N635" s="109">
        <v>18</v>
      </c>
      <c r="O635" s="109">
        <v>18</v>
      </c>
      <c r="P635" s="109">
        <v>12</v>
      </c>
      <c r="Q635" s="109">
        <v>23</v>
      </c>
      <c r="R635" s="109">
        <v>25</v>
      </c>
      <c r="S635" s="13">
        <v>12</v>
      </c>
      <c r="T635" s="109">
        <v>26</v>
      </c>
      <c r="U635" s="109">
        <v>19</v>
      </c>
      <c r="V635" s="13">
        <v>19</v>
      </c>
      <c r="W635" s="13">
        <v>21</v>
      </c>
      <c r="X635" s="109">
        <v>15</v>
      </c>
      <c r="Y635" s="109">
        <v>15</v>
      </c>
      <c r="Z635" s="13">
        <v>12</v>
      </c>
      <c r="AA635" s="13">
        <v>19</v>
      </c>
      <c r="AB635" s="13">
        <v>15</v>
      </c>
      <c r="AC635" s="109">
        <v>14</v>
      </c>
      <c r="AD635" s="109">
        <v>19</v>
      </c>
      <c r="AE635" s="109">
        <v>11</v>
      </c>
      <c r="AF635" s="109"/>
      <c r="AG635" s="13"/>
      <c r="AH635" s="13"/>
    </row>
    <row r="636" spans="1:34" ht="12.75" customHeight="1">
      <c r="A636" s="10" t="s">
        <v>376</v>
      </c>
      <c r="B636" s="11">
        <f>AVERAGE(E636:AE636)</f>
        <v>17.296296296296298</v>
      </c>
      <c r="C636" s="2">
        <f>MIN(E636:AE636)</f>
        <v>9</v>
      </c>
      <c r="D636" s="12">
        <f>MAX(E636:AE636)</f>
        <v>26</v>
      </c>
      <c r="E636" s="109">
        <v>9</v>
      </c>
      <c r="F636" s="13">
        <v>12</v>
      </c>
      <c r="G636" s="13">
        <v>14</v>
      </c>
      <c r="H636" s="109">
        <v>21</v>
      </c>
      <c r="I636" s="109">
        <v>18</v>
      </c>
      <c r="J636" s="13">
        <v>18</v>
      </c>
      <c r="K636" s="109">
        <v>20</v>
      </c>
      <c r="L636" s="109">
        <v>21</v>
      </c>
      <c r="M636" s="109">
        <v>21</v>
      </c>
      <c r="N636" s="109">
        <v>18</v>
      </c>
      <c r="O636" s="109">
        <v>18</v>
      </c>
      <c r="P636" s="109">
        <v>12</v>
      </c>
      <c r="Q636" s="109">
        <v>23</v>
      </c>
      <c r="R636" s="13">
        <v>25</v>
      </c>
      <c r="S636" s="13">
        <v>12</v>
      </c>
      <c r="T636" s="109">
        <v>26</v>
      </c>
      <c r="U636" s="109">
        <v>19</v>
      </c>
      <c r="V636" s="13">
        <v>19</v>
      </c>
      <c r="W636" s="13">
        <v>21</v>
      </c>
      <c r="X636" s="109">
        <v>15</v>
      </c>
      <c r="Y636" s="109">
        <v>15</v>
      </c>
      <c r="Z636" s="13">
        <v>12</v>
      </c>
      <c r="AA636" s="13">
        <v>19</v>
      </c>
      <c r="AB636" s="13">
        <v>15</v>
      </c>
      <c r="AC636" s="109">
        <v>14</v>
      </c>
      <c r="AD636" s="109">
        <v>19</v>
      </c>
      <c r="AE636" s="110">
        <v>11</v>
      </c>
      <c r="AF636" s="109"/>
      <c r="AG636" s="13"/>
      <c r="AH636" s="13"/>
    </row>
    <row r="637" spans="1:34" ht="12.75" customHeight="1">
      <c r="A637" s="10" t="s">
        <v>377</v>
      </c>
      <c r="B637" s="11">
        <f>AVERAGE(E637:AE637)</f>
        <v>17.37037037037037</v>
      </c>
      <c r="C637" s="2">
        <f>MIN(E637:AE637)</f>
        <v>10</v>
      </c>
      <c r="D637" s="12">
        <f>MAX(E637:AE637)</f>
        <v>26</v>
      </c>
      <c r="E637" s="13">
        <v>10</v>
      </c>
      <c r="F637" s="13">
        <v>12</v>
      </c>
      <c r="G637" s="13">
        <v>14</v>
      </c>
      <c r="H637" s="109">
        <v>21</v>
      </c>
      <c r="I637" s="109">
        <v>18</v>
      </c>
      <c r="J637" s="13">
        <v>18</v>
      </c>
      <c r="K637" s="109">
        <v>20</v>
      </c>
      <c r="L637" s="109">
        <v>21</v>
      </c>
      <c r="M637" s="109">
        <v>21</v>
      </c>
      <c r="N637" s="109">
        <v>18</v>
      </c>
      <c r="O637" s="109">
        <v>18</v>
      </c>
      <c r="P637" s="109">
        <v>12</v>
      </c>
      <c r="Q637" s="109">
        <v>23</v>
      </c>
      <c r="R637" s="13">
        <v>25</v>
      </c>
      <c r="S637" s="13">
        <v>12</v>
      </c>
      <c r="T637" s="109">
        <v>26</v>
      </c>
      <c r="U637" s="109">
        <v>19</v>
      </c>
      <c r="V637" s="13">
        <v>19</v>
      </c>
      <c r="W637" s="13">
        <v>21</v>
      </c>
      <c r="X637" s="109">
        <v>15</v>
      </c>
      <c r="Y637" s="109">
        <v>15</v>
      </c>
      <c r="Z637" s="13">
        <v>12</v>
      </c>
      <c r="AA637" s="13">
        <v>19</v>
      </c>
      <c r="AB637" s="13">
        <v>15</v>
      </c>
      <c r="AC637" s="109">
        <v>15</v>
      </c>
      <c r="AD637" s="109">
        <v>19</v>
      </c>
      <c r="AE637" s="109">
        <v>11</v>
      </c>
      <c r="AF637" s="109"/>
      <c r="AG637" s="13"/>
      <c r="AH637" s="13"/>
    </row>
    <row r="638" spans="1:34" ht="12.75" customHeight="1">
      <c r="A638" s="10" t="s">
        <v>378</v>
      </c>
      <c r="B638" s="11">
        <f>AVERAGE(E638:AE638)</f>
        <v>17.407407407407408</v>
      </c>
      <c r="C638" s="2">
        <f>MIN(E638:AE638)</f>
        <v>10</v>
      </c>
      <c r="D638" s="12">
        <f>MAX(E638:AE638)</f>
        <v>27</v>
      </c>
      <c r="E638" s="13">
        <v>10</v>
      </c>
      <c r="F638" s="13">
        <v>12</v>
      </c>
      <c r="G638" s="13">
        <v>14</v>
      </c>
      <c r="H638" s="109">
        <v>21</v>
      </c>
      <c r="I638" s="109">
        <v>18</v>
      </c>
      <c r="J638" s="13">
        <v>18</v>
      </c>
      <c r="K638" s="109">
        <v>20</v>
      </c>
      <c r="L638" s="109">
        <v>21</v>
      </c>
      <c r="M638" s="109">
        <v>21</v>
      </c>
      <c r="N638" s="109">
        <v>18</v>
      </c>
      <c r="O638" s="109">
        <v>18</v>
      </c>
      <c r="P638" s="109">
        <v>12</v>
      </c>
      <c r="Q638" s="13">
        <v>23</v>
      </c>
      <c r="R638" s="13">
        <v>25</v>
      </c>
      <c r="S638" s="13">
        <v>12</v>
      </c>
      <c r="T638" s="109">
        <v>27</v>
      </c>
      <c r="U638" s="109">
        <v>19</v>
      </c>
      <c r="V638" s="13">
        <v>19</v>
      </c>
      <c r="W638" s="13">
        <v>21</v>
      </c>
      <c r="X638" s="109">
        <v>15</v>
      </c>
      <c r="Y638" s="109">
        <v>15</v>
      </c>
      <c r="Z638" s="13">
        <v>12</v>
      </c>
      <c r="AA638" s="13">
        <v>19</v>
      </c>
      <c r="AB638" s="13">
        <v>15</v>
      </c>
      <c r="AC638" s="109">
        <v>15</v>
      </c>
      <c r="AD638" s="109">
        <v>19</v>
      </c>
      <c r="AE638" s="110">
        <v>11</v>
      </c>
      <c r="AF638" s="109"/>
      <c r="AG638" s="13"/>
      <c r="AH638" s="13"/>
    </row>
    <row r="639" spans="1:34" ht="12.75" customHeight="1">
      <c r="A639" s="10" t="s">
        <v>379</v>
      </c>
      <c r="B639" s="11">
        <f>AVERAGE(E639:AE639)</f>
        <v>17.444444444444443</v>
      </c>
      <c r="C639" s="2">
        <f>MIN(E639:AE639)</f>
        <v>10</v>
      </c>
      <c r="D639" s="12">
        <f>MAX(E639:AE639)</f>
        <v>28</v>
      </c>
      <c r="E639" s="13">
        <v>10</v>
      </c>
      <c r="F639" s="13">
        <v>12</v>
      </c>
      <c r="G639" s="13">
        <v>14</v>
      </c>
      <c r="H639" s="109">
        <v>21</v>
      </c>
      <c r="I639" s="109">
        <v>18</v>
      </c>
      <c r="J639" s="13">
        <v>18</v>
      </c>
      <c r="K639" s="109">
        <v>20</v>
      </c>
      <c r="L639" s="109">
        <v>21</v>
      </c>
      <c r="M639" s="109">
        <v>21</v>
      </c>
      <c r="N639" s="109">
        <v>18</v>
      </c>
      <c r="O639" s="109">
        <v>18</v>
      </c>
      <c r="P639" s="109">
        <v>12</v>
      </c>
      <c r="Q639" s="13">
        <v>23</v>
      </c>
      <c r="R639" s="13">
        <v>25</v>
      </c>
      <c r="S639" s="13">
        <v>12</v>
      </c>
      <c r="T639" s="109">
        <v>28</v>
      </c>
      <c r="U639" s="109">
        <v>19</v>
      </c>
      <c r="V639" s="13">
        <v>19</v>
      </c>
      <c r="W639" s="13">
        <v>21</v>
      </c>
      <c r="X639" s="109">
        <v>15</v>
      </c>
      <c r="Y639" s="109">
        <v>15</v>
      </c>
      <c r="Z639" s="13">
        <v>12</v>
      </c>
      <c r="AA639" s="13">
        <v>19</v>
      </c>
      <c r="AB639" s="13">
        <v>15</v>
      </c>
      <c r="AC639" s="109">
        <v>15</v>
      </c>
      <c r="AD639" s="109">
        <v>19</v>
      </c>
      <c r="AE639" s="109">
        <v>11</v>
      </c>
      <c r="AF639" s="109"/>
      <c r="AG639" s="13"/>
      <c r="AH639" s="13"/>
    </row>
    <row r="640" spans="1:34" ht="12.75" customHeight="1">
      <c r="A640" s="10" t="s">
        <v>380</v>
      </c>
      <c r="B640" s="11">
        <f>AVERAGE(E640:AE640)</f>
        <v>17.518518518518519</v>
      </c>
      <c r="C640" s="2">
        <f>MIN(E640:AE640)</f>
        <v>10</v>
      </c>
      <c r="D640" s="12">
        <f>MAX(E640:AE640)</f>
        <v>28</v>
      </c>
      <c r="E640" s="13">
        <v>10</v>
      </c>
      <c r="F640" s="13">
        <v>12</v>
      </c>
      <c r="G640" s="13">
        <v>14</v>
      </c>
      <c r="H640" s="109">
        <v>21</v>
      </c>
      <c r="I640" s="109">
        <v>18</v>
      </c>
      <c r="J640" s="13">
        <v>18</v>
      </c>
      <c r="K640" s="109">
        <v>20</v>
      </c>
      <c r="L640" s="109">
        <v>21</v>
      </c>
      <c r="M640" s="109">
        <v>21</v>
      </c>
      <c r="N640" s="109">
        <v>18</v>
      </c>
      <c r="O640" s="109">
        <v>18</v>
      </c>
      <c r="P640" s="109">
        <v>12</v>
      </c>
      <c r="Q640" s="13">
        <v>23</v>
      </c>
      <c r="R640" s="13">
        <v>25</v>
      </c>
      <c r="S640" s="13">
        <v>12</v>
      </c>
      <c r="T640" s="109">
        <v>28</v>
      </c>
      <c r="U640" s="109">
        <v>19</v>
      </c>
      <c r="V640" s="13">
        <v>19</v>
      </c>
      <c r="W640" s="13">
        <v>21</v>
      </c>
      <c r="X640" s="109">
        <v>16</v>
      </c>
      <c r="Y640" s="109">
        <v>15</v>
      </c>
      <c r="Z640" s="13">
        <v>12</v>
      </c>
      <c r="AA640" s="13">
        <v>19</v>
      </c>
      <c r="AB640" s="13">
        <v>15</v>
      </c>
      <c r="AC640" s="109">
        <v>15</v>
      </c>
      <c r="AD640" s="109">
        <v>19</v>
      </c>
      <c r="AE640" s="110">
        <v>12</v>
      </c>
      <c r="AF640" s="109"/>
      <c r="AG640" s="13"/>
      <c r="AH640" s="13"/>
    </row>
    <row r="641" spans="1:34" ht="12.75" customHeight="1">
      <c r="A641" s="10" t="s">
        <v>381</v>
      </c>
      <c r="B641" s="11">
        <f>AVERAGE(E641:AE641)</f>
        <v>17.518518518518519</v>
      </c>
      <c r="C641" s="2">
        <f>MIN(E641:AE641)</f>
        <v>10</v>
      </c>
      <c r="D641" s="12">
        <f>MAX(E641:AE641)</f>
        <v>28</v>
      </c>
      <c r="E641" s="13">
        <v>10</v>
      </c>
      <c r="F641" s="13">
        <v>12</v>
      </c>
      <c r="G641" s="13">
        <v>14</v>
      </c>
      <c r="H641" s="109">
        <v>21</v>
      </c>
      <c r="I641" s="109">
        <v>18</v>
      </c>
      <c r="J641" s="13">
        <v>18</v>
      </c>
      <c r="K641" s="109">
        <v>20</v>
      </c>
      <c r="L641" s="109">
        <v>21</v>
      </c>
      <c r="M641" s="109">
        <v>21</v>
      </c>
      <c r="N641" s="109">
        <v>18</v>
      </c>
      <c r="O641" s="109">
        <v>18</v>
      </c>
      <c r="P641" s="109">
        <v>12</v>
      </c>
      <c r="Q641" s="13">
        <v>23</v>
      </c>
      <c r="R641" s="13">
        <v>25</v>
      </c>
      <c r="S641" s="13">
        <v>12</v>
      </c>
      <c r="T641" s="13">
        <v>28</v>
      </c>
      <c r="U641" s="109">
        <v>19</v>
      </c>
      <c r="V641" s="13">
        <v>19</v>
      </c>
      <c r="W641" s="13">
        <v>21</v>
      </c>
      <c r="X641" s="109">
        <v>16</v>
      </c>
      <c r="Y641" s="109">
        <v>15</v>
      </c>
      <c r="Z641" s="13">
        <v>12</v>
      </c>
      <c r="AA641" s="13">
        <v>19</v>
      </c>
      <c r="AB641" s="13">
        <v>15</v>
      </c>
      <c r="AC641" s="109">
        <v>15</v>
      </c>
      <c r="AD641" s="109">
        <v>19</v>
      </c>
      <c r="AE641" s="110">
        <v>12</v>
      </c>
      <c r="AF641" s="109"/>
      <c r="AG641" s="13"/>
      <c r="AH641" s="13"/>
    </row>
    <row r="642" spans="1:34" ht="12.75" customHeight="1">
      <c r="A642" s="10" t="s">
        <v>382</v>
      </c>
      <c r="B642" s="11">
        <f>AVERAGE(E642:AE642)</f>
        <v>17.592592592592592</v>
      </c>
      <c r="C642" s="2">
        <f>MIN(E642:AE642)</f>
        <v>11</v>
      </c>
      <c r="D642" s="12">
        <f>MAX(E642:AE642)</f>
        <v>28</v>
      </c>
      <c r="E642" s="13">
        <v>11</v>
      </c>
      <c r="F642" s="13">
        <v>12</v>
      </c>
      <c r="G642" s="13">
        <v>14</v>
      </c>
      <c r="H642" s="109">
        <v>21</v>
      </c>
      <c r="I642" s="109">
        <v>18</v>
      </c>
      <c r="J642" s="13">
        <v>18</v>
      </c>
      <c r="K642" s="109">
        <v>20</v>
      </c>
      <c r="L642" s="109">
        <v>21</v>
      </c>
      <c r="M642" s="109">
        <v>21</v>
      </c>
      <c r="N642" s="109">
        <v>18</v>
      </c>
      <c r="O642" s="109">
        <v>18</v>
      </c>
      <c r="P642" s="109">
        <v>12</v>
      </c>
      <c r="Q642" s="13">
        <v>23</v>
      </c>
      <c r="R642" s="13">
        <v>25</v>
      </c>
      <c r="S642" s="13">
        <v>12</v>
      </c>
      <c r="T642" s="13">
        <v>28</v>
      </c>
      <c r="U642" s="109">
        <v>19</v>
      </c>
      <c r="V642" s="13">
        <v>19</v>
      </c>
      <c r="W642" s="13">
        <v>21</v>
      </c>
      <c r="X642" s="109">
        <v>17</v>
      </c>
      <c r="Y642" s="109">
        <v>15</v>
      </c>
      <c r="Z642" s="13">
        <v>12</v>
      </c>
      <c r="AA642" s="13">
        <v>19</v>
      </c>
      <c r="AB642" s="13">
        <v>15</v>
      </c>
      <c r="AC642" s="109">
        <v>15</v>
      </c>
      <c r="AD642" s="109">
        <v>19</v>
      </c>
      <c r="AE642" s="110">
        <v>12</v>
      </c>
      <c r="AF642" s="109"/>
      <c r="AG642" s="13"/>
      <c r="AH642" s="13"/>
    </row>
    <row r="643" spans="1:34" ht="12.75" customHeight="1">
      <c r="A643" s="10" t="s">
        <v>383</v>
      </c>
      <c r="B643" s="11">
        <f>AVERAGE(E643:AE643)</f>
        <v>17.592592592592592</v>
      </c>
      <c r="C643" s="2">
        <f>MIN(E643:AE643)</f>
        <v>11</v>
      </c>
      <c r="D643" s="12">
        <f>MAX(E643:AE643)</f>
        <v>28</v>
      </c>
      <c r="E643" s="13">
        <v>11</v>
      </c>
      <c r="F643" s="13">
        <v>12</v>
      </c>
      <c r="G643" s="13">
        <v>14</v>
      </c>
      <c r="H643" s="109">
        <v>21</v>
      </c>
      <c r="I643" s="109">
        <v>18</v>
      </c>
      <c r="J643" s="13">
        <v>18</v>
      </c>
      <c r="K643" s="109">
        <v>20</v>
      </c>
      <c r="L643" s="109">
        <v>21</v>
      </c>
      <c r="M643" s="109">
        <v>21</v>
      </c>
      <c r="N643" s="109">
        <v>18</v>
      </c>
      <c r="O643" s="109">
        <v>18</v>
      </c>
      <c r="P643" s="109">
        <v>12</v>
      </c>
      <c r="Q643" s="13">
        <v>23</v>
      </c>
      <c r="R643" s="13">
        <v>25</v>
      </c>
      <c r="S643" s="13">
        <v>12</v>
      </c>
      <c r="T643" s="13">
        <v>28</v>
      </c>
      <c r="U643" s="109">
        <v>19</v>
      </c>
      <c r="V643" s="13">
        <v>19</v>
      </c>
      <c r="W643" s="13">
        <v>21</v>
      </c>
      <c r="X643" s="109">
        <v>17</v>
      </c>
      <c r="Y643" s="109">
        <v>15</v>
      </c>
      <c r="Z643" s="13">
        <v>12</v>
      </c>
      <c r="AA643" s="13">
        <v>19</v>
      </c>
      <c r="AB643" s="13">
        <v>15</v>
      </c>
      <c r="AC643" s="109">
        <v>15</v>
      </c>
      <c r="AD643" s="109">
        <v>19</v>
      </c>
      <c r="AE643" s="110">
        <v>12</v>
      </c>
      <c r="AF643" s="109"/>
      <c r="AG643" s="13"/>
      <c r="AH643" s="13"/>
    </row>
    <row r="644" spans="1:34" ht="12.75" customHeight="1">
      <c r="A644" s="10" t="s">
        <v>384</v>
      </c>
      <c r="B644" s="11">
        <f>AVERAGE(E644:AE644)</f>
        <v>17.62962962962963</v>
      </c>
      <c r="C644" s="2">
        <f>MIN(E644:AE644)</f>
        <v>11</v>
      </c>
      <c r="D644" s="12">
        <f>MAX(E644:AE644)</f>
        <v>28</v>
      </c>
      <c r="E644" s="13">
        <v>11</v>
      </c>
      <c r="F644" s="13">
        <v>12</v>
      </c>
      <c r="G644" s="13">
        <v>14</v>
      </c>
      <c r="H644" s="109">
        <v>21</v>
      </c>
      <c r="I644" s="109">
        <v>18</v>
      </c>
      <c r="J644" s="13">
        <v>18</v>
      </c>
      <c r="K644" s="109">
        <v>20</v>
      </c>
      <c r="L644" s="109">
        <v>21</v>
      </c>
      <c r="M644" s="109">
        <v>21</v>
      </c>
      <c r="N644" s="109">
        <v>18</v>
      </c>
      <c r="O644" s="109">
        <v>18</v>
      </c>
      <c r="P644" s="109">
        <v>12</v>
      </c>
      <c r="Q644" s="13">
        <v>23</v>
      </c>
      <c r="R644" s="13">
        <v>25</v>
      </c>
      <c r="S644" s="13">
        <v>12</v>
      </c>
      <c r="T644" s="13">
        <v>28</v>
      </c>
      <c r="U644" s="109">
        <v>19</v>
      </c>
      <c r="V644" s="13">
        <v>19</v>
      </c>
      <c r="W644" s="13">
        <v>21</v>
      </c>
      <c r="X644" s="109">
        <v>17</v>
      </c>
      <c r="Y644" s="109">
        <v>15</v>
      </c>
      <c r="Z644" s="13">
        <v>12</v>
      </c>
      <c r="AA644" s="13">
        <v>19</v>
      </c>
      <c r="AB644" s="13">
        <v>16</v>
      </c>
      <c r="AC644" s="109">
        <v>15</v>
      </c>
      <c r="AD644" s="109">
        <v>19</v>
      </c>
      <c r="AE644" s="110">
        <v>12</v>
      </c>
      <c r="AF644" s="109"/>
      <c r="AG644" s="13"/>
      <c r="AH644" s="13"/>
    </row>
    <row r="645" spans="1:34" ht="12.75" customHeight="1">
      <c r="A645" s="10" t="s">
        <v>385</v>
      </c>
      <c r="B645" s="11">
        <f>AVERAGE(E645:AE645)</f>
        <v>17.62962962962963</v>
      </c>
      <c r="C645" s="2">
        <f>MIN(E645:AE645)</f>
        <v>11</v>
      </c>
      <c r="D645" s="12">
        <f>MAX(E645:AE645)</f>
        <v>28</v>
      </c>
      <c r="E645" s="13">
        <v>11</v>
      </c>
      <c r="F645" s="13">
        <v>12</v>
      </c>
      <c r="G645" s="13">
        <v>14</v>
      </c>
      <c r="H645" s="109">
        <v>21</v>
      </c>
      <c r="I645" s="109">
        <v>18</v>
      </c>
      <c r="J645" s="13">
        <v>18</v>
      </c>
      <c r="K645" s="109">
        <v>20</v>
      </c>
      <c r="L645" s="109">
        <v>21</v>
      </c>
      <c r="M645" s="109">
        <v>21</v>
      </c>
      <c r="N645" s="109">
        <v>18</v>
      </c>
      <c r="O645" s="109">
        <v>18</v>
      </c>
      <c r="P645" s="109">
        <v>12</v>
      </c>
      <c r="Q645" s="13">
        <v>23</v>
      </c>
      <c r="R645" s="13">
        <v>25</v>
      </c>
      <c r="S645" s="13">
        <v>12</v>
      </c>
      <c r="T645" s="13">
        <v>28</v>
      </c>
      <c r="U645" s="109">
        <v>19</v>
      </c>
      <c r="V645" s="13">
        <v>19</v>
      </c>
      <c r="W645" s="13">
        <v>21</v>
      </c>
      <c r="X645" s="109">
        <v>17</v>
      </c>
      <c r="Y645" s="109">
        <v>15</v>
      </c>
      <c r="Z645" s="13">
        <v>12</v>
      </c>
      <c r="AA645" s="13">
        <v>19</v>
      </c>
      <c r="AB645" s="13">
        <v>16</v>
      </c>
      <c r="AC645" s="109">
        <v>15</v>
      </c>
      <c r="AD645" s="109">
        <v>19</v>
      </c>
      <c r="AE645" s="110">
        <v>12</v>
      </c>
      <c r="AF645" s="109"/>
      <c r="AG645" s="13"/>
      <c r="AH645" s="13"/>
    </row>
    <row r="646" spans="1:34" ht="12.75" customHeight="1">
      <c r="A646" s="10" t="s">
        <v>386</v>
      </c>
      <c r="B646" s="11">
        <f>AVERAGE(E646:AE646)</f>
        <v>17.666666666666668</v>
      </c>
      <c r="C646" s="2">
        <f>MIN(E646:AE646)</f>
        <v>11</v>
      </c>
      <c r="D646" s="12">
        <f>MAX(E646:AE646)</f>
        <v>28</v>
      </c>
      <c r="E646" s="13">
        <v>11</v>
      </c>
      <c r="F646" s="13">
        <v>12</v>
      </c>
      <c r="G646" s="13">
        <v>14</v>
      </c>
      <c r="H646" s="109">
        <v>21</v>
      </c>
      <c r="I646" s="109">
        <v>18</v>
      </c>
      <c r="J646" s="13">
        <v>18</v>
      </c>
      <c r="K646" s="109">
        <v>20</v>
      </c>
      <c r="L646" s="109">
        <v>21</v>
      </c>
      <c r="M646" s="109">
        <v>21</v>
      </c>
      <c r="N646" s="109">
        <v>18</v>
      </c>
      <c r="O646" s="109">
        <v>18</v>
      </c>
      <c r="P646" s="109">
        <v>12</v>
      </c>
      <c r="Q646" s="13">
        <v>24</v>
      </c>
      <c r="R646" s="13">
        <v>25</v>
      </c>
      <c r="S646" s="13">
        <v>12</v>
      </c>
      <c r="T646" s="13">
        <v>28</v>
      </c>
      <c r="U646" s="109">
        <v>19</v>
      </c>
      <c r="V646" s="13">
        <v>19</v>
      </c>
      <c r="W646" s="13">
        <v>21</v>
      </c>
      <c r="X646" s="109">
        <v>17</v>
      </c>
      <c r="Y646" s="109">
        <v>15</v>
      </c>
      <c r="Z646" s="13">
        <v>12</v>
      </c>
      <c r="AA646" s="13">
        <v>19</v>
      </c>
      <c r="AB646" s="13">
        <v>16</v>
      </c>
      <c r="AC646" s="109">
        <v>15</v>
      </c>
      <c r="AD646" s="109">
        <v>19</v>
      </c>
      <c r="AE646" s="110">
        <v>12</v>
      </c>
      <c r="AF646" s="109"/>
      <c r="AG646" s="13"/>
      <c r="AH646" s="13"/>
    </row>
    <row r="647" spans="1:34" ht="12.75" customHeight="1">
      <c r="A647" s="10" t="s">
        <v>387</v>
      </c>
      <c r="B647" s="11">
        <f>AVERAGE(E647:AE647)</f>
        <v>17.666666666666668</v>
      </c>
      <c r="C647" s="2">
        <f>MIN(E647:AE647)</f>
        <v>11</v>
      </c>
      <c r="D647" s="12">
        <f>MAX(E647:AE647)</f>
        <v>28</v>
      </c>
      <c r="E647" s="13">
        <v>11</v>
      </c>
      <c r="F647" s="13">
        <v>12</v>
      </c>
      <c r="G647" s="13">
        <v>14</v>
      </c>
      <c r="H647" s="109">
        <v>21</v>
      </c>
      <c r="I647" s="109">
        <v>18</v>
      </c>
      <c r="J647" s="13">
        <v>18</v>
      </c>
      <c r="K647" s="109">
        <v>20</v>
      </c>
      <c r="L647" s="109">
        <v>21</v>
      </c>
      <c r="M647" s="109">
        <v>21</v>
      </c>
      <c r="N647" s="109">
        <v>18</v>
      </c>
      <c r="O647" s="109">
        <v>18</v>
      </c>
      <c r="P647" s="109">
        <v>12</v>
      </c>
      <c r="Q647" s="13">
        <v>24</v>
      </c>
      <c r="R647" s="13">
        <v>25</v>
      </c>
      <c r="S647" s="13">
        <v>12</v>
      </c>
      <c r="T647" s="13">
        <v>28</v>
      </c>
      <c r="U647" s="109">
        <v>19</v>
      </c>
      <c r="V647" s="13">
        <v>19</v>
      </c>
      <c r="W647" s="13">
        <v>21</v>
      </c>
      <c r="X647" s="109">
        <v>17</v>
      </c>
      <c r="Y647" s="109">
        <v>15</v>
      </c>
      <c r="Z647" s="13">
        <v>12</v>
      </c>
      <c r="AA647" s="13">
        <v>19</v>
      </c>
      <c r="AB647" s="13">
        <v>16</v>
      </c>
      <c r="AC647" s="109">
        <v>15</v>
      </c>
      <c r="AD647" s="109">
        <v>19</v>
      </c>
      <c r="AE647" s="110">
        <v>12</v>
      </c>
      <c r="AF647" s="109"/>
      <c r="AG647" s="13"/>
      <c r="AH647" s="13"/>
    </row>
    <row r="648" spans="1:34" ht="12.75" customHeight="1">
      <c r="A648" s="10" t="s">
        <v>388</v>
      </c>
      <c r="B648" s="11">
        <f>AVERAGE(E648:AE648)</f>
        <v>17.666666666666668</v>
      </c>
      <c r="C648" s="2">
        <f>MIN(E648:AE648)</f>
        <v>11</v>
      </c>
      <c r="D648" s="12">
        <f>MAX(E648:AE648)</f>
        <v>28</v>
      </c>
      <c r="E648" s="13">
        <v>11</v>
      </c>
      <c r="F648" s="13">
        <v>12</v>
      </c>
      <c r="G648" s="13">
        <v>14</v>
      </c>
      <c r="H648" s="13">
        <v>21</v>
      </c>
      <c r="I648" s="109">
        <v>18</v>
      </c>
      <c r="J648" s="13">
        <v>18</v>
      </c>
      <c r="K648" s="109">
        <v>20</v>
      </c>
      <c r="L648" s="109">
        <v>21</v>
      </c>
      <c r="M648" s="109">
        <v>21</v>
      </c>
      <c r="N648" s="109">
        <v>18</v>
      </c>
      <c r="O648" s="109">
        <v>18</v>
      </c>
      <c r="P648" s="109">
        <v>12</v>
      </c>
      <c r="Q648" s="13">
        <v>24</v>
      </c>
      <c r="R648" s="13">
        <v>25</v>
      </c>
      <c r="S648" s="13">
        <v>12</v>
      </c>
      <c r="T648" s="13">
        <v>28</v>
      </c>
      <c r="U648" s="109">
        <v>19</v>
      </c>
      <c r="V648" s="13">
        <v>19</v>
      </c>
      <c r="W648" s="13">
        <v>21</v>
      </c>
      <c r="X648" s="13">
        <v>17</v>
      </c>
      <c r="Y648" s="109">
        <v>15</v>
      </c>
      <c r="Z648" s="13">
        <v>12</v>
      </c>
      <c r="AA648" s="13">
        <v>19</v>
      </c>
      <c r="AB648" s="13">
        <v>16</v>
      </c>
      <c r="AC648" s="109">
        <v>15</v>
      </c>
      <c r="AD648" s="109">
        <v>19</v>
      </c>
      <c r="AE648" s="110">
        <v>12</v>
      </c>
      <c r="AF648" s="109"/>
      <c r="AG648" s="13"/>
      <c r="AH648" s="13"/>
    </row>
    <row r="649" spans="1:34" ht="12.75" customHeight="1">
      <c r="A649" s="10" t="s">
        <v>389</v>
      </c>
      <c r="B649" s="11">
        <f>AVERAGE(E649:AE649)</f>
        <v>17.666666666666668</v>
      </c>
      <c r="C649" s="2">
        <f>MIN(E649:AE649)</f>
        <v>11</v>
      </c>
      <c r="D649" s="12">
        <f>MAX(E649:AE649)</f>
        <v>28</v>
      </c>
      <c r="E649" s="13">
        <v>11</v>
      </c>
      <c r="F649" s="13">
        <v>12</v>
      </c>
      <c r="G649" s="13">
        <v>14</v>
      </c>
      <c r="H649" s="13">
        <v>21</v>
      </c>
      <c r="I649" s="109">
        <v>18</v>
      </c>
      <c r="J649" s="13">
        <v>18</v>
      </c>
      <c r="K649" s="109">
        <v>20</v>
      </c>
      <c r="L649" s="109">
        <v>21</v>
      </c>
      <c r="M649" s="109">
        <v>21</v>
      </c>
      <c r="N649" s="109">
        <v>18</v>
      </c>
      <c r="O649" s="109">
        <v>18</v>
      </c>
      <c r="P649" s="109">
        <v>12</v>
      </c>
      <c r="Q649" s="13">
        <v>24</v>
      </c>
      <c r="R649" s="13">
        <v>25</v>
      </c>
      <c r="S649" s="13">
        <v>12</v>
      </c>
      <c r="T649" s="13">
        <v>28</v>
      </c>
      <c r="U649" s="109">
        <v>19</v>
      </c>
      <c r="V649" s="13">
        <v>19</v>
      </c>
      <c r="W649" s="13">
        <v>21</v>
      </c>
      <c r="X649" s="13">
        <v>17</v>
      </c>
      <c r="Y649" s="109">
        <v>15</v>
      </c>
      <c r="Z649" s="13">
        <v>12</v>
      </c>
      <c r="AA649" s="13">
        <v>19</v>
      </c>
      <c r="AB649" s="13">
        <v>16</v>
      </c>
      <c r="AC649" s="109">
        <v>15</v>
      </c>
      <c r="AD649" s="109">
        <v>19</v>
      </c>
      <c r="AE649" s="110">
        <v>12</v>
      </c>
      <c r="AF649" s="109"/>
      <c r="AG649" s="13"/>
      <c r="AH649" s="13"/>
    </row>
    <row r="650" spans="1:34" ht="12.75" customHeight="1">
      <c r="A650" s="10" t="s">
        <v>390</v>
      </c>
      <c r="B650" s="11">
        <f>AVERAGE(E650:AE650)</f>
        <v>17.74074074074074</v>
      </c>
      <c r="C650" s="2">
        <f>MIN(E650:AE650)</f>
        <v>11</v>
      </c>
      <c r="D650" s="12">
        <f>MAX(E650:AE650)</f>
        <v>29</v>
      </c>
      <c r="E650" s="13">
        <v>11</v>
      </c>
      <c r="F650" s="13">
        <v>12</v>
      </c>
      <c r="G650" s="13">
        <v>14</v>
      </c>
      <c r="H650" s="13">
        <v>21</v>
      </c>
      <c r="I650" s="109">
        <v>18</v>
      </c>
      <c r="J650" s="13">
        <v>18</v>
      </c>
      <c r="K650" s="109">
        <v>20</v>
      </c>
      <c r="L650" s="109">
        <v>22</v>
      </c>
      <c r="M650" s="109">
        <v>21</v>
      </c>
      <c r="N650" s="109">
        <v>18</v>
      </c>
      <c r="O650" s="109">
        <v>18</v>
      </c>
      <c r="P650" s="109">
        <v>12</v>
      </c>
      <c r="Q650" s="13">
        <v>24</v>
      </c>
      <c r="R650" s="13">
        <v>25</v>
      </c>
      <c r="S650" s="13">
        <v>12</v>
      </c>
      <c r="T650" s="13">
        <v>29</v>
      </c>
      <c r="U650" s="109">
        <v>19</v>
      </c>
      <c r="V650" s="13">
        <v>19</v>
      </c>
      <c r="W650" s="13">
        <v>21</v>
      </c>
      <c r="X650" s="13">
        <v>17</v>
      </c>
      <c r="Y650" s="109">
        <v>15</v>
      </c>
      <c r="Z650" s="13">
        <v>12</v>
      </c>
      <c r="AA650" s="13">
        <v>19</v>
      </c>
      <c r="AB650" s="13">
        <v>16</v>
      </c>
      <c r="AC650" s="109">
        <v>15</v>
      </c>
      <c r="AD650" s="109">
        <v>19</v>
      </c>
      <c r="AE650" s="110">
        <v>12</v>
      </c>
      <c r="AF650" s="109"/>
      <c r="AG650" s="13"/>
      <c r="AH650" s="13"/>
    </row>
    <row r="651" spans="1:34" ht="12.75" customHeight="1">
      <c r="A651" s="10" t="s">
        <v>391</v>
      </c>
      <c r="B651" s="11">
        <f>AVERAGE(E651:AE651)</f>
        <v>17.74074074074074</v>
      </c>
      <c r="C651" s="2">
        <f>MIN(E651:AE651)</f>
        <v>11</v>
      </c>
      <c r="D651" s="12">
        <f>MAX(E651:AE651)</f>
        <v>29</v>
      </c>
      <c r="E651" s="13">
        <v>11</v>
      </c>
      <c r="F651" s="13">
        <v>12</v>
      </c>
      <c r="G651" s="13">
        <v>14</v>
      </c>
      <c r="H651" s="13">
        <v>21</v>
      </c>
      <c r="I651" s="109">
        <v>18</v>
      </c>
      <c r="J651" s="13">
        <v>18</v>
      </c>
      <c r="K651" s="109">
        <v>20</v>
      </c>
      <c r="L651" s="109">
        <v>22</v>
      </c>
      <c r="M651" s="109">
        <v>21</v>
      </c>
      <c r="N651" s="109">
        <v>18</v>
      </c>
      <c r="O651" s="109">
        <v>18</v>
      </c>
      <c r="P651" s="109">
        <v>12</v>
      </c>
      <c r="Q651" s="13">
        <v>24</v>
      </c>
      <c r="R651" s="13">
        <v>25</v>
      </c>
      <c r="S651" s="13">
        <v>12</v>
      </c>
      <c r="T651" s="13">
        <v>29</v>
      </c>
      <c r="U651" s="109">
        <v>19</v>
      </c>
      <c r="V651" s="13">
        <v>19</v>
      </c>
      <c r="W651" s="13">
        <v>21</v>
      </c>
      <c r="X651" s="13">
        <v>17</v>
      </c>
      <c r="Y651" s="109">
        <v>15</v>
      </c>
      <c r="Z651" s="13">
        <v>12</v>
      </c>
      <c r="AA651" s="13">
        <v>19</v>
      </c>
      <c r="AB651" s="13">
        <v>16</v>
      </c>
      <c r="AC651" s="109">
        <v>15</v>
      </c>
      <c r="AD651" s="109">
        <v>19</v>
      </c>
      <c r="AE651" s="110">
        <v>12</v>
      </c>
      <c r="AF651" s="109"/>
      <c r="AG651" s="13"/>
      <c r="AH651" s="13"/>
    </row>
    <row r="652" spans="1:34" ht="12.75" customHeight="1">
      <c r="A652" s="10" t="s">
        <v>392</v>
      </c>
      <c r="B652" s="11">
        <f>AVERAGE(E652:AE652)</f>
        <v>17.74074074074074</v>
      </c>
      <c r="C652" s="2">
        <f>MIN(E652:AE652)</f>
        <v>11</v>
      </c>
      <c r="D652" s="12">
        <f>MAX(E652:AE652)</f>
        <v>29</v>
      </c>
      <c r="E652" s="13">
        <v>11</v>
      </c>
      <c r="F652" s="13">
        <v>12</v>
      </c>
      <c r="G652" s="13">
        <v>14</v>
      </c>
      <c r="H652" s="13">
        <v>21</v>
      </c>
      <c r="I652" s="109">
        <v>18</v>
      </c>
      <c r="J652" s="13">
        <v>18</v>
      </c>
      <c r="K652" s="109">
        <v>20</v>
      </c>
      <c r="L652" s="109">
        <v>22</v>
      </c>
      <c r="M652" s="109">
        <v>21</v>
      </c>
      <c r="N652" s="109">
        <v>18</v>
      </c>
      <c r="O652" s="109">
        <v>18</v>
      </c>
      <c r="P652" s="109">
        <v>12</v>
      </c>
      <c r="Q652" s="13">
        <v>24</v>
      </c>
      <c r="R652" s="13">
        <v>25</v>
      </c>
      <c r="S652" s="13">
        <v>12</v>
      </c>
      <c r="T652" s="13">
        <v>29</v>
      </c>
      <c r="U652" s="109">
        <v>19</v>
      </c>
      <c r="V652" s="13">
        <v>19</v>
      </c>
      <c r="W652" s="13">
        <v>21</v>
      </c>
      <c r="X652" s="13">
        <v>17</v>
      </c>
      <c r="Y652" s="109">
        <v>15</v>
      </c>
      <c r="Z652" s="13">
        <v>12</v>
      </c>
      <c r="AA652" s="13">
        <v>19</v>
      </c>
      <c r="AB652" s="13">
        <v>16</v>
      </c>
      <c r="AC652" s="109">
        <v>15</v>
      </c>
      <c r="AD652" s="109">
        <v>19</v>
      </c>
      <c r="AE652" s="110">
        <v>12</v>
      </c>
      <c r="AF652" s="109"/>
      <c r="AG652" s="13"/>
      <c r="AH652" s="13"/>
    </row>
    <row r="653" spans="1:34" ht="12.75" customHeight="1">
      <c r="A653" s="10" t="s">
        <v>393</v>
      </c>
      <c r="B653" s="11">
        <f>AVERAGE(E653:AE653)</f>
        <v>17.74074074074074</v>
      </c>
      <c r="C653" s="2">
        <f>MIN(E653:AE653)</f>
        <v>11</v>
      </c>
      <c r="D653" s="12">
        <f>MAX(E653:AE653)</f>
        <v>29</v>
      </c>
      <c r="E653" s="13">
        <v>11</v>
      </c>
      <c r="F653" s="13">
        <v>12</v>
      </c>
      <c r="G653" s="13">
        <v>14</v>
      </c>
      <c r="H653" s="13">
        <v>21</v>
      </c>
      <c r="I653" s="109">
        <v>18</v>
      </c>
      <c r="J653" s="13">
        <v>18</v>
      </c>
      <c r="K653" s="109">
        <v>20</v>
      </c>
      <c r="L653" s="109">
        <v>22</v>
      </c>
      <c r="M653" s="109">
        <v>21</v>
      </c>
      <c r="N653" s="109">
        <v>18</v>
      </c>
      <c r="O653" s="109">
        <v>18</v>
      </c>
      <c r="P653" s="109">
        <v>12</v>
      </c>
      <c r="Q653" s="13">
        <v>24</v>
      </c>
      <c r="R653" s="13">
        <v>25</v>
      </c>
      <c r="S653" s="13">
        <v>12</v>
      </c>
      <c r="T653" s="13">
        <v>29</v>
      </c>
      <c r="U653" s="109">
        <v>19</v>
      </c>
      <c r="V653" s="13">
        <v>19</v>
      </c>
      <c r="W653" s="13">
        <v>21</v>
      </c>
      <c r="X653" s="13">
        <v>17</v>
      </c>
      <c r="Y653" s="109">
        <v>15</v>
      </c>
      <c r="Z653" s="13">
        <v>12</v>
      </c>
      <c r="AA653" s="13">
        <v>19</v>
      </c>
      <c r="AB653" s="13">
        <v>16</v>
      </c>
      <c r="AC653" s="109">
        <v>15</v>
      </c>
      <c r="AD653" s="109">
        <v>19</v>
      </c>
      <c r="AE653" s="110">
        <v>12</v>
      </c>
      <c r="AF653" s="109"/>
      <c r="AG653" s="13"/>
      <c r="AH653" s="13"/>
    </row>
    <row r="654" spans="1:34" ht="12.75" customHeight="1">
      <c r="A654" s="10" t="s">
        <v>394</v>
      </c>
      <c r="B654" s="11">
        <f>AVERAGE(E654:AE654)</f>
        <v>17.74074074074074</v>
      </c>
      <c r="C654" s="2">
        <f>MIN(E654:AE654)</f>
        <v>11</v>
      </c>
      <c r="D654" s="12">
        <f>MAX(E654:AE654)</f>
        <v>29</v>
      </c>
      <c r="E654" s="13">
        <v>11</v>
      </c>
      <c r="F654" s="13">
        <v>12</v>
      </c>
      <c r="G654" s="13">
        <v>14</v>
      </c>
      <c r="H654" s="13">
        <v>21</v>
      </c>
      <c r="I654" s="109">
        <v>18</v>
      </c>
      <c r="J654" s="13">
        <v>18</v>
      </c>
      <c r="K654" s="109">
        <v>20</v>
      </c>
      <c r="L654" s="109">
        <v>22</v>
      </c>
      <c r="M654" s="109">
        <v>21</v>
      </c>
      <c r="N654" s="109">
        <v>18</v>
      </c>
      <c r="O654" s="109">
        <v>18</v>
      </c>
      <c r="P654" s="109">
        <v>12</v>
      </c>
      <c r="Q654" s="13">
        <v>24</v>
      </c>
      <c r="R654" s="13">
        <v>25</v>
      </c>
      <c r="S654" s="13">
        <v>12</v>
      </c>
      <c r="T654" s="13">
        <v>29</v>
      </c>
      <c r="U654" s="109">
        <v>19</v>
      </c>
      <c r="V654" s="13">
        <v>19</v>
      </c>
      <c r="W654" s="13">
        <v>21</v>
      </c>
      <c r="X654" s="13">
        <v>17</v>
      </c>
      <c r="Y654" s="109">
        <v>15</v>
      </c>
      <c r="Z654" s="13">
        <v>12</v>
      </c>
      <c r="AA654" s="13">
        <v>19</v>
      </c>
      <c r="AB654" s="13">
        <v>16</v>
      </c>
      <c r="AC654" s="109">
        <v>15</v>
      </c>
      <c r="AD654" s="109">
        <v>19</v>
      </c>
      <c r="AE654" s="110">
        <v>12</v>
      </c>
      <c r="AF654" s="109"/>
      <c r="AG654" s="13"/>
      <c r="AH654" s="13"/>
    </row>
    <row r="655" spans="1:34" ht="12.75" customHeight="1">
      <c r="A655" s="10" t="s">
        <v>395</v>
      </c>
      <c r="B655" s="11">
        <f>AVERAGE(E655:AE655)</f>
        <v>17.74074074074074</v>
      </c>
      <c r="C655" s="2">
        <f>MIN(E655:AE655)</f>
        <v>11</v>
      </c>
      <c r="D655" s="12">
        <f>MAX(E655:AE655)</f>
        <v>29</v>
      </c>
      <c r="E655" s="13">
        <v>11</v>
      </c>
      <c r="F655" s="13">
        <v>12</v>
      </c>
      <c r="G655" s="13">
        <v>14</v>
      </c>
      <c r="H655" s="13">
        <v>21</v>
      </c>
      <c r="I655" s="109">
        <v>18</v>
      </c>
      <c r="J655" s="13">
        <v>18</v>
      </c>
      <c r="K655" s="109">
        <v>20</v>
      </c>
      <c r="L655" s="109">
        <v>22</v>
      </c>
      <c r="M655" s="109">
        <v>21</v>
      </c>
      <c r="N655" s="109">
        <v>18</v>
      </c>
      <c r="O655" s="109">
        <v>18</v>
      </c>
      <c r="P655" s="109">
        <v>12</v>
      </c>
      <c r="Q655" s="13">
        <v>24</v>
      </c>
      <c r="R655" s="13">
        <v>25</v>
      </c>
      <c r="S655" s="13">
        <v>12</v>
      </c>
      <c r="T655" s="13">
        <v>29</v>
      </c>
      <c r="U655" s="109">
        <v>19</v>
      </c>
      <c r="V655" s="13">
        <v>19</v>
      </c>
      <c r="W655" s="13">
        <v>21</v>
      </c>
      <c r="X655" s="13">
        <v>17</v>
      </c>
      <c r="Y655" s="109">
        <v>15</v>
      </c>
      <c r="Z655" s="13">
        <v>12</v>
      </c>
      <c r="AA655" s="13">
        <v>19</v>
      </c>
      <c r="AB655" s="13">
        <v>16</v>
      </c>
      <c r="AC655" s="109">
        <v>15</v>
      </c>
      <c r="AD655" s="13">
        <v>19</v>
      </c>
      <c r="AE655" s="110">
        <v>12</v>
      </c>
      <c r="AF655" s="109"/>
      <c r="AG655" s="13"/>
      <c r="AH655" s="13"/>
    </row>
    <row r="656" spans="1:34" ht="12.75" customHeight="1">
      <c r="A656" s="10" t="s">
        <v>396</v>
      </c>
      <c r="B656" s="11">
        <f>AVERAGE(E656:AE656)</f>
        <v>17.74074074074074</v>
      </c>
      <c r="C656" s="2">
        <f>MIN(E656:AE656)</f>
        <v>11</v>
      </c>
      <c r="D656" s="12">
        <f>MAX(E656:AE656)</f>
        <v>29</v>
      </c>
      <c r="E656" s="13">
        <v>11</v>
      </c>
      <c r="F656" s="13">
        <v>12</v>
      </c>
      <c r="G656" s="13">
        <v>14</v>
      </c>
      <c r="H656" s="13">
        <v>21</v>
      </c>
      <c r="I656" s="109">
        <v>18</v>
      </c>
      <c r="J656" s="13">
        <v>18</v>
      </c>
      <c r="K656" s="109">
        <v>20</v>
      </c>
      <c r="L656" s="109">
        <v>22</v>
      </c>
      <c r="M656" s="109">
        <v>21</v>
      </c>
      <c r="N656" s="109">
        <v>18</v>
      </c>
      <c r="O656" s="109">
        <v>18</v>
      </c>
      <c r="P656" s="109">
        <v>12</v>
      </c>
      <c r="Q656" s="13">
        <v>24</v>
      </c>
      <c r="R656" s="13">
        <v>25</v>
      </c>
      <c r="S656" s="13">
        <v>12</v>
      </c>
      <c r="T656" s="13">
        <v>29</v>
      </c>
      <c r="U656" s="109">
        <v>19</v>
      </c>
      <c r="V656" s="13">
        <v>19</v>
      </c>
      <c r="W656" s="13">
        <v>21</v>
      </c>
      <c r="X656" s="13">
        <v>17</v>
      </c>
      <c r="Y656" s="109">
        <v>15</v>
      </c>
      <c r="Z656" s="13">
        <v>12</v>
      </c>
      <c r="AA656" s="13">
        <v>19</v>
      </c>
      <c r="AB656" s="13">
        <v>16</v>
      </c>
      <c r="AC656" s="109">
        <v>15</v>
      </c>
      <c r="AD656" s="13">
        <v>19</v>
      </c>
      <c r="AE656" s="110">
        <v>12</v>
      </c>
      <c r="AF656" s="109"/>
      <c r="AG656" s="13"/>
      <c r="AH656" s="13"/>
    </row>
    <row r="657" spans="1:34" ht="12.75" customHeight="1">
      <c r="A657" s="10" t="s">
        <v>397</v>
      </c>
      <c r="B657" s="11">
        <f>AVERAGE(E657:AE657)</f>
        <v>17.74074074074074</v>
      </c>
      <c r="C657" s="2">
        <f>MIN(E657:AE657)</f>
        <v>11</v>
      </c>
      <c r="D657" s="12">
        <f>MAX(E657:AE657)</f>
        <v>29</v>
      </c>
      <c r="E657" s="13">
        <v>11</v>
      </c>
      <c r="F657" s="13">
        <v>12</v>
      </c>
      <c r="G657" s="13">
        <v>14</v>
      </c>
      <c r="H657" s="13">
        <v>21</v>
      </c>
      <c r="I657" s="109">
        <v>18</v>
      </c>
      <c r="J657" s="13">
        <v>18</v>
      </c>
      <c r="K657" s="109">
        <v>20</v>
      </c>
      <c r="L657" s="109">
        <v>22</v>
      </c>
      <c r="M657" s="109">
        <v>21</v>
      </c>
      <c r="N657" s="109">
        <v>18</v>
      </c>
      <c r="O657" s="109">
        <v>18</v>
      </c>
      <c r="P657" s="109">
        <v>12</v>
      </c>
      <c r="Q657" s="13">
        <v>24</v>
      </c>
      <c r="R657" s="13">
        <v>25</v>
      </c>
      <c r="S657" s="13">
        <v>12</v>
      </c>
      <c r="T657" s="13">
        <v>29</v>
      </c>
      <c r="U657" s="109">
        <v>19</v>
      </c>
      <c r="V657" s="13">
        <v>19</v>
      </c>
      <c r="W657" s="13">
        <v>21</v>
      </c>
      <c r="X657" s="13">
        <v>17</v>
      </c>
      <c r="Y657" s="109">
        <v>15</v>
      </c>
      <c r="Z657" s="13">
        <v>12</v>
      </c>
      <c r="AA657" s="13">
        <v>19</v>
      </c>
      <c r="AB657" s="13">
        <v>16</v>
      </c>
      <c r="AC657" s="109">
        <v>15</v>
      </c>
      <c r="AD657" s="13">
        <v>19</v>
      </c>
      <c r="AE657" s="110">
        <v>12</v>
      </c>
      <c r="AF657" s="109"/>
      <c r="AG657" s="13"/>
      <c r="AH657" s="13"/>
    </row>
    <row r="658" spans="1:34" ht="12.75" customHeight="1">
      <c r="A658" s="10" t="s">
        <v>398</v>
      </c>
      <c r="B658" s="11">
        <f>AVERAGE(E658:AE658)</f>
        <v>17.74074074074074</v>
      </c>
      <c r="C658" s="2">
        <f>MIN(E658:AE658)</f>
        <v>11</v>
      </c>
      <c r="D658" s="12">
        <f>MAX(E658:AE658)</f>
        <v>29</v>
      </c>
      <c r="E658" s="13">
        <v>11</v>
      </c>
      <c r="F658" s="13">
        <v>12</v>
      </c>
      <c r="G658" s="13">
        <v>14</v>
      </c>
      <c r="H658" s="13">
        <v>21</v>
      </c>
      <c r="I658" s="109">
        <v>18</v>
      </c>
      <c r="J658" s="13">
        <v>18</v>
      </c>
      <c r="K658" s="109">
        <v>20</v>
      </c>
      <c r="L658" s="109">
        <v>22</v>
      </c>
      <c r="M658" s="109">
        <v>21</v>
      </c>
      <c r="N658" s="109">
        <v>18</v>
      </c>
      <c r="O658" s="109">
        <v>18</v>
      </c>
      <c r="P658" s="109">
        <v>12</v>
      </c>
      <c r="Q658" s="13">
        <v>24</v>
      </c>
      <c r="R658" s="13">
        <v>25</v>
      </c>
      <c r="S658" s="13">
        <v>12</v>
      </c>
      <c r="T658" s="13">
        <v>29</v>
      </c>
      <c r="U658" s="109">
        <v>19</v>
      </c>
      <c r="V658" s="13">
        <v>19</v>
      </c>
      <c r="W658" s="13">
        <v>21</v>
      </c>
      <c r="X658" s="13">
        <v>17</v>
      </c>
      <c r="Y658" s="109">
        <v>15</v>
      </c>
      <c r="Z658" s="13">
        <v>12</v>
      </c>
      <c r="AA658" s="13">
        <v>19</v>
      </c>
      <c r="AB658" s="13">
        <v>16</v>
      </c>
      <c r="AC658" s="109">
        <v>15</v>
      </c>
      <c r="AD658" s="13">
        <v>19</v>
      </c>
      <c r="AE658" s="110">
        <v>12</v>
      </c>
      <c r="AF658" s="109"/>
      <c r="AG658" s="13"/>
      <c r="AH658" s="13"/>
    </row>
    <row r="659" spans="1:34" ht="12.75" customHeight="1">
      <c r="A659" s="10" t="s">
        <v>399</v>
      </c>
      <c r="B659" s="11">
        <f>AVERAGE(E659:AE659)</f>
        <v>17.74074074074074</v>
      </c>
      <c r="C659" s="2">
        <f>MIN(E659:AE659)</f>
        <v>11</v>
      </c>
      <c r="D659" s="12">
        <f>MAX(E659:AE659)</f>
        <v>29</v>
      </c>
      <c r="E659" s="13">
        <v>11</v>
      </c>
      <c r="F659" s="13">
        <v>12</v>
      </c>
      <c r="G659" s="13">
        <v>14</v>
      </c>
      <c r="H659" s="13">
        <v>21</v>
      </c>
      <c r="I659" s="109">
        <v>18</v>
      </c>
      <c r="J659" s="13">
        <v>18</v>
      </c>
      <c r="K659" s="109">
        <v>20</v>
      </c>
      <c r="L659" s="109">
        <v>22</v>
      </c>
      <c r="M659" s="109">
        <v>21</v>
      </c>
      <c r="N659" s="109">
        <v>18</v>
      </c>
      <c r="O659" s="109">
        <v>18</v>
      </c>
      <c r="P659" s="109">
        <v>12</v>
      </c>
      <c r="Q659" s="13">
        <v>24</v>
      </c>
      <c r="R659" s="13">
        <v>25</v>
      </c>
      <c r="S659" s="13">
        <v>12</v>
      </c>
      <c r="T659" s="13">
        <v>29</v>
      </c>
      <c r="U659" s="109">
        <v>19</v>
      </c>
      <c r="V659" s="13">
        <v>19</v>
      </c>
      <c r="W659" s="13">
        <v>21</v>
      </c>
      <c r="X659" s="13">
        <v>17</v>
      </c>
      <c r="Y659" s="109">
        <v>15</v>
      </c>
      <c r="Z659" s="13">
        <v>12</v>
      </c>
      <c r="AA659" s="13">
        <v>19</v>
      </c>
      <c r="AB659" s="13">
        <v>16</v>
      </c>
      <c r="AC659" s="109">
        <v>15</v>
      </c>
      <c r="AD659" s="13">
        <v>19</v>
      </c>
      <c r="AE659" s="110">
        <v>12</v>
      </c>
      <c r="AF659" s="109"/>
      <c r="AG659" s="13"/>
      <c r="AH659" s="13"/>
    </row>
    <row r="660" spans="1:34" ht="12.75" customHeight="1">
      <c r="A660" s="10" t="s">
        <v>400</v>
      </c>
      <c r="B660" s="11">
        <f>AVERAGE(E660:AE660)</f>
        <v>17.74074074074074</v>
      </c>
      <c r="C660" s="2">
        <f>MIN(E660:AE660)</f>
        <v>11</v>
      </c>
      <c r="D660" s="12">
        <f>MAX(E660:AE660)</f>
        <v>29</v>
      </c>
      <c r="E660" s="13">
        <v>11</v>
      </c>
      <c r="F660" s="13">
        <v>12</v>
      </c>
      <c r="G660" s="13">
        <v>14</v>
      </c>
      <c r="H660" s="13">
        <v>21</v>
      </c>
      <c r="I660" s="109">
        <v>18</v>
      </c>
      <c r="J660" s="13">
        <v>18</v>
      </c>
      <c r="K660" s="109">
        <v>20</v>
      </c>
      <c r="L660" s="109">
        <v>22</v>
      </c>
      <c r="M660" s="109">
        <v>21</v>
      </c>
      <c r="N660" s="109">
        <v>18</v>
      </c>
      <c r="O660" s="109">
        <v>18</v>
      </c>
      <c r="P660" s="109">
        <v>12</v>
      </c>
      <c r="Q660" s="13">
        <v>24</v>
      </c>
      <c r="R660" s="13">
        <v>25</v>
      </c>
      <c r="S660" s="13">
        <v>12</v>
      </c>
      <c r="T660" s="13">
        <v>29</v>
      </c>
      <c r="U660" s="109">
        <v>19</v>
      </c>
      <c r="V660" s="13">
        <v>19</v>
      </c>
      <c r="W660" s="13">
        <v>21</v>
      </c>
      <c r="X660" s="13">
        <v>17</v>
      </c>
      <c r="Y660" s="109">
        <v>15</v>
      </c>
      <c r="Z660" s="13">
        <v>12</v>
      </c>
      <c r="AA660" s="13">
        <v>19</v>
      </c>
      <c r="AB660" s="13">
        <v>16</v>
      </c>
      <c r="AC660" s="109">
        <v>15</v>
      </c>
      <c r="AD660" s="13">
        <v>19</v>
      </c>
      <c r="AE660" s="110">
        <v>12</v>
      </c>
      <c r="AF660" s="109"/>
      <c r="AG660" s="13"/>
      <c r="AH660" s="13"/>
    </row>
    <row r="661" spans="1:34" ht="12.75" customHeight="1">
      <c r="A661" s="10" t="s">
        <v>401</v>
      </c>
      <c r="B661" s="11">
        <f>AVERAGE(E661:AE661)</f>
        <v>17.74074074074074</v>
      </c>
      <c r="C661" s="2">
        <f>MIN(E661:AE661)</f>
        <v>11</v>
      </c>
      <c r="D661" s="12">
        <f>MAX(E661:AE661)</f>
        <v>29</v>
      </c>
      <c r="E661" s="13">
        <v>11</v>
      </c>
      <c r="F661" s="13">
        <v>12</v>
      </c>
      <c r="G661" s="13">
        <v>14</v>
      </c>
      <c r="H661" s="13">
        <v>21</v>
      </c>
      <c r="I661" s="109">
        <v>18</v>
      </c>
      <c r="J661" s="13">
        <v>18</v>
      </c>
      <c r="K661" s="109">
        <v>20</v>
      </c>
      <c r="L661" s="109">
        <v>22</v>
      </c>
      <c r="M661" s="109">
        <v>21</v>
      </c>
      <c r="N661" s="109">
        <v>18</v>
      </c>
      <c r="O661" s="109">
        <v>18</v>
      </c>
      <c r="P661" s="109">
        <v>12</v>
      </c>
      <c r="Q661" s="13">
        <v>24</v>
      </c>
      <c r="R661" s="13">
        <v>25</v>
      </c>
      <c r="S661" s="13">
        <v>12</v>
      </c>
      <c r="T661" s="13">
        <v>29</v>
      </c>
      <c r="U661" s="109">
        <v>19</v>
      </c>
      <c r="V661" s="13">
        <v>19</v>
      </c>
      <c r="W661" s="13">
        <v>21</v>
      </c>
      <c r="X661" s="13">
        <v>17</v>
      </c>
      <c r="Y661" s="109">
        <v>15</v>
      </c>
      <c r="Z661" s="13">
        <v>12</v>
      </c>
      <c r="AA661" s="13">
        <v>19</v>
      </c>
      <c r="AB661" s="13">
        <v>16</v>
      </c>
      <c r="AC661" s="109">
        <v>15</v>
      </c>
      <c r="AD661" s="13">
        <v>19</v>
      </c>
      <c r="AE661" s="110">
        <v>12</v>
      </c>
      <c r="AF661" s="109"/>
      <c r="AG661" s="13"/>
      <c r="AH661" s="13"/>
    </row>
    <row r="662" spans="1:34" ht="12.75" customHeight="1">
      <c r="A662" s="10" t="s">
        <v>402</v>
      </c>
      <c r="B662" s="11">
        <f>AVERAGE(E662:AE662)</f>
        <v>17.74074074074074</v>
      </c>
      <c r="C662" s="2">
        <f>MIN(E662:AE662)</f>
        <v>11</v>
      </c>
      <c r="D662" s="12">
        <f>MAX(E662:AE662)</f>
        <v>29</v>
      </c>
      <c r="E662" s="13">
        <v>11</v>
      </c>
      <c r="F662" s="13">
        <v>12</v>
      </c>
      <c r="G662" s="13">
        <v>14</v>
      </c>
      <c r="H662" s="13">
        <v>21</v>
      </c>
      <c r="I662" s="109">
        <v>18</v>
      </c>
      <c r="J662" s="13">
        <v>18</v>
      </c>
      <c r="K662" s="109">
        <v>20</v>
      </c>
      <c r="L662" s="109">
        <v>22</v>
      </c>
      <c r="M662" s="109">
        <v>21</v>
      </c>
      <c r="N662" s="109">
        <v>18</v>
      </c>
      <c r="O662" s="109">
        <v>18</v>
      </c>
      <c r="P662" s="109">
        <v>12</v>
      </c>
      <c r="Q662" s="13">
        <v>24</v>
      </c>
      <c r="R662" s="13">
        <v>25</v>
      </c>
      <c r="S662" s="13">
        <v>12</v>
      </c>
      <c r="T662" s="13">
        <v>29</v>
      </c>
      <c r="U662" s="109">
        <v>19</v>
      </c>
      <c r="V662" s="13">
        <v>19</v>
      </c>
      <c r="W662" s="13">
        <v>21</v>
      </c>
      <c r="X662" s="13">
        <v>17</v>
      </c>
      <c r="Y662" s="109">
        <v>15</v>
      </c>
      <c r="Z662" s="13">
        <v>12</v>
      </c>
      <c r="AA662" s="13">
        <v>19</v>
      </c>
      <c r="AB662" s="13">
        <v>16</v>
      </c>
      <c r="AC662" s="109">
        <v>15</v>
      </c>
      <c r="AD662" s="13">
        <v>19</v>
      </c>
      <c r="AE662" s="110">
        <v>12</v>
      </c>
      <c r="AF662" s="109"/>
      <c r="AG662" s="13"/>
      <c r="AH662" s="13"/>
    </row>
    <row r="663" spans="1:34" ht="12.75" customHeight="1">
      <c r="A663" s="10" t="s">
        <v>403</v>
      </c>
      <c r="B663" s="11">
        <f>AVERAGE(E663:AE663)</f>
        <v>17.74074074074074</v>
      </c>
      <c r="C663" s="2">
        <f>MIN(E663:AE663)</f>
        <v>11</v>
      </c>
      <c r="D663" s="12">
        <f>MAX(E663:AE663)</f>
        <v>29</v>
      </c>
      <c r="E663" s="13">
        <v>11</v>
      </c>
      <c r="F663" s="13">
        <v>12</v>
      </c>
      <c r="G663" s="13">
        <v>14</v>
      </c>
      <c r="H663" s="13">
        <v>21</v>
      </c>
      <c r="I663" s="109">
        <v>18</v>
      </c>
      <c r="J663" s="13">
        <v>18</v>
      </c>
      <c r="K663" s="109">
        <v>20</v>
      </c>
      <c r="L663" s="109">
        <v>22</v>
      </c>
      <c r="M663" s="109">
        <v>21</v>
      </c>
      <c r="N663" s="109">
        <v>18</v>
      </c>
      <c r="O663" s="109">
        <v>18</v>
      </c>
      <c r="P663" s="109">
        <v>12</v>
      </c>
      <c r="Q663" s="13">
        <v>24</v>
      </c>
      <c r="R663" s="13">
        <v>25</v>
      </c>
      <c r="S663" s="13">
        <v>12</v>
      </c>
      <c r="T663" s="13">
        <v>29</v>
      </c>
      <c r="U663" s="109">
        <v>19</v>
      </c>
      <c r="V663" s="13">
        <v>19</v>
      </c>
      <c r="W663" s="13">
        <v>21</v>
      </c>
      <c r="X663" s="13">
        <v>17</v>
      </c>
      <c r="Y663" s="109">
        <v>15</v>
      </c>
      <c r="Z663" s="13">
        <v>12</v>
      </c>
      <c r="AA663" s="13">
        <v>19</v>
      </c>
      <c r="AB663" s="13">
        <v>16</v>
      </c>
      <c r="AC663" s="109">
        <v>15</v>
      </c>
      <c r="AD663" s="13">
        <v>19</v>
      </c>
      <c r="AE663" s="110">
        <v>12</v>
      </c>
      <c r="AF663" s="109"/>
      <c r="AG663" s="13"/>
      <c r="AH663" s="13"/>
    </row>
    <row r="664" spans="1:34" ht="12.75" customHeight="1">
      <c r="A664" s="10" t="s">
        <v>404</v>
      </c>
      <c r="B664" s="11">
        <f>AVERAGE(E664:AE664)</f>
        <v>17.74074074074074</v>
      </c>
      <c r="C664" s="2">
        <f>MIN(E664:AE664)</f>
        <v>11</v>
      </c>
      <c r="D664" s="12">
        <f>MAX(E664:AE664)</f>
        <v>29</v>
      </c>
      <c r="E664" s="13">
        <v>11</v>
      </c>
      <c r="F664" s="13">
        <v>12</v>
      </c>
      <c r="G664" s="13">
        <v>14</v>
      </c>
      <c r="H664" s="13">
        <v>21</v>
      </c>
      <c r="I664" s="109">
        <v>18</v>
      </c>
      <c r="J664" s="13">
        <v>18</v>
      </c>
      <c r="K664" s="109">
        <v>20</v>
      </c>
      <c r="L664" s="109">
        <v>22</v>
      </c>
      <c r="M664" s="109">
        <v>21</v>
      </c>
      <c r="N664" s="109">
        <v>18</v>
      </c>
      <c r="O664" s="109">
        <v>18</v>
      </c>
      <c r="P664" s="109">
        <v>12</v>
      </c>
      <c r="Q664" s="13">
        <v>24</v>
      </c>
      <c r="R664" s="13">
        <v>25</v>
      </c>
      <c r="S664" s="13">
        <v>12</v>
      </c>
      <c r="T664" s="13">
        <v>29</v>
      </c>
      <c r="U664" s="13">
        <v>19</v>
      </c>
      <c r="V664" s="13">
        <v>19</v>
      </c>
      <c r="W664" s="13">
        <v>21</v>
      </c>
      <c r="X664" s="13">
        <v>17</v>
      </c>
      <c r="Y664" s="109">
        <v>15</v>
      </c>
      <c r="Z664" s="13">
        <v>12</v>
      </c>
      <c r="AA664" s="13">
        <v>19</v>
      </c>
      <c r="AB664" s="13">
        <v>16</v>
      </c>
      <c r="AC664" s="109">
        <v>15</v>
      </c>
      <c r="AD664" s="13">
        <v>19</v>
      </c>
      <c r="AE664" s="110">
        <v>12</v>
      </c>
      <c r="AF664" s="109"/>
      <c r="AG664" s="13"/>
      <c r="AH664" s="13"/>
    </row>
    <row r="665" spans="1:34" ht="12.75" customHeight="1">
      <c r="A665" s="10" t="s">
        <v>405</v>
      </c>
      <c r="B665" s="11">
        <f>AVERAGE(E665:AE665)</f>
        <v>17.74074074074074</v>
      </c>
      <c r="C665" s="2">
        <f>MIN(E665:AE665)</f>
        <v>11</v>
      </c>
      <c r="D665" s="12">
        <f>MAX(E665:AE665)</f>
        <v>29</v>
      </c>
      <c r="E665" s="13">
        <v>11</v>
      </c>
      <c r="F665" s="13">
        <v>12</v>
      </c>
      <c r="G665" s="13">
        <v>14</v>
      </c>
      <c r="H665" s="13">
        <v>21</v>
      </c>
      <c r="I665" s="109">
        <v>18</v>
      </c>
      <c r="J665" s="13">
        <v>18</v>
      </c>
      <c r="K665" s="109">
        <v>20</v>
      </c>
      <c r="L665" s="109">
        <v>22</v>
      </c>
      <c r="M665" s="109">
        <v>21</v>
      </c>
      <c r="N665" s="109">
        <v>18</v>
      </c>
      <c r="O665" s="109">
        <v>18</v>
      </c>
      <c r="P665" s="109">
        <v>12</v>
      </c>
      <c r="Q665" s="13">
        <v>24</v>
      </c>
      <c r="R665" s="13">
        <v>25</v>
      </c>
      <c r="S665" s="13">
        <v>12</v>
      </c>
      <c r="T665" s="13">
        <v>29</v>
      </c>
      <c r="U665" s="13">
        <v>19</v>
      </c>
      <c r="V665" s="13">
        <v>19</v>
      </c>
      <c r="W665" s="13">
        <v>21</v>
      </c>
      <c r="X665" s="13">
        <v>17</v>
      </c>
      <c r="Y665" s="109">
        <v>15</v>
      </c>
      <c r="Z665" s="13">
        <v>12</v>
      </c>
      <c r="AA665" s="13">
        <v>19</v>
      </c>
      <c r="AB665" s="13">
        <v>16</v>
      </c>
      <c r="AC665" s="109">
        <v>15</v>
      </c>
      <c r="AD665" s="13">
        <v>19</v>
      </c>
      <c r="AE665" s="110">
        <v>12</v>
      </c>
      <c r="AF665" s="109"/>
      <c r="AG665" s="13"/>
      <c r="AH665" s="13"/>
    </row>
    <row r="666" spans="1:34" ht="12.75" customHeight="1">
      <c r="A666" s="10" t="s">
        <v>406</v>
      </c>
      <c r="B666" s="11">
        <f>AVERAGE(E666:AE666)</f>
        <v>17.74074074074074</v>
      </c>
      <c r="C666" s="2">
        <f>MIN(E666:AE666)</f>
        <v>11</v>
      </c>
      <c r="D666" s="12">
        <f>MAX(E666:AE666)</f>
        <v>29</v>
      </c>
      <c r="E666" s="13">
        <v>11</v>
      </c>
      <c r="F666" s="13">
        <v>12</v>
      </c>
      <c r="G666" s="13">
        <v>14</v>
      </c>
      <c r="H666" s="13">
        <v>21</v>
      </c>
      <c r="I666" s="109">
        <v>18</v>
      </c>
      <c r="J666" s="13">
        <v>18</v>
      </c>
      <c r="K666" s="109">
        <v>20</v>
      </c>
      <c r="L666" s="109">
        <v>22</v>
      </c>
      <c r="M666" s="109">
        <v>21</v>
      </c>
      <c r="N666" s="109">
        <v>18</v>
      </c>
      <c r="O666" s="109">
        <v>18</v>
      </c>
      <c r="P666" s="109">
        <v>12</v>
      </c>
      <c r="Q666" s="13">
        <v>24</v>
      </c>
      <c r="R666" s="13">
        <v>25</v>
      </c>
      <c r="S666" s="13">
        <v>12</v>
      </c>
      <c r="T666" s="13">
        <v>29</v>
      </c>
      <c r="U666" s="13">
        <v>19</v>
      </c>
      <c r="V666" s="13">
        <v>19</v>
      </c>
      <c r="W666" s="13">
        <v>21</v>
      </c>
      <c r="X666" s="13">
        <v>17</v>
      </c>
      <c r="Y666" s="109">
        <v>15</v>
      </c>
      <c r="Z666" s="13">
        <v>12</v>
      </c>
      <c r="AA666" s="13">
        <v>19</v>
      </c>
      <c r="AB666" s="13">
        <v>16</v>
      </c>
      <c r="AC666" s="109">
        <v>15</v>
      </c>
      <c r="AD666" s="13">
        <v>19</v>
      </c>
      <c r="AE666" s="110">
        <v>12</v>
      </c>
      <c r="AF666" s="109"/>
      <c r="AG666" s="13"/>
      <c r="AH666" s="13"/>
    </row>
    <row r="667" spans="1:34" ht="12.75" customHeight="1">
      <c r="A667" s="10" t="s">
        <v>407</v>
      </c>
      <c r="B667" s="11">
        <f>AVERAGE(E667:AE667)</f>
        <v>17.74074074074074</v>
      </c>
      <c r="C667" s="2">
        <f>MIN(E667:AE667)</f>
        <v>11</v>
      </c>
      <c r="D667" s="12">
        <f>MAX(E667:AE667)</f>
        <v>29</v>
      </c>
      <c r="E667" s="13">
        <v>11</v>
      </c>
      <c r="F667" s="13">
        <v>12</v>
      </c>
      <c r="G667" s="13">
        <v>14</v>
      </c>
      <c r="H667" s="13">
        <v>21</v>
      </c>
      <c r="I667" s="109">
        <v>18</v>
      </c>
      <c r="J667" s="13">
        <v>18</v>
      </c>
      <c r="K667" s="109">
        <v>20</v>
      </c>
      <c r="L667" s="109">
        <v>22</v>
      </c>
      <c r="M667" s="109">
        <v>21</v>
      </c>
      <c r="N667" s="109">
        <v>18</v>
      </c>
      <c r="O667" s="109">
        <v>18</v>
      </c>
      <c r="P667" s="109">
        <v>12</v>
      </c>
      <c r="Q667" s="13">
        <v>24</v>
      </c>
      <c r="R667" s="13">
        <v>25</v>
      </c>
      <c r="S667" s="13">
        <v>12</v>
      </c>
      <c r="T667" s="13">
        <v>29</v>
      </c>
      <c r="U667" s="13">
        <v>19</v>
      </c>
      <c r="V667" s="13">
        <v>19</v>
      </c>
      <c r="W667" s="13">
        <v>21</v>
      </c>
      <c r="X667" s="13">
        <v>17</v>
      </c>
      <c r="Y667" s="109">
        <v>15</v>
      </c>
      <c r="Z667" s="13">
        <v>12</v>
      </c>
      <c r="AA667" s="13">
        <v>19</v>
      </c>
      <c r="AB667" s="13">
        <v>16</v>
      </c>
      <c r="AC667" s="109">
        <v>15</v>
      </c>
      <c r="AD667" s="13">
        <v>19</v>
      </c>
      <c r="AE667" s="110">
        <v>12</v>
      </c>
      <c r="AF667" s="109"/>
      <c r="AG667" s="13"/>
      <c r="AH667" s="13"/>
    </row>
    <row r="668" spans="1:34" ht="12.75" customHeight="1">
      <c r="A668" s="10" t="s">
        <v>408</v>
      </c>
      <c r="B668" s="11">
        <f>AVERAGE(E668:AE668)</f>
        <v>17.74074074074074</v>
      </c>
      <c r="C668" s="2">
        <f>MIN(E668:AE668)</f>
        <v>11</v>
      </c>
      <c r="D668" s="12">
        <f>MAX(E668:AE668)</f>
        <v>29</v>
      </c>
      <c r="E668" s="13">
        <v>11</v>
      </c>
      <c r="F668" s="13">
        <v>12</v>
      </c>
      <c r="G668" s="13">
        <v>14</v>
      </c>
      <c r="H668" s="13">
        <v>21</v>
      </c>
      <c r="I668" s="109">
        <v>18</v>
      </c>
      <c r="J668" s="13">
        <v>18</v>
      </c>
      <c r="K668" s="109">
        <v>20</v>
      </c>
      <c r="L668" s="109">
        <v>22</v>
      </c>
      <c r="M668" s="109">
        <v>21</v>
      </c>
      <c r="N668" s="109">
        <v>18</v>
      </c>
      <c r="O668" s="109">
        <v>18</v>
      </c>
      <c r="P668" s="109">
        <v>12</v>
      </c>
      <c r="Q668" s="13">
        <v>24</v>
      </c>
      <c r="R668" s="13">
        <v>25</v>
      </c>
      <c r="S668" s="13">
        <v>12</v>
      </c>
      <c r="T668" s="13">
        <v>29</v>
      </c>
      <c r="U668" s="13">
        <v>19</v>
      </c>
      <c r="V668" s="13">
        <v>19</v>
      </c>
      <c r="W668" s="13">
        <v>21</v>
      </c>
      <c r="X668" s="13">
        <v>17</v>
      </c>
      <c r="Y668" s="109">
        <v>15</v>
      </c>
      <c r="Z668" s="13">
        <v>12</v>
      </c>
      <c r="AA668" s="13">
        <v>19</v>
      </c>
      <c r="AB668" s="13">
        <v>16</v>
      </c>
      <c r="AC668" s="109">
        <v>15</v>
      </c>
      <c r="AD668" s="13">
        <v>19</v>
      </c>
      <c r="AE668" s="110">
        <v>12</v>
      </c>
      <c r="AF668" s="109"/>
      <c r="AG668" s="13"/>
      <c r="AH668" s="13"/>
    </row>
    <row r="669" spans="1:34" ht="12.75" customHeight="1">
      <c r="A669" s="10" t="s">
        <v>409</v>
      </c>
      <c r="B669" s="11">
        <f>AVERAGE(E669:AE669)</f>
        <v>17.74074074074074</v>
      </c>
      <c r="C669" s="2">
        <f>MIN(E669:AE669)</f>
        <v>11</v>
      </c>
      <c r="D669" s="12">
        <f>MAX(E669:AE669)</f>
        <v>29</v>
      </c>
      <c r="E669" s="13">
        <v>11</v>
      </c>
      <c r="F669" s="13">
        <v>12</v>
      </c>
      <c r="G669" s="13">
        <v>14</v>
      </c>
      <c r="H669" s="13">
        <v>21</v>
      </c>
      <c r="I669" s="109">
        <v>18</v>
      </c>
      <c r="J669" s="13">
        <v>18</v>
      </c>
      <c r="K669" s="109">
        <v>20</v>
      </c>
      <c r="L669" s="109">
        <v>22</v>
      </c>
      <c r="M669" s="109">
        <v>21</v>
      </c>
      <c r="N669" s="109">
        <v>18</v>
      </c>
      <c r="O669" s="109">
        <v>18</v>
      </c>
      <c r="P669" s="109">
        <v>12</v>
      </c>
      <c r="Q669" s="13">
        <v>24</v>
      </c>
      <c r="R669" s="13">
        <v>25</v>
      </c>
      <c r="S669" s="13">
        <v>12</v>
      </c>
      <c r="T669" s="13">
        <v>29</v>
      </c>
      <c r="U669" s="13">
        <v>19</v>
      </c>
      <c r="V669" s="13">
        <v>19</v>
      </c>
      <c r="W669" s="13">
        <v>21</v>
      </c>
      <c r="X669" s="13">
        <v>17</v>
      </c>
      <c r="Y669" s="109">
        <v>15</v>
      </c>
      <c r="Z669" s="13">
        <v>12</v>
      </c>
      <c r="AA669" s="13">
        <v>19</v>
      </c>
      <c r="AB669" s="13">
        <v>16</v>
      </c>
      <c r="AC669" s="109">
        <v>15</v>
      </c>
      <c r="AD669" s="13">
        <v>19</v>
      </c>
      <c r="AE669" s="110">
        <v>12</v>
      </c>
      <c r="AF669" s="109"/>
      <c r="AG669" s="13"/>
      <c r="AH669" s="13"/>
    </row>
    <row r="670" spans="1:34" ht="12.75" customHeight="1">
      <c r="A670" s="10" t="s">
        <v>410</v>
      </c>
      <c r="B670" s="11">
        <f>AVERAGE(E670:AE670)</f>
        <v>17.74074074074074</v>
      </c>
      <c r="C670" s="2">
        <f>MIN(E670:AE670)</f>
        <v>11</v>
      </c>
      <c r="D670" s="12">
        <f>MAX(E670:AE670)</f>
        <v>29</v>
      </c>
      <c r="E670" s="13">
        <v>11</v>
      </c>
      <c r="F670" s="13">
        <v>12</v>
      </c>
      <c r="G670" s="13">
        <v>14</v>
      </c>
      <c r="H670" s="13">
        <v>21</v>
      </c>
      <c r="I670" s="109">
        <v>18</v>
      </c>
      <c r="J670" s="13">
        <v>18</v>
      </c>
      <c r="K670" s="109">
        <v>20</v>
      </c>
      <c r="L670" s="109">
        <v>22</v>
      </c>
      <c r="M670" s="109">
        <v>21</v>
      </c>
      <c r="N670" s="109">
        <v>18</v>
      </c>
      <c r="O670" s="109">
        <v>18</v>
      </c>
      <c r="P670" s="109">
        <v>12</v>
      </c>
      <c r="Q670" s="13">
        <v>24</v>
      </c>
      <c r="R670" s="13">
        <v>25</v>
      </c>
      <c r="S670" s="13">
        <v>12</v>
      </c>
      <c r="T670" s="13">
        <v>29</v>
      </c>
      <c r="U670" s="13">
        <v>19</v>
      </c>
      <c r="V670" s="13">
        <v>19</v>
      </c>
      <c r="W670" s="13">
        <v>21</v>
      </c>
      <c r="X670" s="13">
        <v>17</v>
      </c>
      <c r="Y670" s="109">
        <v>15</v>
      </c>
      <c r="Z670" s="13">
        <v>12</v>
      </c>
      <c r="AA670" s="13">
        <v>19</v>
      </c>
      <c r="AB670" s="13">
        <v>16</v>
      </c>
      <c r="AC670" s="109">
        <v>15</v>
      </c>
      <c r="AD670" s="13">
        <v>19</v>
      </c>
      <c r="AE670" s="110">
        <v>12</v>
      </c>
      <c r="AF670" s="109"/>
      <c r="AG670" s="13"/>
      <c r="AH670" s="13"/>
    </row>
    <row r="671" spans="1:34" ht="12.75" customHeight="1">
      <c r="A671" s="10" t="s">
        <v>411</v>
      </c>
      <c r="B671" s="11">
        <f>AVERAGE(E671:AE671)</f>
        <v>17.74074074074074</v>
      </c>
      <c r="C671" s="2">
        <f>MIN(E671:AE671)</f>
        <v>11</v>
      </c>
      <c r="D671" s="12">
        <f>MAX(E671:AE671)</f>
        <v>29</v>
      </c>
      <c r="E671" s="13">
        <v>11</v>
      </c>
      <c r="F671" s="13">
        <v>12</v>
      </c>
      <c r="G671" s="13">
        <v>14</v>
      </c>
      <c r="H671" s="13">
        <v>21</v>
      </c>
      <c r="I671" s="109">
        <v>18</v>
      </c>
      <c r="J671" s="13">
        <v>18</v>
      </c>
      <c r="K671" s="109">
        <v>20</v>
      </c>
      <c r="L671" s="109">
        <v>22</v>
      </c>
      <c r="M671" s="109">
        <v>21</v>
      </c>
      <c r="N671" s="109">
        <v>18</v>
      </c>
      <c r="O671" s="109">
        <v>18</v>
      </c>
      <c r="P671" s="109">
        <v>12</v>
      </c>
      <c r="Q671" s="13">
        <v>24</v>
      </c>
      <c r="R671" s="13">
        <v>25</v>
      </c>
      <c r="S671" s="13">
        <v>12</v>
      </c>
      <c r="T671" s="13">
        <v>29</v>
      </c>
      <c r="U671" s="13">
        <v>19</v>
      </c>
      <c r="V671" s="13">
        <v>19</v>
      </c>
      <c r="W671" s="13">
        <v>21</v>
      </c>
      <c r="X671" s="13">
        <v>17</v>
      </c>
      <c r="Y671" s="109">
        <v>15</v>
      </c>
      <c r="Z671" s="13">
        <v>12</v>
      </c>
      <c r="AA671" s="13">
        <v>19</v>
      </c>
      <c r="AB671" s="13">
        <v>16</v>
      </c>
      <c r="AC671" s="109">
        <v>15</v>
      </c>
      <c r="AD671" s="13">
        <v>19</v>
      </c>
      <c r="AE671" s="110">
        <v>12</v>
      </c>
      <c r="AF671" s="109"/>
      <c r="AG671" s="13"/>
      <c r="AH671" s="13"/>
    </row>
    <row r="672" spans="1:34" ht="12.75" customHeight="1">
      <c r="A672" s="10" t="s">
        <v>412</v>
      </c>
      <c r="B672" s="11">
        <f>AVERAGE(E672:AE672)</f>
        <v>17.74074074074074</v>
      </c>
      <c r="C672" s="2">
        <f>MIN(E672:AE672)</f>
        <v>11</v>
      </c>
      <c r="D672" s="12">
        <f>MAX(E672:AE672)</f>
        <v>29</v>
      </c>
      <c r="E672" s="13">
        <v>11</v>
      </c>
      <c r="F672" s="13">
        <v>12</v>
      </c>
      <c r="G672" s="13">
        <v>14</v>
      </c>
      <c r="H672" s="13">
        <v>21</v>
      </c>
      <c r="I672" s="109">
        <v>18</v>
      </c>
      <c r="J672" s="13">
        <v>18</v>
      </c>
      <c r="K672" s="109">
        <v>20</v>
      </c>
      <c r="L672" s="109">
        <v>22</v>
      </c>
      <c r="M672" s="109">
        <v>21</v>
      </c>
      <c r="N672" s="109">
        <v>18</v>
      </c>
      <c r="O672" s="109">
        <v>18</v>
      </c>
      <c r="P672" s="109">
        <v>12</v>
      </c>
      <c r="Q672" s="13">
        <v>24</v>
      </c>
      <c r="R672" s="13">
        <v>25</v>
      </c>
      <c r="S672" s="13">
        <v>12</v>
      </c>
      <c r="T672" s="13">
        <v>29</v>
      </c>
      <c r="U672" s="13">
        <v>19</v>
      </c>
      <c r="V672" s="13">
        <v>19</v>
      </c>
      <c r="W672" s="13">
        <v>21</v>
      </c>
      <c r="X672" s="13">
        <v>17</v>
      </c>
      <c r="Y672" s="109">
        <v>15</v>
      </c>
      <c r="Z672" s="13">
        <v>12</v>
      </c>
      <c r="AA672" s="13">
        <v>19</v>
      </c>
      <c r="AB672" s="13">
        <v>16</v>
      </c>
      <c r="AC672" s="109">
        <v>15</v>
      </c>
      <c r="AD672" s="13">
        <v>19</v>
      </c>
      <c r="AE672" s="110">
        <v>12</v>
      </c>
      <c r="AF672" s="109"/>
      <c r="AG672" s="13"/>
      <c r="AH672" s="13"/>
    </row>
    <row r="673" spans="1:34" ht="12.75" customHeight="1">
      <c r="A673" s="10" t="s">
        <v>413</v>
      </c>
      <c r="B673" s="11">
        <f>AVERAGE(E673:AE673)</f>
        <v>17.74074074074074</v>
      </c>
      <c r="C673" s="2">
        <f>MIN(E673:AE673)</f>
        <v>11</v>
      </c>
      <c r="D673" s="12">
        <f>MAX(E673:AE673)</f>
        <v>29</v>
      </c>
      <c r="E673" s="13">
        <v>11</v>
      </c>
      <c r="F673" s="13">
        <v>12</v>
      </c>
      <c r="G673" s="13">
        <v>14</v>
      </c>
      <c r="H673" s="13">
        <v>21</v>
      </c>
      <c r="I673" s="109">
        <v>18</v>
      </c>
      <c r="J673" s="13">
        <v>18</v>
      </c>
      <c r="K673" s="109">
        <v>20</v>
      </c>
      <c r="L673" s="109">
        <v>22</v>
      </c>
      <c r="M673" s="109">
        <v>21</v>
      </c>
      <c r="N673" s="109">
        <v>18</v>
      </c>
      <c r="O673" s="109">
        <v>18</v>
      </c>
      <c r="P673" s="109">
        <v>12</v>
      </c>
      <c r="Q673" s="13">
        <v>24</v>
      </c>
      <c r="R673" s="13">
        <v>25</v>
      </c>
      <c r="S673" s="13">
        <v>12</v>
      </c>
      <c r="T673" s="13">
        <v>29</v>
      </c>
      <c r="U673" s="13">
        <v>19</v>
      </c>
      <c r="V673" s="13">
        <v>19</v>
      </c>
      <c r="W673" s="13">
        <v>21</v>
      </c>
      <c r="X673" s="13">
        <v>17</v>
      </c>
      <c r="Y673" s="109">
        <v>15</v>
      </c>
      <c r="Z673" s="13">
        <v>12</v>
      </c>
      <c r="AA673" s="13">
        <v>19</v>
      </c>
      <c r="AB673" s="13">
        <v>16</v>
      </c>
      <c r="AC673" s="109">
        <v>15</v>
      </c>
      <c r="AD673" s="13">
        <v>19</v>
      </c>
      <c r="AE673" s="110">
        <v>12</v>
      </c>
      <c r="AF673" s="109"/>
      <c r="AG673" s="13"/>
      <c r="AH673" s="13"/>
    </row>
    <row r="674" spans="1:34" ht="12.75" customHeight="1">
      <c r="A674" s="10" t="s">
        <v>414</v>
      </c>
      <c r="B674" s="11">
        <f>AVERAGE(E674:AE674)</f>
        <v>17.74074074074074</v>
      </c>
      <c r="C674" s="2">
        <f>MIN(E674:AE674)</f>
        <v>11</v>
      </c>
      <c r="D674" s="12">
        <f>MAX(E674:AE674)</f>
        <v>29</v>
      </c>
      <c r="E674" s="13">
        <v>11</v>
      </c>
      <c r="F674" s="13">
        <v>12</v>
      </c>
      <c r="G674" s="13">
        <v>14</v>
      </c>
      <c r="H674" s="13">
        <v>21</v>
      </c>
      <c r="I674" s="109">
        <v>18</v>
      </c>
      <c r="J674" s="13">
        <v>18</v>
      </c>
      <c r="K674" s="109">
        <v>20</v>
      </c>
      <c r="L674" s="109">
        <v>22</v>
      </c>
      <c r="M674" s="109">
        <v>21</v>
      </c>
      <c r="N674" s="109">
        <v>18</v>
      </c>
      <c r="O674" s="109">
        <v>18</v>
      </c>
      <c r="P674" s="109">
        <v>12</v>
      </c>
      <c r="Q674" s="13">
        <v>24</v>
      </c>
      <c r="R674" s="13">
        <v>25</v>
      </c>
      <c r="S674" s="13">
        <v>12</v>
      </c>
      <c r="T674" s="13">
        <v>29</v>
      </c>
      <c r="U674" s="13">
        <v>19</v>
      </c>
      <c r="V674" s="13">
        <v>19</v>
      </c>
      <c r="W674" s="13">
        <v>21</v>
      </c>
      <c r="X674" s="13">
        <v>17</v>
      </c>
      <c r="Y674" s="109">
        <v>15</v>
      </c>
      <c r="Z674" s="13">
        <v>12</v>
      </c>
      <c r="AA674" s="13">
        <v>19</v>
      </c>
      <c r="AB674" s="13">
        <v>16</v>
      </c>
      <c r="AC674" s="109">
        <v>15</v>
      </c>
      <c r="AD674" s="13">
        <v>19</v>
      </c>
      <c r="AE674" s="110">
        <v>12</v>
      </c>
      <c r="AF674" s="109"/>
      <c r="AG674" s="13"/>
      <c r="AH674" s="13"/>
    </row>
    <row r="675" spans="1:34" ht="12.75" customHeight="1">
      <c r="A675" s="10" t="s">
        <v>415</v>
      </c>
      <c r="B675" s="11">
        <f>AVERAGE(E675:AE675)</f>
        <v>17.74074074074074</v>
      </c>
      <c r="C675" s="2">
        <f>MIN(E675:AE675)</f>
        <v>11</v>
      </c>
      <c r="D675" s="12">
        <f>MAX(E675:AE675)</f>
        <v>29</v>
      </c>
      <c r="E675" s="13">
        <v>11</v>
      </c>
      <c r="F675" s="13">
        <v>12</v>
      </c>
      <c r="G675" s="13">
        <v>14</v>
      </c>
      <c r="H675" s="13">
        <v>21</v>
      </c>
      <c r="I675" s="109">
        <v>18</v>
      </c>
      <c r="J675" s="13">
        <v>18</v>
      </c>
      <c r="K675" s="109">
        <v>20</v>
      </c>
      <c r="L675" s="109">
        <v>22</v>
      </c>
      <c r="M675" s="109">
        <v>21</v>
      </c>
      <c r="N675" s="109">
        <v>18</v>
      </c>
      <c r="O675" s="109">
        <v>18</v>
      </c>
      <c r="P675" s="109">
        <v>12</v>
      </c>
      <c r="Q675" s="13">
        <v>24</v>
      </c>
      <c r="R675" s="13">
        <v>25</v>
      </c>
      <c r="S675" s="13">
        <v>12</v>
      </c>
      <c r="T675" s="13">
        <v>29</v>
      </c>
      <c r="U675" s="13">
        <v>19</v>
      </c>
      <c r="V675" s="13">
        <v>19</v>
      </c>
      <c r="W675" s="13">
        <v>21</v>
      </c>
      <c r="X675" s="13">
        <v>17</v>
      </c>
      <c r="Y675" s="109">
        <v>15</v>
      </c>
      <c r="Z675" s="13">
        <v>12</v>
      </c>
      <c r="AA675" s="13">
        <v>19</v>
      </c>
      <c r="AB675" s="13">
        <v>16</v>
      </c>
      <c r="AC675" s="109">
        <v>15</v>
      </c>
      <c r="AD675" s="13">
        <v>19</v>
      </c>
      <c r="AE675" s="110">
        <v>12</v>
      </c>
      <c r="AF675" s="109"/>
      <c r="AG675" s="13"/>
      <c r="AH675" s="13"/>
    </row>
    <row r="676" spans="1:34" ht="12.75" customHeight="1">
      <c r="A676" s="10" t="s">
        <v>416</v>
      </c>
      <c r="B676" s="11">
        <f>AVERAGE(E676:AE676)</f>
        <v>17.74074074074074</v>
      </c>
      <c r="C676" s="2">
        <f>MIN(E676:AE676)</f>
        <v>11</v>
      </c>
      <c r="D676" s="12">
        <f>MAX(E676:AE676)</f>
        <v>29</v>
      </c>
      <c r="E676" s="13">
        <v>11</v>
      </c>
      <c r="F676" s="13">
        <v>12</v>
      </c>
      <c r="G676" s="13">
        <v>14</v>
      </c>
      <c r="H676" s="13">
        <v>21</v>
      </c>
      <c r="I676" s="109">
        <v>18</v>
      </c>
      <c r="J676" s="13">
        <v>18</v>
      </c>
      <c r="K676" s="109">
        <v>20</v>
      </c>
      <c r="L676" s="109">
        <v>22</v>
      </c>
      <c r="M676" s="109">
        <v>21</v>
      </c>
      <c r="N676" s="109">
        <v>18</v>
      </c>
      <c r="O676" s="109">
        <v>18</v>
      </c>
      <c r="P676" s="109">
        <v>12</v>
      </c>
      <c r="Q676" s="13">
        <v>24</v>
      </c>
      <c r="R676" s="13">
        <v>25</v>
      </c>
      <c r="S676" s="13">
        <v>12</v>
      </c>
      <c r="T676" s="13">
        <v>29</v>
      </c>
      <c r="U676" s="13">
        <v>19</v>
      </c>
      <c r="V676" s="13">
        <v>19</v>
      </c>
      <c r="W676" s="13">
        <v>21</v>
      </c>
      <c r="X676" s="13">
        <v>17</v>
      </c>
      <c r="Y676" s="109">
        <v>15</v>
      </c>
      <c r="Z676" s="13">
        <v>12</v>
      </c>
      <c r="AA676" s="13">
        <v>19</v>
      </c>
      <c r="AB676" s="13">
        <v>16</v>
      </c>
      <c r="AC676" s="109">
        <v>15</v>
      </c>
      <c r="AD676" s="13">
        <v>19</v>
      </c>
      <c r="AE676" s="110">
        <v>12</v>
      </c>
      <c r="AF676" s="109"/>
      <c r="AG676" s="13"/>
      <c r="AH676" s="13"/>
    </row>
    <row r="677" spans="1:34" ht="12.75" customHeight="1">
      <c r="A677" s="10" t="s">
        <v>417</v>
      </c>
      <c r="B677" s="11">
        <f>AVERAGE(E677:AE677)</f>
        <v>17.74074074074074</v>
      </c>
      <c r="C677" s="2">
        <f>MIN(E677:AE677)</f>
        <v>11</v>
      </c>
      <c r="D677" s="12">
        <f>MAX(E677:AE677)</f>
        <v>29</v>
      </c>
      <c r="E677" s="13">
        <v>11</v>
      </c>
      <c r="F677" s="13">
        <v>12</v>
      </c>
      <c r="G677" s="13">
        <v>14</v>
      </c>
      <c r="H677" s="13">
        <v>21</v>
      </c>
      <c r="I677" s="109">
        <v>18</v>
      </c>
      <c r="J677" s="13">
        <v>18</v>
      </c>
      <c r="K677" s="109">
        <v>20</v>
      </c>
      <c r="L677" s="109">
        <v>22</v>
      </c>
      <c r="M677" s="109">
        <v>21</v>
      </c>
      <c r="N677" s="109">
        <v>18</v>
      </c>
      <c r="O677" s="109">
        <v>18</v>
      </c>
      <c r="P677" s="109">
        <v>12</v>
      </c>
      <c r="Q677" s="13">
        <v>24</v>
      </c>
      <c r="R677" s="13">
        <v>25</v>
      </c>
      <c r="S677" s="13">
        <v>12</v>
      </c>
      <c r="T677" s="13">
        <v>29</v>
      </c>
      <c r="U677" s="13">
        <v>19</v>
      </c>
      <c r="V677" s="13">
        <v>19</v>
      </c>
      <c r="W677" s="13">
        <v>21</v>
      </c>
      <c r="X677" s="13">
        <v>17</v>
      </c>
      <c r="Y677" s="109">
        <v>15</v>
      </c>
      <c r="Z677" s="13">
        <v>12</v>
      </c>
      <c r="AA677" s="13">
        <v>19</v>
      </c>
      <c r="AB677" s="13">
        <v>16</v>
      </c>
      <c r="AC677" s="109">
        <v>15</v>
      </c>
      <c r="AD677" s="13">
        <v>19</v>
      </c>
      <c r="AE677" s="110">
        <v>12</v>
      </c>
      <c r="AF677" s="109"/>
      <c r="AG677" s="13"/>
      <c r="AH677" s="13"/>
    </row>
    <row r="678" spans="1:34" ht="12.75" customHeight="1">
      <c r="A678" s="10" t="s">
        <v>418</v>
      </c>
      <c r="B678" s="11">
        <f>AVERAGE(E678:AE678)</f>
        <v>17.777777777777779</v>
      </c>
      <c r="C678" s="2">
        <f>MIN(E678:AE678)</f>
        <v>11</v>
      </c>
      <c r="D678" s="12">
        <f>MAX(E678:AE678)</f>
        <v>29</v>
      </c>
      <c r="E678" s="13">
        <v>11</v>
      </c>
      <c r="F678" s="13">
        <v>12</v>
      </c>
      <c r="G678" s="13">
        <v>14</v>
      </c>
      <c r="H678" s="13">
        <v>21</v>
      </c>
      <c r="I678" s="109">
        <v>18</v>
      </c>
      <c r="J678" s="13">
        <v>18</v>
      </c>
      <c r="K678" s="109">
        <v>20</v>
      </c>
      <c r="L678" s="109">
        <v>22</v>
      </c>
      <c r="M678" s="109">
        <v>21</v>
      </c>
      <c r="N678" s="109">
        <v>18</v>
      </c>
      <c r="O678" s="109">
        <v>18</v>
      </c>
      <c r="P678" s="109">
        <v>12</v>
      </c>
      <c r="Q678" s="13">
        <v>24</v>
      </c>
      <c r="R678" s="13">
        <v>25</v>
      </c>
      <c r="S678" s="13">
        <v>12</v>
      </c>
      <c r="T678" s="13">
        <v>29</v>
      </c>
      <c r="U678" s="13">
        <v>19</v>
      </c>
      <c r="V678" s="13">
        <v>19</v>
      </c>
      <c r="W678" s="13">
        <v>22</v>
      </c>
      <c r="X678" s="13">
        <v>17</v>
      </c>
      <c r="Y678" s="109">
        <v>15</v>
      </c>
      <c r="Z678" s="13">
        <v>12</v>
      </c>
      <c r="AA678" s="13">
        <v>19</v>
      </c>
      <c r="AB678" s="13">
        <v>16</v>
      </c>
      <c r="AC678" s="109">
        <v>15</v>
      </c>
      <c r="AD678" s="13">
        <v>19</v>
      </c>
      <c r="AE678" s="110">
        <v>12</v>
      </c>
      <c r="AF678" s="109"/>
      <c r="AG678" s="13"/>
      <c r="AH678" s="13"/>
    </row>
    <row r="679" spans="1:34" ht="12.75" customHeight="1">
      <c r="A679" s="10" t="s">
        <v>419</v>
      </c>
      <c r="B679" s="11">
        <f>AVERAGE(E679:AE679)</f>
        <v>17.814814814814813</v>
      </c>
      <c r="C679" s="2">
        <f>MIN(E679:AE679)</f>
        <v>11</v>
      </c>
      <c r="D679" s="12">
        <f>MAX(E679:AE679)</f>
        <v>29</v>
      </c>
      <c r="E679" s="13">
        <v>11</v>
      </c>
      <c r="F679" s="13">
        <v>12</v>
      </c>
      <c r="G679" s="13">
        <v>14</v>
      </c>
      <c r="H679" s="13">
        <v>21</v>
      </c>
      <c r="I679" s="109">
        <v>18</v>
      </c>
      <c r="J679" s="13">
        <v>19</v>
      </c>
      <c r="K679" s="109">
        <v>20</v>
      </c>
      <c r="L679" s="109">
        <v>22</v>
      </c>
      <c r="M679" s="109">
        <v>21</v>
      </c>
      <c r="N679" s="109">
        <v>18</v>
      </c>
      <c r="O679" s="109">
        <v>18</v>
      </c>
      <c r="P679" s="109">
        <v>12</v>
      </c>
      <c r="Q679" s="13">
        <v>24</v>
      </c>
      <c r="R679" s="13">
        <v>25</v>
      </c>
      <c r="S679" s="13">
        <v>12</v>
      </c>
      <c r="T679" s="13">
        <v>29</v>
      </c>
      <c r="U679" s="13">
        <v>19</v>
      </c>
      <c r="V679" s="13">
        <v>19</v>
      </c>
      <c r="W679" s="13">
        <v>22</v>
      </c>
      <c r="X679" s="13">
        <v>17</v>
      </c>
      <c r="Y679" s="109">
        <v>15</v>
      </c>
      <c r="Z679" s="13">
        <v>12</v>
      </c>
      <c r="AA679" s="13">
        <v>19</v>
      </c>
      <c r="AB679" s="13">
        <v>16</v>
      </c>
      <c r="AC679" s="109">
        <v>15</v>
      </c>
      <c r="AD679" s="13">
        <v>19</v>
      </c>
      <c r="AE679" s="110">
        <v>12</v>
      </c>
      <c r="AF679" s="109"/>
      <c r="AG679" s="13"/>
      <c r="AH679" s="13"/>
    </row>
    <row r="680" spans="1:34" ht="12.75" customHeight="1">
      <c r="A680" s="10" t="s">
        <v>420</v>
      </c>
      <c r="B680" s="11">
        <f>AVERAGE(E680:AE680)</f>
        <v>17.814814814814813</v>
      </c>
      <c r="C680" s="2">
        <f>MIN(E680:AE680)</f>
        <v>11</v>
      </c>
      <c r="D680" s="12">
        <f>MAX(E680:AE680)</f>
        <v>29</v>
      </c>
      <c r="E680" s="13">
        <v>11</v>
      </c>
      <c r="F680" s="13">
        <v>12</v>
      </c>
      <c r="G680" s="13">
        <v>14</v>
      </c>
      <c r="H680" s="13">
        <v>21</v>
      </c>
      <c r="I680" s="109">
        <v>18</v>
      </c>
      <c r="J680" s="13">
        <v>19</v>
      </c>
      <c r="K680" s="109">
        <v>20</v>
      </c>
      <c r="L680" s="109">
        <v>22</v>
      </c>
      <c r="M680" s="109">
        <v>21</v>
      </c>
      <c r="N680" s="109">
        <v>18</v>
      </c>
      <c r="O680" s="109">
        <v>18</v>
      </c>
      <c r="P680" s="109">
        <v>12</v>
      </c>
      <c r="Q680" s="13">
        <v>24</v>
      </c>
      <c r="R680" s="13">
        <v>25</v>
      </c>
      <c r="S680" s="13">
        <v>12</v>
      </c>
      <c r="T680" s="13">
        <v>29</v>
      </c>
      <c r="U680" s="13">
        <v>19</v>
      </c>
      <c r="V680" s="13">
        <v>19</v>
      </c>
      <c r="W680" s="13">
        <v>22</v>
      </c>
      <c r="X680" s="13">
        <v>17</v>
      </c>
      <c r="Y680" s="109">
        <v>15</v>
      </c>
      <c r="Z680" s="13">
        <v>12</v>
      </c>
      <c r="AA680" s="13">
        <v>19</v>
      </c>
      <c r="AB680" s="13">
        <v>16</v>
      </c>
      <c r="AC680" s="109">
        <v>15</v>
      </c>
      <c r="AD680" s="13">
        <v>19</v>
      </c>
      <c r="AE680" s="110">
        <v>12</v>
      </c>
      <c r="AF680" s="109"/>
      <c r="AG680" s="13"/>
      <c r="AH680" s="13"/>
    </row>
    <row r="681" spans="1:34" ht="12.75" customHeight="1">
      <c r="A681" s="10" t="s">
        <v>421</v>
      </c>
      <c r="B681" s="11">
        <f>AVERAGE(E681:AE681)</f>
        <v>17.814814814814813</v>
      </c>
      <c r="C681" s="2">
        <f>MIN(E681:AE681)</f>
        <v>11</v>
      </c>
      <c r="D681" s="12">
        <f>MAX(E681:AE681)</f>
        <v>29</v>
      </c>
      <c r="E681" s="13">
        <v>11</v>
      </c>
      <c r="F681" s="13">
        <v>12</v>
      </c>
      <c r="G681" s="13">
        <v>14</v>
      </c>
      <c r="H681" s="13">
        <v>21</v>
      </c>
      <c r="I681" s="109">
        <v>18</v>
      </c>
      <c r="J681" s="13">
        <v>19</v>
      </c>
      <c r="K681" s="109">
        <v>20</v>
      </c>
      <c r="L681" s="109">
        <v>22</v>
      </c>
      <c r="M681" s="109">
        <v>21</v>
      </c>
      <c r="N681" s="109">
        <v>18</v>
      </c>
      <c r="O681" s="109">
        <v>18</v>
      </c>
      <c r="P681" s="109">
        <v>12</v>
      </c>
      <c r="Q681" s="13">
        <v>24</v>
      </c>
      <c r="R681" s="13">
        <v>25</v>
      </c>
      <c r="S681" s="13">
        <v>12</v>
      </c>
      <c r="T681" s="13">
        <v>29</v>
      </c>
      <c r="U681" s="13">
        <v>19</v>
      </c>
      <c r="V681" s="13">
        <v>19</v>
      </c>
      <c r="W681" s="13">
        <v>22</v>
      </c>
      <c r="X681" s="13">
        <v>17</v>
      </c>
      <c r="Y681" s="109">
        <v>15</v>
      </c>
      <c r="Z681" s="13">
        <v>12</v>
      </c>
      <c r="AA681" s="13">
        <v>19</v>
      </c>
      <c r="AB681" s="13">
        <v>16</v>
      </c>
      <c r="AC681" s="109">
        <v>15</v>
      </c>
      <c r="AD681" s="13">
        <v>19</v>
      </c>
      <c r="AE681" s="110">
        <v>12</v>
      </c>
      <c r="AF681" s="109"/>
      <c r="AG681" s="13"/>
      <c r="AH681" s="13"/>
    </row>
    <row r="682" spans="1:34" ht="12.75" customHeight="1">
      <c r="A682" s="10" t="s">
        <v>422</v>
      </c>
      <c r="B682" s="11">
        <f>AVERAGE(E682:AE682)</f>
        <v>17.814814814814813</v>
      </c>
      <c r="C682" s="2">
        <f>MIN(E682:AE682)</f>
        <v>11</v>
      </c>
      <c r="D682" s="12">
        <f>MAX(E682:AE682)</f>
        <v>29</v>
      </c>
      <c r="E682" s="13">
        <v>11</v>
      </c>
      <c r="F682" s="13">
        <v>12</v>
      </c>
      <c r="G682" s="13">
        <v>14</v>
      </c>
      <c r="H682" s="13">
        <v>21</v>
      </c>
      <c r="I682" s="109">
        <v>18</v>
      </c>
      <c r="J682" s="13">
        <v>19</v>
      </c>
      <c r="K682" s="109">
        <v>20</v>
      </c>
      <c r="L682" s="109">
        <v>22</v>
      </c>
      <c r="M682" s="109">
        <v>21</v>
      </c>
      <c r="N682" s="109">
        <v>18</v>
      </c>
      <c r="O682" s="109">
        <v>18</v>
      </c>
      <c r="P682" s="109">
        <v>12</v>
      </c>
      <c r="Q682" s="13">
        <v>24</v>
      </c>
      <c r="R682" s="13">
        <v>25</v>
      </c>
      <c r="S682" s="13">
        <v>12</v>
      </c>
      <c r="T682" s="13">
        <v>29</v>
      </c>
      <c r="U682" s="13">
        <v>19</v>
      </c>
      <c r="V682" s="13">
        <v>19</v>
      </c>
      <c r="W682" s="13">
        <v>22</v>
      </c>
      <c r="X682" s="13">
        <v>17</v>
      </c>
      <c r="Y682" s="109">
        <v>15</v>
      </c>
      <c r="Z682" s="13">
        <v>12</v>
      </c>
      <c r="AA682" s="13">
        <v>19</v>
      </c>
      <c r="AB682" s="13">
        <v>16</v>
      </c>
      <c r="AC682" s="109">
        <v>15</v>
      </c>
      <c r="AD682" s="13">
        <v>19</v>
      </c>
      <c r="AE682" s="110">
        <v>12</v>
      </c>
      <c r="AF682" s="109"/>
      <c r="AG682" s="13"/>
      <c r="AH682" s="13"/>
    </row>
    <row r="683" spans="1:34" ht="12.75" customHeight="1">
      <c r="A683" s="10" t="s">
        <v>423</v>
      </c>
      <c r="B683" s="11">
        <f>AVERAGE(E683:AE683)</f>
        <v>17.814814814814813</v>
      </c>
      <c r="C683" s="2">
        <f>MIN(E683:AE683)</f>
        <v>11</v>
      </c>
      <c r="D683" s="12">
        <f>MAX(E683:AE683)</f>
        <v>29</v>
      </c>
      <c r="E683" s="13">
        <v>11</v>
      </c>
      <c r="F683" s="13">
        <v>12</v>
      </c>
      <c r="G683" s="13">
        <v>14</v>
      </c>
      <c r="H683" s="13">
        <v>21</v>
      </c>
      <c r="I683" s="109">
        <v>18</v>
      </c>
      <c r="J683" s="13">
        <v>19</v>
      </c>
      <c r="K683" s="109">
        <v>20</v>
      </c>
      <c r="L683" s="109">
        <v>22</v>
      </c>
      <c r="M683" s="109">
        <v>21</v>
      </c>
      <c r="N683" s="109">
        <v>18</v>
      </c>
      <c r="O683" s="109">
        <v>18</v>
      </c>
      <c r="P683" s="109">
        <v>12</v>
      </c>
      <c r="Q683" s="13">
        <v>24</v>
      </c>
      <c r="R683" s="13">
        <v>25</v>
      </c>
      <c r="S683" s="13">
        <v>12</v>
      </c>
      <c r="T683" s="13">
        <v>29</v>
      </c>
      <c r="U683" s="13">
        <v>19</v>
      </c>
      <c r="V683" s="13">
        <v>19</v>
      </c>
      <c r="W683" s="13">
        <v>22</v>
      </c>
      <c r="X683" s="13">
        <v>17</v>
      </c>
      <c r="Y683" s="109">
        <v>15</v>
      </c>
      <c r="Z683" s="13">
        <v>12</v>
      </c>
      <c r="AA683" s="13">
        <v>19</v>
      </c>
      <c r="AB683" s="13">
        <v>16</v>
      </c>
      <c r="AC683" s="109">
        <v>15</v>
      </c>
      <c r="AD683" s="13">
        <v>19</v>
      </c>
      <c r="AE683" s="110">
        <v>12</v>
      </c>
      <c r="AF683" s="109"/>
      <c r="AG683" s="13"/>
      <c r="AH683" s="13"/>
    </row>
    <row r="684" spans="1:34" ht="12.75" customHeight="1">
      <c r="A684" s="10" t="s">
        <v>424</v>
      </c>
      <c r="B684" s="11">
        <f>AVERAGE(E684:AE684)</f>
        <v>17.814814814814813</v>
      </c>
      <c r="C684" s="2">
        <f>MIN(E684:AE684)</f>
        <v>11</v>
      </c>
      <c r="D684" s="12">
        <f>MAX(E684:AE684)</f>
        <v>29</v>
      </c>
      <c r="E684" s="13">
        <v>11</v>
      </c>
      <c r="F684" s="13">
        <v>12</v>
      </c>
      <c r="G684" s="13">
        <v>14</v>
      </c>
      <c r="H684" s="13">
        <v>21</v>
      </c>
      <c r="I684" s="109">
        <v>18</v>
      </c>
      <c r="J684" s="13">
        <v>19</v>
      </c>
      <c r="K684" s="109">
        <v>20</v>
      </c>
      <c r="L684" s="109">
        <v>22</v>
      </c>
      <c r="M684" s="109">
        <v>21</v>
      </c>
      <c r="N684" s="109">
        <v>18</v>
      </c>
      <c r="O684" s="109">
        <v>18</v>
      </c>
      <c r="P684" s="109">
        <v>12</v>
      </c>
      <c r="Q684" s="13">
        <v>24</v>
      </c>
      <c r="R684" s="13">
        <v>25</v>
      </c>
      <c r="S684" s="13">
        <v>12</v>
      </c>
      <c r="T684" s="13">
        <v>29</v>
      </c>
      <c r="U684" s="13">
        <v>19</v>
      </c>
      <c r="V684" s="13">
        <v>19</v>
      </c>
      <c r="W684" s="13">
        <v>22</v>
      </c>
      <c r="X684" s="13">
        <v>17</v>
      </c>
      <c r="Y684" s="109">
        <v>15</v>
      </c>
      <c r="Z684" s="13">
        <v>12</v>
      </c>
      <c r="AA684" s="13">
        <v>19</v>
      </c>
      <c r="AB684" s="13">
        <v>16</v>
      </c>
      <c r="AC684" s="109">
        <v>15</v>
      </c>
      <c r="AD684" s="13">
        <v>19</v>
      </c>
      <c r="AE684" s="110">
        <v>12</v>
      </c>
      <c r="AF684" s="109"/>
      <c r="AG684" s="13"/>
      <c r="AH684" s="13"/>
    </row>
    <row r="685" spans="1:34" ht="12.75" customHeight="1">
      <c r="A685" s="10" t="s">
        <v>425</v>
      </c>
      <c r="B685" s="11">
        <f>AVERAGE(E685:AE685)</f>
        <v>17.814814814814813</v>
      </c>
      <c r="C685" s="2">
        <f>MIN(E685:AE685)</f>
        <v>11</v>
      </c>
      <c r="D685" s="12">
        <f>MAX(E685:AE685)</f>
        <v>29</v>
      </c>
      <c r="E685" s="13">
        <v>11</v>
      </c>
      <c r="F685" s="13">
        <v>12</v>
      </c>
      <c r="G685" s="13">
        <v>14</v>
      </c>
      <c r="H685" s="13">
        <v>21</v>
      </c>
      <c r="I685" s="109">
        <v>18</v>
      </c>
      <c r="J685" s="13">
        <v>19</v>
      </c>
      <c r="K685" s="109">
        <v>20</v>
      </c>
      <c r="L685" s="109">
        <v>22</v>
      </c>
      <c r="M685" s="109">
        <v>21</v>
      </c>
      <c r="N685" s="109">
        <v>18</v>
      </c>
      <c r="O685" s="109">
        <v>18</v>
      </c>
      <c r="P685" s="109">
        <v>12</v>
      </c>
      <c r="Q685" s="13">
        <v>24</v>
      </c>
      <c r="R685" s="13">
        <v>25</v>
      </c>
      <c r="S685" s="13">
        <v>12</v>
      </c>
      <c r="T685" s="13">
        <v>29</v>
      </c>
      <c r="U685" s="13">
        <v>19</v>
      </c>
      <c r="V685" s="13">
        <v>19</v>
      </c>
      <c r="W685" s="13">
        <v>22</v>
      </c>
      <c r="X685" s="13">
        <v>17</v>
      </c>
      <c r="Y685" s="109">
        <v>15</v>
      </c>
      <c r="Z685" s="13">
        <v>12</v>
      </c>
      <c r="AA685" s="13">
        <v>19</v>
      </c>
      <c r="AB685" s="13">
        <v>16</v>
      </c>
      <c r="AC685" s="109">
        <v>15</v>
      </c>
      <c r="AD685" s="13">
        <v>19</v>
      </c>
      <c r="AE685" s="110">
        <v>12</v>
      </c>
      <c r="AF685" s="109"/>
      <c r="AG685" s="13"/>
      <c r="AH685" s="13"/>
    </row>
    <row r="686" spans="1:34" ht="12.75" customHeight="1">
      <c r="A686" s="10" t="s">
        <v>426</v>
      </c>
      <c r="B686" s="11">
        <f>AVERAGE(E686:AE686)</f>
        <v>17.814814814814813</v>
      </c>
      <c r="C686" s="2">
        <f>MIN(E686:AE686)</f>
        <v>11</v>
      </c>
      <c r="D686" s="12">
        <f>MAX(E686:AE686)</f>
        <v>29</v>
      </c>
      <c r="E686" s="13">
        <v>11</v>
      </c>
      <c r="F686" s="13">
        <v>12</v>
      </c>
      <c r="G686" s="13">
        <v>14</v>
      </c>
      <c r="H686" s="13">
        <v>21</v>
      </c>
      <c r="I686" s="109">
        <v>18</v>
      </c>
      <c r="J686" s="13">
        <v>19</v>
      </c>
      <c r="K686" s="109">
        <v>20</v>
      </c>
      <c r="L686" s="109">
        <v>22</v>
      </c>
      <c r="M686" s="109">
        <v>21</v>
      </c>
      <c r="N686" s="109">
        <v>18</v>
      </c>
      <c r="O686" s="109">
        <v>18</v>
      </c>
      <c r="P686" s="109">
        <v>12</v>
      </c>
      <c r="Q686" s="13">
        <v>24</v>
      </c>
      <c r="R686" s="13">
        <v>25</v>
      </c>
      <c r="S686" s="13">
        <v>12</v>
      </c>
      <c r="T686" s="13">
        <v>29</v>
      </c>
      <c r="U686" s="13">
        <v>19</v>
      </c>
      <c r="V686" s="13">
        <v>19</v>
      </c>
      <c r="W686" s="13">
        <v>22</v>
      </c>
      <c r="X686" s="13">
        <v>17</v>
      </c>
      <c r="Y686" s="109">
        <v>15</v>
      </c>
      <c r="Z686" s="13">
        <v>12</v>
      </c>
      <c r="AA686" s="13">
        <v>19</v>
      </c>
      <c r="AB686" s="13">
        <v>16</v>
      </c>
      <c r="AC686" s="109">
        <v>15</v>
      </c>
      <c r="AD686" s="13">
        <v>19</v>
      </c>
      <c r="AE686" s="110">
        <v>12</v>
      </c>
      <c r="AF686" s="109"/>
      <c r="AG686" s="13"/>
      <c r="AH686" s="13"/>
    </row>
    <row r="687" spans="1:34" ht="12.75" customHeight="1">
      <c r="A687" s="10" t="s">
        <v>427</v>
      </c>
      <c r="B687" s="11">
        <f>AVERAGE(E687:AE687)</f>
        <v>17.814814814814813</v>
      </c>
      <c r="C687" s="2">
        <f>MIN(E687:AE687)</f>
        <v>11</v>
      </c>
      <c r="D687" s="12">
        <f>MAX(E687:AE687)</f>
        <v>29</v>
      </c>
      <c r="E687" s="13">
        <v>11</v>
      </c>
      <c r="F687" s="13">
        <v>12</v>
      </c>
      <c r="G687" s="13">
        <v>14</v>
      </c>
      <c r="H687" s="13">
        <v>21</v>
      </c>
      <c r="I687" s="109">
        <v>18</v>
      </c>
      <c r="J687" s="13">
        <v>19</v>
      </c>
      <c r="K687" s="109">
        <v>20</v>
      </c>
      <c r="L687" s="109">
        <v>22</v>
      </c>
      <c r="M687" s="109">
        <v>21</v>
      </c>
      <c r="N687" s="109">
        <v>18</v>
      </c>
      <c r="O687" s="109">
        <v>18</v>
      </c>
      <c r="P687" s="109">
        <v>12</v>
      </c>
      <c r="Q687" s="13">
        <v>24</v>
      </c>
      <c r="R687" s="13">
        <v>25</v>
      </c>
      <c r="S687" s="13">
        <v>12</v>
      </c>
      <c r="T687" s="13">
        <v>29</v>
      </c>
      <c r="U687" s="13">
        <v>19</v>
      </c>
      <c r="V687" s="13">
        <v>19</v>
      </c>
      <c r="W687" s="13">
        <v>22</v>
      </c>
      <c r="X687" s="13">
        <v>17</v>
      </c>
      <c r="Y687" s="109">
        <v>15</v>
      </c>
      <c r="Z687" s="13">
        <v>12</v>
      </c>
      <c r="AA687" s="13">
        <v>19</v>
      </c>
      <c r="AB687" s="13">
        <v>16</v>
      </c>
      <c r="AC687" s="109">
        <v>15</v>
      </c>
      <c r="AD687" s="13">
        <v>19</v>
      </c>
      <c r="AE687" s="110">
        <v>12</v>
      </c>
      <c r="AF687" s="109"/>
      <c r="AG687" s="13"/>
      <c r="AH687" s="13"/>
    </row>
    <row r="688" spans="1:34" ht="12.75" customHeight="1">
      <c r="A688" s="10" t="s">
        <v>428</v>
      </c>
      <c r="B688" s="11">
        <f>AVERAGE(E688:AE688)</f>
        <v>17.851851851851851</v>
      </c>
      <c r="C688" s="2">
        <f>MIN(E688:AE688)</f>
        <v>11</v>
      </c>
      <c r="D688" s="12">
        <f>MAX(E688:AE688)</f>
        <v>29</v>
      </c>
      <c r="E688" s="13">
        <v>11</v>
      </c>
      <c r="F688" s="13">
        <v>13</v>
      </c>
      <c r="G688" s="13">
        <v>14</v>
      </c>
      <c r="H688" s="13">
        <v>21</v>
      </c>
      <c r="I688" s="109">
        <v>18</v>
      </c>
      <c r="J688" s="13">
        <v>19</v>
      </c>
      <c r="K688" s="109">
        <v>20</v>
      </c>
      <c r="L688" s="109">
        <v>22</v>
      </c>
      <c r="M688" s="109">
        <v>21</v>
      </c>
      <c r="N688" s="109">
        <v>18</v>
      </c>
      <c r="O688" s="109">
        <v>18</v>
      </c>
      <c r="P688" s="109">
        <v>12</v>
      </c>
      <c r="Q688" s="13">
        <v>24</v>
      </c>
      <c r="R688" s="13">
        <v>25</v>
      </c>
      <c r="S688" s="13">
        <v>12</v>
      </c>
      <c r="T688" s="13">
        <v>29</v>
      </c>
      <c r="U688" s="13">
        <v>19</v>
      </c>
      <c r="V688" s="13">
        <v>19</v>
      </c>
      <c r="W688" s="13">
        <v>22</v>
      </c>
      <c r="X688" s="13">
        <v>17</v>
      </c>
      <c r="Y688" s="109">
        <v>15</v>
      </c>
      <c r="Z688" s="13">
        <v>12</v>
      </c>
      <c r="AA688" s="13">
        <v>19</v>
      </c>
      <c r="AB688" s="13">
        <v>16</v>
      </c>
      <c r="AC688" s="109">
        <v>15</v>
      </c>
      <c r="AD688" s="13">
        <v>19</v>
      </c>
      <c r="AE688" s="110">
        <v>12</v>
      </c>
      <c r="AF688" s="109"/>
      <c r="AG688" s="13"/>
      <c r="AH688" s="13"/>
    </row>
    <row r="689" spans="1:34" ht="12.75" customHeight="1">
      <c r="A689" s="10" t="s">
        <v>429</v>
      </c>
      <c r="B689" s="11">
        <f>AVERAGE(E689:AE689)</f>
        <v>17.851851851851851</v>
      </c>
      <c r="C689" s="2">
        <f>MIN(E689:AE689)</f>
        <v>11</v>
      </c>
      <c r="D689" s="12">
        <f>MAX(E689:AE689)</f>
        <v>29</v>
      </c>
      <c r="E689" s="13">
        <v>11</v>
      </c>
      <c r="F689" s="13">
        <v>13</v>
      </c>
      <c r="G689" s="13">
        <v>14</v>
      </c>
      <c r="H689" s="13">
        <v>21</v>
      </c>
      <c r="I689" s="109">
        <v>18</v>
      </c>
      <c r="J689" s="13">
        <v>19</v>
      </c>
      <c r="K689" s="109">
        <v>20</v>
      </c>
      <c r="L689" s="109">
        <v>22</v>
      </c>
      <c r="M689" s="109">
        <v>21</v>
      </c>
      <c r="N689" s="109">
        <v>18</v>
      </c>
      <c r="O689" s="109">
        <v>18</v>
      </c>
      <c r="P689" s="109">
        <v>12</v>
      </c>
      <c r="Q689" s="13">
        <v>24</v>
      </c>
      <c r="R689" s="13">
        <v>25</v>
      </c>
      <c r="S689" s="13">
        <v>12</v>
      </c>
      <c r="T689" s="13">
        <v>29</v>
      </c>
      <c r="U689" s="13">
        <v>19</v>
      </c>
      <c r="V689" s="13">
        <v>19</v>
      </c>
      <c r="W689" s="13">
        <v>22</v>
      </c>
      <c r="X689" s="13">
        <v>17</v>
      </c>
      <c r="Y689" s="109">
        <v>15</v>
      </c>
      <c r="Z689" s="13">
        <v>12</v>
      </c>
      <c r="AA689" s="13">
        <v>19</v>
      </c>
      <c r="AB689" s="13">
        <v>16</v>
      </c>
      <c r="AC689" s="109">
        <v>15</v>
      </c>
      <c r="AD689" s="13">
        <v>19</v>
      </c>
      <c r="AE689" s="110">
        <v>12</v>
      </c>
      <c r="AF689" s="109"/>
      <c r="AG689" s="13"/>
      <c r="AH689" s="13"/>
    </row>
    <row r="690" spans="1:34" ht="12.75" customHeight="1">
      <c r="A690" s="10" t="s">
        <v>430</v>
      </c>
      <c r="B690" s="11">
        <f>AVERAGE(E690:AE690)</f>
        <v>17.851851851851851</v>
      </c>
      <c r="C690" s="2">
        <f>MIN(E690:AE690)</f>
        <v>11</v>
      </c>
      <c r="D690" s="12">
        <f>MAX(E690:AE690)</f>
        <v>29</v>
      </c>
      <c r="E690" s="13">
        <v>11</v>
      </c>
      <c r="F690" s="13">
        <v>13</v>
      </c>
      <c r="G690" s="13">
        <v>14</v>
      </c>
      <c r="H690" s="13">
        <v>21</v>
      </c>
      <c r="I690" s="109">
        <v>18</v>
      </c>
      <c r="J690" s="13">
        <v>19</v>
      </c>
      <c r="K690" s="109">
        <v>20</v>
      </c>
      <c r="L690" s="109">
        <v>22</v>
      </c>
      <c r="M690" s="109">
        <v>21</v>
      </c>
      <c r="N690" s="109">
        <v>18</v>
      </c>
      <c r="O690" s="109">
        <v>18</v>
      </c>
      <c r="P690" s="109">
        <v>12</v>
      </c>
      <c r="Q690" s="13">
        <v>24</v>
      </c>
      <c r="R690" s="13">
        <v>25</v>
      </c>
      <c r="S690" s="13">
        <v>12</v>
      </c>
      <c r="T690" s="13">
        <v>29</v>
      </c>
      <c r="U690" s="13">
        <v>19</v>
      </c>
      <c r="V690" s="13">
        <v>19</v>
      </c>
      <c r="W690" s="13">
        <v>22</v>
      </c>
      <c r="X690" s="13">
        <v>17</v>
      </c>
      <c r="Y690" s="109">
        <v>15</v>
      </c>
      <c r="Z690" s="13">
        <v>12</v>
      </c>
      <c r="AA690" s="13">
        <v>19</v>
      </c>
      <c r="AB690" s="13">
        <v>16</v>
      </c>
      <c r="AC690" s="109">
        <v>15</v>
      </c>
      <c r="AD690" s="13">
        <v>19</v>
      </c>
      <c r="AE690" s="110">
        <v>12</v>
      </c>
      <c r="AF690" s="109"/>
      <c r="AG690" s="13"/>
      <c r="AH690" s="13"/>
    </row>
    <row r="691" spans="1:34" ht="12.75" customHeight="1">
      <c r="A691" s="10" t="s">
        <v>431</v>
      </c>
      <c r="B691" s="11">
        <f>AVERAGE(E691:AE691)</f>
        <v>17.851851851851851</v>
      </c>
      <c r="C691" s="2">
        <f>MIN(E691:AE691)</f>
        <v>11</v>
      </c>
      <c r="D691" s="12">
        <f>MAX(E691:AE691)</f>
        <v>29</v>
      </c>
      <c r="E691" s="13">
        <v>11</v>
      </c>
      <c r="F691" s="13">
        <v>13</v>
      </c>
      <c r="G691" s="13">
        <v>14</v>
      </c>
      <c r="H691" s="13">
        <v>21</v>
      </c>
      <c r="I691" s="109">
        <v>18</v>
      </c>
      <c r="J691" s="13">
        <v>19</v>
      </c>
      <c r="K691" s="109">
        <v>20</v>
      </c>
      <c r="L691" s="109">
        <v>22</v>
      </c>
      <c r="M691" s="109">
        <v>21</v>
      </c>
      <c r="N691" s="109">
        <v>18</v>
      </c>
      <c r="O691" s="109">
        <v>18</v>
      </c>
      <c r="P691" s="109">
        <v>12</v>
      </c>
      <c r="Q691" s="13">
        <v>24</v>
      </c>
      <c r="R691" s="13">
        <v>25</v>
      </c>
      <c r="S691" s="13">
        <v>12</v>
      </c>
      <c r="T691" s="13">
        <v>29</v>
      </c>
      <c r="U691" s="13">
        <v>19</v>
      </c>
      <c r="V691" s="13">
        <v>19</v>
      </c>
      <c r="W691" s="13">
        <v>22</v>
      </c>
      <c r="X691" s="13">
        <v>17</v>
      </c>
      <c r="Y691" s="109">
        <v>15</v>
      </c>
      <c r="Z691" s="13">
        <v>12</v>
      </c>
      <c r="AA691" s="13">
        <v>19</v>
      </c>
      <c r="AB691" s="13">
        <v>16</v>
      </c>
      <c r="AC691" s="109">
        <v>15</v>
      </c>
      <c r="AD691" s="13">
        <v>19</v>
      </c>
      <c r="AE691" s="110">
        <v>12</v>
      </c>
      <c r="AF691" s="109"/>
      <c r="AG691" s="13"/>
      <c r="AH691" s="13"/>
    </row>
    <row r="692" spans="1:34" ht="12.75" customHeight="1">
      <c r="A692" s="10" t="s">
        <v>432</v>
      </c>
      <c r="B692" s="11">
        <f>AVERAGE(E692:AE692)</f>
        <v>17.851851851851851</v>
      </c>
      <c r="C692" s="2">
        <f>MIN(E692:AE692)</f>
        <v>11</v>
      </c>
      <c r="D692" s="12">
        <f>MAX(E692:AE692)</f>
        <v>29</v>
      </c>
      <c r="E692" s="13">
        <v>11</v>
      </c>
      <c r="F692" s="13">
        <v>13</v>
      </c>
      <c r="G692" s="13">
        <v>14</v>
      </c>
      <c r="H692" s="13">
        <v>21</v>
      </c>
      <c r="I692" s="109">
        <v>18</v>
      </c>
      <c r="J692" s="13">
        <v>19</v>
      </c>
      <c r="K692" s="109">
        <v>20</v>
      </c>
      <c r="L692" s="109">
        <v>22</v>
      </c>
      <c r="M692" s="109">
        <v>21</v>
      </c>
      <c r="N692" s="109">
        <v>18</v>
      </c>
      <c r="O692" s="109">
        <v>18</v>
      </c>
      <c r="P692" s="109">
        <v>12</v>
      </c>
      <c r="Q692" s="13">
        <v>24</v>
      </c>
      <c r="R692" s="13">
        <v>25</v>
      </c>
      <c r="S692" s="13">
        <v>12</v>
      </c>
      <c r="T692" s="13">
        <v>29</v>
      </c>
      <c r="U692" s="13">
        <v>19</v>
      </c>
      <c r="V692" s="13">
        <v>19</v>
      </c>
      <c r="W692" s="13">
        <v>22</v>
      </c>
      <c r="X692" s="13">
        <v>17</v>
      </c>
      <c r="Y692" s="13">
        <v>15</v>
      </c>
      <c r="Z692" s="13">
        <v>12</v>
      </c>
      <c r="AA692" s="13">
        <v>19</v>
      </c>
      <c r="AB692" s="13">
        <v>16</v>
      </c>
      <c r="AC692" s="109">
        <v>15</v>
      </c>
      <c r="AD692" s="13">
        <v>19</v>
      </c>
      <c r="AE692" s="110">
        <v>12</v>
      </c>
      <c r="AF692" s="109"/>
      <c r="AG692" s="13"/>
      <c r="AH692" s="13"/>
    </row>
    <row r="693" spans="1:34" ht="12.75" customHeight="1">
      <c r="A693" s="10" t="s">
        <v>433</v>
      </c>
      <c r="B693" s="11">
        <f>AVERAGE(E693:AE693)</f>
        <v>17.851851851851851</v>
      </c>
      <c r="C693" s="2">
        <f>MIN(E693:AE693)</f>
        <v>11</v>
      </c>
      <c r="D693" s="12">
        <f>MAX(E693:AE693)</f>
        <v>29</v>
      </c>
      <c r="E693" s="13">
        <v>11</v>
      </c>
      <c r="F693" s="13">
        <v>13</v>
      </c>
      <c r="G693" s="13">
        <v>14</v>
      </c>
      <c r="H693" s="13">
        <v>21</v>
      </c>
      <c r="I693" s="109">
        <v>18</v>
      </c>
      <c r="J693" s="13">
        <v>19</v>
      </c>
      <c r="K693" s="109">
        <v>20</v>
      </c>
      <c r="L693" s="109">
        <v>22</v>
      </c>
      <c r="M693" s="109">
        <v>21</v>
      </c>
      <c r="N693" s="109">
        <v>18</v>
      </c>
      <c r="O693" s="109">
        <v>18</v>
      </c>
      <c r="P693" s="109">
        <v>12</v>
      </c>
      <c r="Q693" s="13">
        <v>24</v>
      </c>
      <c r="R693" s="13">
        <v>25</v>
      </c>
      <c r="S693" s="13">
        <v>12</v>
      </c>
      <c r="T693" s="13">
        <v>29</v>
      </c>
      <c r="U693" s="13">
        <v>19</v>
      </c>
      <c r="V693" s="13">
        <v>19</v>
      </c>
      <c r="W693" s="13">
        <v>22</v>
      </c>
      <c r="X693" s="13">
        <v>17</v>
      </c>
      <c r="Y693" s="13">
        <v>15</v>
      </c>
      <c r="Z693" s="13">
        <v>12</v>
      </c>
      <c r="AA693" s="13">
        <v>19</v>
      </c>
      <c r="AB693" s="13">
        <v>16</v>
      </c>
      <c r="AC693" s="109">
        <v>15</v>
      </c>
      <c r="AD693" s="13">
        <v>19</v>
      </c>
      <c r="AE693" s="110">
        <v>12</v>
      </c>
      <c r="AF693" s="109"/>
      <c r="AG693" s="13"/>
      <c r="AH693" s="13"/>
    </row>
    <row r="694" spans="1:34" ht="12.75" customHeight="1">
      <c r="A694" s="10" t="s">
        <v>434</v>
      </c>
      <c r="B694" s="11">
        <f>AVERAGE(E694:AE694)</f>
        <v>17.851851851851851</v>
      </c>
      <c r="C694" s="2">
        <f>MIN(E694:AE694)</f>
        <v>11</v>
      </c>
      <c r="D694" s="12">
        <f>MAX(E694:AE694)</f>
        <v>29</v>
      </c>
      <c r="E694" s="13">
        <v>11</v>
      </c>
      <c r="F694" s="13">
        <v>13</v>
      </c>
      <c r="G694" s="13">
        <v>14</v>
      </c>
      <c r="H694" s="13">
        <v>21</v>
      </c>
      <c r="I694" s="109">
        <v>18</v>
      </c>
      <c r="J694" s="13">
        <v>19</v>
      </c>
      <c r="K694" s="109">
        <v>20</v>
      </c>
      <c r="L694" s="109">
        <v>22</v>
      </c>
      <c r="M694" s="109">
        <v>21</v>
      </c>
      <c r="N694" s="109">
        <v>18</v>
      </c>
      <c r="O694" s="109">
        <v>18</v>
      </c>
      <c r="P694" s="109">
        <v>12</v>
      </c>
      <c r="Q694" s="13">
        <v>24</v>
      </c>
      <c r="R694" s="13">
        <v>25</v>
      </c>
      <c r="S694" s="13">
        <v>12</v>
      </c>
      <c r="T694" s="13">
        <v>29</v>
      </c>
      <c r="U694" s="13">
        <v>19</v>
      </c>
      <c r="V694" s="13">
        <v>19</v>
      </c>
      <c r="W694" s="13">
        <v>22</v>
      </c>
      <c r="X694" s="13">
        <v>17</v>
      </c>
      <c r="Y694" s="13">
        <v>15</v>
      </c>
      <c r="Z694" s="13">
        <v>12</v>
      </c>
      <c r="AA694" s="13">
        <v>19</v>
      </c>
      <c r="AB694" s="13">
        <v>16</v>
      </c>
      <c r="AC694" s="109">
        <v>15</v>
      </c>
      <c r="AD694" s="13">
        <v>19</v>
      </c>
      <c r="AE694" s="110">
        <v>12</v>
      </c>
      <c r="AF694" s="109"/>
      <c r="AG694" s="13"/>
      <c r="AH694" s="13"/>
    </row>
    <row r="695" spans="1:34" ht="12.75" customHeight="1">
      <c r="A695" s="10" t="s">
        <v>435</v>
      </c>
      <c r="B695" s="11">
        <f>AVERAGE(E695:AE695)</f>
        <v>17.851851851851851</v>
      </c>
      <c r="C695" s="2">
        <f>MIN(E695:AE695)</f>
        <v>11</v>
      </c>
      <c r="D695" s="12">
        <f>MAX(E695:AE695)</f>
        <v>29</v>
      </c>
      <c r="E695" s="13">
        <v>11</v>
      </c>
      <c r="F695" s="13">
        <v>13</v>
      </c>
      <c r="G695" s="13">
        <v>14</v>
      </c>
      <c r="H695" s="13">
        <v>21</v>
      </c>
      <c r="I695" s="109">
        <v>18</v>
      </c>
      <c r="J695" s="13">
        <v>19</v>
      </c>
      <c r="K695" s="13">
        <v>20</v>
      </c>
      <c r="L695" s="13">
        <v>22</v>
      </c>
      <c r="M695" s="13">
        <v>21</v>
      </c>
      <c r="N695" s="13">
        <v>18</v>
      </c>
      <c r="O695" s="13">
        <v>18</v>
      </c>
      <c r="P695" s="13">
        <v>12</v>
      </c>
      <c r="Q695" s="13">
        <v>24</v>
      </c>
      <c r="R695" s="13">
        <v>25</v>
      </c>
      <c r="S695" s="13">
        <v>12</v>
      </c>
      <c r="T695" s="13">
        <v>29</v>
      </c>
      <c r="U695" s="13">
        <v>19</v>
      </c>
      <c r="V695" s="13">
        <v>19</v>
      </c>
      <c r="W695" s="13">
        <v>22</v>
      </c>
      <c r="X695" s="13">
        <v>17</v>
      </c>
      <c r="Y695" s="13">
        <v>15</v>
      </c>
      <c r="Z695" s="13">
        <v>12</v>
      </c>
      <c r="AA695" s="13">
        <v>19</v>
      </c>
      <c r="AB695" s="13">
        <v>16</v>
      </c>
      <c r="AC695" s="109">
        <v>15</v>
      </c>
      <c r="AD695" s="13">
        <v>19</v>
      </c>
      <c r="AE695" s="110">
        <v>12</v>
      </c>
      <c r="AF695" s="109"/>
      <c r="AG695" s="13"/>
      <c r="AH695" s="13"/>
    </row>
    <row r="696" spans="1:34" ht="12.75" customHeight="1">
      <c r="A696" s="10" t="s">
        <v>436</v>
      </c>
      <c r="B696" s="11">
        <f>AVERAGE(E696:AE696)</f>
        <v>17.851851851851851</v>
      </c>
      <c r="C696" s="2">
        <f>MIN(E696:AE696)</f>
        <v>11</v>
      </c>
      <c r="D696" s="12">
        <f>MAX(E696:AE696)</f>
        <v>29</v>
      </c>
      <c r="E696" s="13">
        <v>11</v>
      </c>
      <c r="F696" s="13">
        <v>13</v>
      </c>
      <c r="G696" s="13">
        <v>14</v>
      </c>
      <c r="H696" s="13">
        <v>21</v>
      </c>
      <c r="I696" s="109">
        <v>18</v>
      </c>
      <c r="J696" s="13">
        <v>19</v>
      </c>
      <c r="K696" s="13">
        <v>20</v>
      </c>
      <c r="L696" s="13">
        <v>22</v>
      </c>
      <c r="M696" s="13">
        <v>21</v>
      </c>
      <c r="N696" s="13">
        <v>18</v>
      </c>
      <c r="O696" s="13">
        <v>18</v>
      </c>
      <c r="P696" s="13">
        <v>12</v>
      </c>
      <c r="Q696" s="13">
        <v>24</v>
      </c>
      <c r="R696" s="13">
        <v>25</v>
      </c>
      <c r="S696" s="13">
        <v>12</v>
      </c>
      <c r="T696" s="13">
        <v>29</v>
      </c>
      <c r="U696" s="13">
        <v>19</v>
      </c>
      <c r="V696" s="13">
        <v>19</v>
      </c>
      <c r="W696" s="13">
        <v>22</v>
      </c>
      <c r="X696" s="13">
        <v>17</v>
      </c>
      <c r="Y696" s="13">
        <v>15</v>
      </c>
      <c r="Z696" s="13">
        <v>12</v>
      </c>
      <c r="AA696" s="13">
        <v>19</v>
      </c>
      <c r="AB696" s="13">
        <v>16</v>
      </c>
      <c r="AC696" s="109">
        <v>15</v>
      </c>
      <c r="AD696" s="13">
        <v>19</v>
      </c>
      <c r="AE696" s="110">
        <v>12</v>
      </c>
      <c r="AF696" s="109"/>
      <c r="AG696" s="13"/>
      <c r="AH696" s="13"/>
    </row>
    <row r="697" spans="1:34" ht="12.75" customHeight="1">
      <c r="A697" s="10" t="s">
        <v>437</v>
      </c>
      <c r="B697" s="11">
        <f>AVERAGE(E697:AE697)</f>
        <v>17.851851851851851</v>
      </c>
      <c r="C697" s="2">
        <f>MIN(E697:AE697)</f>
        <v>11</v>
      </c>
      <c r="D697" s="12">
        <f>MAX(E697:AE697)</f>
        <v>29</v>
      </c>
      <c r="E697" s="13">
        <v>11</v>
      </c>
      <c r="F697" s="13">
        <v>13</v>
      </c>
      <c r="G697" s="13">
        <v>14</v>
      </c>
      <c r="H697" s="13">
        <v>21</v>
      </c>
      <c r="I697" s="109">
        <v>18</v>
      </c>
      <c r="J697" s="13">
        <v>19</v>
      </c>
      <c r="K697" s="13">
        <v>20</v>
      </c>
      <c r="L697" s="13">
        <v>22</v>
      </c>
      <c r="M697" s="13">
        <v>21</v>
      </c>
      <c r="N697" s="13">
        <v>18</v>
      </c>
      <c r="O697" s="13">
        <v>18</v>
      </c>
      <c r="P697" s="13">
        <v>12</v>
      </c>
      <c r="Q697" s="13">
        <v>24</v>
      </c>
      <c r="R697" s="13">
        <v>25</v>
      </c>
      <c r="S697" s="13">
        <v>12</v>
      </c>
      <c r="T697" s="13">
        <v>29</v>
      </c>
      <c r="U697" s="13">
        <v>19</v>
      </c>
      <c r="V697" s="13">
        <v>19</v>
      </c>
      <c r="W697" s="13">
        <v>22</v>
      </c>
      <c r="X697" s="13">
        <v>17</v>
      </c>
      <c r="Y697" s="13">
        <v>15</v>
      </c>
      <c r="Z697" s="13">
        <v>12</v>
      </c>
      <c r="AA697" s="13">
        <v>19</v>
      </c>
      <c r="AB697" s="13">
        <v>16</v>
      </c>
      <c r="AC697" s="109">
        <v>15</v>
      </c>
      <c r="AD697" s="13">
        <v>19</v>
      </c>
      <c r="AE697" s="110">
        <v>12</v>
      </c>
      <c r="AF697" s="109"/>
      <c r="AG697" s="13"/>
      <c r="AH697" s="13"/>
    </row>
    <row r="698" spans="1:34" ht="12.75" customHeight="1">
      <c r="A698" s="10" t="s">
        <v>438</v>
      </c>
      <c r="B698" s="11">
        <f>AVERAGE(E698:AE698)</f>
        <v>17.851851851851851</v>
      </c>
      <c r="C698" s="2">
        <f>MIN(E698:AE698)</f>
        <v>11</v>
      </c>
      <c r="D698" s="12">
        <f>MAX(E698:AE698)</f>
        <v>29</v>
      </c>
      <c r="E698" s="13">
        <v>11</v>
      </c>
      <c r="F698" s="13">
        <v>13</v>
      </c>
      <c r="G698" s="13">
        <v>14</v>
      </c>
      <c r="H698" s="13">
        <v>21</v>
      </c>
      <c r="I698" s="109">
        <v>18</v>
      </c>
      <c r="J698" s="13">
        <v>19</v>
      </c>
      <c r="K698" s="13">
        <v>20</v>
      </c>
      <c r="L698" s="13">
        <v>22</v>
      </c>
      <c r="M698" s="13">
        <v>21</v>
      </c>
      <c r="N698" s="13">
        <v>18</v>
      </c>
      <c r="O698" s="13">
        <v>18</v>
      </c>
      <c r="P698" s="13">
        <v>12</v>
      </c>
      <c r="Q698" s="13">
        <v>24</v>
      </c>
      <c r="R698" s="13">
        <v>25</v>
      </c>
      <c r="S698" s="13">
        <v>12</v>
      </c>
      <c r="T698" s="13">
        <v>29</v>
      </c>
      <c r="U698" s="13">
        <v>19</v>
      </c>
      <c r="V698" s="13">
        <v>19</v>
      </c>
      <c r="W698" s="13">
        <v>22</v>
      </c>
      <c r="X698" s="13">
        <v>17</v>
      </c>
      <c r="Y698" s="13">
        <v>15</v>
      </c>
      <c r="Z698" s="13">
        <v>12</v>
      </c>
      <c r="AA698" s="13">
        <v>19</v>
      </c>
      <c r="AB698" s="13">
        <v>16</v>
      </c>
      <c r="AC698" s="109">
        <v>15</v>
      </c>
      <c r="AD698" s="13">
        <v>19</v>
      </c>
      <c r="AE698" s="110">
        <v>12</v>
      </c>
      <c r="AF698" s="109"/>
      <c r="AG698" s="13"/>
      <c r="AH698" s="13"/>
    </row>
    <row r="699" spans="1:34" ht="12.75" customHeight="1">
      <c r="A699" s="10" t="s">
        <v>439</v>
      </c>
      <c r="B699" s="11">
        <f>AVERAGE(E699:AE699)</f>
        <v>17.851851851851851</v>
      </c>
      <c r="C699" s="2">
        <f>MIN(E699:AE699)</f>
        <v>11</v>
      </c>
      <c r="D699" s="12">
        <f>MAX(E699:AE699)</f>
        <v>29</v>
      </c>
      <c r="E699" s="13">
        <v>11</v>
      </c>
      <c r="F699" s="13">
        <v>13</v>
      </c>
      <c r="G699" s="13">
        <v>14</v>
      </c>
      <c r="H699" s="13">
        <v>21</v>
      </c>
      <c r="I699" s="109">
        <v>18</v>
      </c>
      <c r="J699" s="13">
        <v>19</v>
      </c>
      <c r="K699" s="13">
        <v>20</v>
      </c>
      <c r="L699" s="13">
        <v>22</v>
      </c>
      <c r="M699" s="13">
        <v>21</v>
      </c>
      <c r="N699" s="13">
        <v>18</v>
      </c>
      <c r="O699" s="13">
        <v>18</v>
      </c>
      <c r="P699" s="13">
        <v>12</v>
      </c>
      <c r="Q699" s="13">
        <v>24</v>
      </c>
      <c r="R699" s="13">
        <v>25</v>
      </c>
      <c r="S699" s="13">
        <v>12</v>
      </c>
      <c r="T699" s="13">
        <v>29</v>
      </c>
      <c r="U699" s="13">
        <v>19</v>
      </c>
      <c r="V699" s="13">
        <v>19</v>
      </c>
      <c r="W699" s="13">
        <v>22</v>
      </c>
      <c r="X699" s="13">
        <v>17</v>
      </c>
      <c r="Y699" s="13">
        <v>15</v>
      </c>
      <c r="Z699" s="13">
        <v>12</v>
      </c>
      <c r="AA699" s="13">
        <v>19</v>
      </c>
      <c r="AB699" s="13">
        <v>16</v>
      </c>
      <c r="AC699" s="109">
        <v>15</v>
      </c>
      <c r="AD699" s="13">
        <v>19</v>
      </c>
      <c r="AE699" s="110">
        <v>12</v>
      </c>
      <c r="AF699" s="109"/>
      <c r="AG699" s="13"/>
      <c r="AH699" s="13"/>
    </row>
    <row r="700" spans="1:34" ht="12.75" customHeight="1">
      <c r="A700" s="10" t="s">
        <v>440</v>
      </c>
      <c r="B700" s="11">
        <f>AVERAGE(E700:AE700)</f>
        <v>17.851851851851851</v>
      </c>
      <c r="C700" s="2">
        <f>MIN(E700:AE700)</f>
        <v>11</v>
      </c>
      <c r="D700" s="12">
        <f>MAX(E700:AE700)</f>
        <v>29</v>
      </c>
      <c r="E700" s="13">
        <v>11</v>
      </c>
      <c r="F700" s="13">
        <v>13</v>
      </c>
      <c r="G700" s="13">
        <v>14</v>
      </c>
      <c r="H700" s="13">
        <v>21</v>
      </c>
      <c r="I700" s="109">
        <v>18</v>
      </c>
      <c r="J700" s="13">
        <v>19</v>
      </c>
      <c r="K700" s="13">
        <v>20</v>
      </c>
      <c r="L700" s="13">
        <v>22</v>
      </c>
      <c r="M700" s="13">
        <v>21</v>
      </c>
      <c r="N700" s="13">
        <v>18</v>
      </c>
      <c r="O700" s="13">
        <v>18</v>
      </c>
      <c r="P700" s="13">
        <v>12</v>
      </c>
      <c r="Q700" s="13">
        <v>24</v>
      </c>
      <c r="R700" s="13">
        <v>25</v>
      </c>
      <c r="S700" s="13">
        <v>12</v>
      </c>
      <c r="T700" s="13">
        <v>29</v>
      </c>
      <c r="U700" s="13">
        <v>19</v>
      </c>
      <c r="V700" s="13">
        <v>19</v>
      </c>
      <c r="W700" s="13">
        <v>22</v>
      </c>
      <c r="X700" s="13">
        <v>17</v>
      </c>
      <c r="Y700" s="13">
        <v>15</v>
      </c>
      <c r="Z700" s="13">
        <v>12</v>
      </c>
      <c r="AA700" s="13">
        <v>19</v>
      </c>
      <c r="AB700" s="13">
        <v>16</v>
      </c>
      <c r="AC700" s="109">
        <v>15</v>
      </c>
      <c r="AD700" s="13">
        <v>19</v>
      </c>
      <c r="AE700" s="110">
        <v>12</v>
      </c>
      <c r="AF700" s="109"/>
      <c r="AG700" s="13"/>
      <c r="AH700" s="13"/>
    </row>
    <row r="701" spans="1:34" ht="12.75" customHeight="1">
      <c r="A701" s="10" t="s">
        <v>441</v>
      </c>
      <c r="B701" s="11">
        <f>AVERAGE(E701:AE701)</f>
        <v>17.851851851851851</v>
      </c>
      <c r="C701" s="2">
        <f>MIN(E701:AE701)</f>
        <v>11</v>
      </c>
      <c r="D701" s="12">
        <f>MAX(E701:AE701)</f>
        <v>29</v>
      </c>
      <c r="E701" s="13">
        <v>11</v>
      </c>
      <c r="F701" s="13">
        <v>13</v>
      </c>
      <c r="G701" s="13">
        <v>14</v>
      </c>
      <c r="H701" s="13">
        <v>21</v>
      </c>
      <c r="I701" s="109">
        <v>18</v>
      </c>
      <c r="J701" s="13">
        <v>19</v>
      </c>
      <c r="K701" s="13">
        <v>20</v>
      </c>
      <c r="L701" s="13">
        <v>22</v>
      </c>
      <c r="M701" s="13">
        <v>21</v>
      </c>
      <c r="N701" s="13">
        <v>18</v>
      </c>
      <c r="O701" s="13">
        <v>18</v>
      </c>
      <c r="P701" s="13">
        <v>12</v>
      </c>
      <c r="Q701" s="13">
        <v>24</v>
      </c>
      <c r="R701" s="13">
        <v>25</v>
      </c>
      <c r="S701" s="13">
        <v>12</v>
      </c>
      <c r="T701" s="13">
        <v>29</v>
      </c>
      <c r="U701" s="13">
        <v>19</v>
      </c>
      <c r="V701" s="13">
        <v>19</v>
      </c>
      <c r="W701" s="13">
        <v>22</v>
      </c>
      <c r="X701" s="13">
        <v>17</v>
      </c>
      <c r="Y701" s="13">
        <v>15</v>
      </c>
      <c r="Z701" s="13">
        <v>12</v>
      </c>
      <c r="AA701" s="13">
        <v>19</v>
      </c>
      <c r="AB701" s="13">
        <v>16</v>
      </c>
      <c r="AC701" s="109">
        <v>15</v>
      </c>
      <c r="AD701" s="13">
        <v>19</v>
      </c>
      <c r="AE701" s="110">
        <v>12</v>
      </c>
      <c r="AF701" s="109"/>
      <c r="AG701" s="13"/>
      <c r="AH701" s="13"/>
    </row>
    <row r="702" spans="1:34" ht="12.75" customHeight="1">
      <c r="A702" s="10" t="s">
        <v>442</v>
      </c>
      <c r="B702" s="11">
        <f>AVERAGE(E702:AE702)</f>
        <v>17.851851851851851</v>
      </c>
      <c r="C702" s="2">
        <f>MIN(E702:AE702)</f>
        <v>11</v>
      </c>
      <c r="D702" s="12">
        <f>MAX(E702:AE702)</f>
        <v>29</v>
      </c>
      <c r="E702" s="13">
        <v>11</v>
      </c>
      <c r="F702" s="13">
        <v>13</v>
      </c>
      <c r="G702" s="13">
        <v>14</v>
      </c>
      <c r="H702" s="13">
        <v>21</v>
      </c>
      <c r="I702" s="109">
        <v>18</v>
      </c>
      <c r="J702" s="13">
        <v>19</v>
      </c>
      <c r="K702" s="13">
        <v>20</v>
      </c>
      <c r="L702" s="13">
        <v>22</v>
      </c>
      <c r="M702" s="13">
        <v>21</v>
      </c>
      <c r="N702" s="13">
        <v>18</v>
      </c>
      <c r="O702" s="13">
        <v>18</v>
      </c>
      <c r="P702" s="13">
        <v>12</v>
      </c>
      <c r="Q702" s="13">
        <v>24</v>
      </c>
      <c r="R702" s="13">
        <v>25</v>
      </c>
      <c r="S702" s="13">
        <v>12</v>
      </c>
      <c r="T702" s="13">
        <v>29</v>
      </c>
      <c r="U702" s="13">
        <v>19</v>
      </c>
      <c r="V702" s="13">
        <v>19</v>
      </c>
      <c r="W702" s="13">
        <v>22</v>
      </c>
      <c r="X702" s="13">
        <v>17</v>
      </c>
      <c r="Y702" s="13">
        <v>15</v>
      </c>
      <c r="Z702" s="13">
        <v>12</v>
      </c>
      <c r="AA702" s="13">
        <v>19</v>
      </c>
      <c r="AB702" s="13">
        <v>16</v>
      </c>
      <c r="AC702" s="109">
        <v>15</v>
      </c>
      <c r="AD702" s="13">
        <v>19</v>
      </c>
      <c r="AE702" s="110">
        <v>12</v>
      </c>
      <c r="AF702" s="109"/>
      <c r="AG702" s="13"/>
      <c r="AH702" s="13"/>
    </row>
    <row r="703" spans="1:34" ht="12.75" customHeight="1">
      <c r="A703" s="10" t="s">
        <v>443</v>
      </c>
      <c r="B703" s="11">
        <f>AVERAGE(E703:AE703)</f>
        <v>17.851851851851851</v>
      </c>
      <c r="C703" s="2">
        <f>MIN(E703:AE703)</f>
        <v>11</v>
      </c>
      <c r="D703" s="12">
        <f>MAX(E703:AE703)</f>
        <v>29</v>
      </c>
      <c r="E703" s="13">
        <v>11</v>
      </c>
      <c r="F703" s="13">
        <v>13</v>
      </c>
      <c r="G703" s="13">
        <v>14</v>
      </c>
      <c r="H703" s="13">
        <v>21</v>
      </c>
      <c r="I703" s="109">
        <v>18</v>
      </c>
      <c r="J703" s="13">
        <v>19</v>
      </c>
      <c r="K703" s="13">
        <v>20</v>
      </c>
      <c r="L703" s="13">
        <v>22</v>
      </c>
      <c r="M703" s="13">
        <v>21</v>
      </c>
      <c r="N703" s="13">
        <v>18</v>
      </c>
      <c r="O703" s="13">
        <v>18</v>
      </c>
      <c r="P703" s="13">
        <v>12</v>
      </c>
      <c r="Q703" s="13">
        <v>24</v>
      </c>
      <c r="R703" s="13">
        <v>25</v>
      </c>
      <c r="S703" s="13">
        <v>12</v>
      </c>
      <c r="T703" s="13">
        <v>29</v>
      </c>
      <c r="U703" s="13">
        <v>19</v>
      </c>
      <c r="V703" s="13">
        <v>19</v>
      </c>
      <c r="W703" s="13">
        <v>22</v>
      </c>
      <c r="X703" s="13">
        <v>17</v>
      </c>
      <c r="Y703" s="13">
        <v>15</v>
      </c>
      <c r="Z703" s="13">
        <v>12</v>
      </c>
      <c r="AA703" s="13">
        <v>19</v>
      </c>
      <c r="AB703" s="13">
        <v>16</v>
      </c>
      <c r="AC703" s="109">
        <v>15</v>
      </c>
      <c r="AD703" s="13">
        <v>19</v>
      </c>
      <c r="AE703" s="110">
        <v>12</v>
      </c>
      <c r="AF703" s="109"/>
      <c r="AG703" s="13"/>
      <c r="AH703" s="13"/>
    </row>
    <row r="704" spans="1:34" ht="12.75" customHeight="1">
      <c r="A704" s="10" t="s">
        <v>444</v>
      </c>
      <c r="B704" s="11">
        <f>AVERAGE(E704:AE704)</f>
        <v>17.851851851851851</v>
      </c>
      <c r="C704" s="2">
        <f>MIN(E704:AE704)</f>
        <v>11</v>
      </c>
      <c r="D704" s="12">
        <f>MAX(E704:AE704)</f>
        <v>29</v>
      </c>
      <c r="E704" s="13">
        <v>11</v>
      </c>
      <c r="F704" s="13">
        <v>13</v>
      </c>
      <c r="G704" s="13">
        <v>14</v>
      </c>
      <c r="H704" s="13">
        <v>21</v>
      </c>
      <c r="I704" s="109">
        <v>18</v>
      </c>
      <c r="J704" s="13">
        <v>19</v>
      </c>
      <c r="K704" s="13">
        <v>20</v>
      </c>
      <c r="L704" s="13">
        <v>22</v>
      </c>
      <c r="M704" s="13">
        <v>21</v>
      </c>
      <c r="N704" s="13">
        <v>18</v>
      </c>
      <c r="O704" s="13">
        <v>18</v>
      </c>
      <c r="P704" s="13">
        <v>12</v>
      </c>
      <c r="Q704" s="13">
        <v>24</v>
      </c>
      <c r="R704" s="13">
        <v>25</v>
      </c>
      <c r="S704" s="13">
        <v>12</v>
      </c>
      <c r="T704" s="13">
        <v>29</v>
      </c>
      <c r="U704" s="13">
        <v>19</v>
      </c>
      <c r="V704" s="13">
        <v>19</v>
      </c>
      <c r="W704" s="13">
        <v>22</v>
      </c>
      <c r="X704" s="13">
        <v>17</v>
      </c>
      <c r="Y704" s="13">
        <v>15</v>
      </c>
      <c r="Z704" s="13">
        <v>12</v>
      </c>
      <c r="AA704" s="13">
        <v>19</v>
      </c>
      <c r="AB704" s="13">
        <v>16</v>
      </c>
      <c r="AC704" s="109">
        <v>15</v>
      </c>
      <c r="AD704" s="13">
        <v>19</v>
      </c>
      <c r="AE704" s="110">
        <v>12</v>
      </c>
      <c r="AF704" s="109"/>
      <c r="AG704" s="13"/>
      <c r="AH704" s="13"/>
    </row>
    <row r="705" spans="1:34" ht="12.75" customHeight="1">
      <c r="A705" s="10" t="s">
        <v>445</v>
      </c>
      <c r="B705" s="11">
        <f>AVERAGE(E705:AE705)</f>
        <v>17.851851851851851</v>
      </c>
      <c r="C705" s="2">
        <f>MIN(E705:AE705)</f>
        <v>11</v>
      </c>
      <c r="D705" s="12">
        <f>MAX(E705:AE705)</f>
        <v>29</v>
      </c>
      <c r="E705" s="13">
        <v>11</v>
      </c>
      <c r="F705" s="13">
        <v>13</v>
      </c>
      <c r="G705" s="13">
        <v>14</v>
      </c>
      <c r="H705" s="13">
        <v>21</v>
      </c>
      <c r="I705" s="109">
        <v>18</v>
      </c>
      <c r="J705" s="13">
        <v>19</v>
      </c>
      <c r="K705" s="13">
        <v>20</v>
      </c>
      <c r="L705" s="13">
        <v>22</v>
      </c>
      <c r="M705" s="13">
        <v>21</v>
      </c>
      <c r="N705" s="13">
        <v>18</v>
      </c>
      <c r="O705" s="13">
        <v>18</v>
      </c>
      <c r="P705" s="13">
        <v>12</v>
      </c>
      <c r="Q705" s="13">
        <v>24</v>
      </c>
      <c r="R705" s="13">
        <v>25</v>
      </c>
      <c r="S705" s="13">
        <v>12</v>
      </c>
      <c r="T705" s="13">
        <v>29</v>
      </c>
      <c r="U705" s="13">
        <v>19</v>
      </c>
      <c r="V705" s="13">
        <v>19</v>
      </c>
      <c r="W705" s="13">
        <v>22</v>
      </c>
      <c r="X705" s="13">
        <v>17</v>
      </c>
      <c r="Y705" s="13">
        <v>15</v>
      </c>
      <c r="Z705" s="13">
        <v>12</v>
      </c>
      <c r="AA705" s="13">
        <v>19</v>
      </c>
      <c r="AB705" s="13">
        <v>16</v>
      </c>
      <c r="AC705" s="109">
        <v>15</v>
      </c>
      <c r="AD705" s="13">
        <v>19</v>
      </c>
      <c r="AE705" s="110">
        <v>12</v>
      </c>
      <c r="AF705" s="109"/>
      <c r="AG705" s="13"/>
      <c r="AH705" s="13"/>
    </row>
    <row r="706" spans="1:34" ht="12.75" customHeight="1">
      <c r="A706" s="10" t="s">
        <v>446</v>
      </c>
      <c r="B706" s="11">
        <f>AVERAGE(E706:AE706)</f>
        <v>17.851851851851851</v>
      </c>
      <c r="C706" s="2">
        <f>MIN(E706:AE706)</f>
        <v>11</v>
      </c>
      <c r="D706" s="12">
        <f>MAX(E706:AE706)</f>
        <v>29</v>
      </c>
      <c r="E706" s="13">
        <v>11</v>
      </c>
      <c r="F706" s="13">
        <v>13</v>
      </c>
      <c r="G706" s="13">
        <v>14</v>
      </c>
      <c r="H706" s="13">
        <v>21</v>
      </c>
      <c r="I706" s="109">
        <v>18</v>
      </c>
      <c r="J706" s="13">
        <v>19</v>
      </c>
      <c r="K706" s="13">
        <v>20</v>
      </c>
      <c r="L706" s="13">
        <v>22</v>
      </c>
      <c r="M706" s="13">
        <v>21</v>
      </c>
      <c r="N706" s="13">
        <v>18</v>
      </c>
      <c r="O706" s="13">
        <v>18</v>
      </c>
      <c r="P706" s="13">
        <v>12</v>
      </c>
      <c r="Q706" s="13">
        <v>24</v>
      </c>
      <c r="R706" s="13">
        <v>25</v>
      </c>
      <c r="S706" s="13">
        <v>12</v>
      </c>
      <c r="T706" s="13">
        <v>29</v>
      </c>
      <c r="U706" s="13">
        <v>19</v>
      </c>
      <c r="V706" s="13">
        <v>19</v>
      </c>
      <c r="W706" s="13">
        <v>22</v>
      </c>
      <c r="X706" s="13">
        <v>17</v>
      </c>
      <c r="Y706" s="13">
        <v>15</v>
      </c>
      <c r="Z706" s="13">
        <v>12</v>
      </c>
      <c r="AA706" s="13">
        <v>19</v>
      </c>
      <c r="AB706" s="13">
        <v>16</v>
      </c>
      <c r="AC706" s="109">
        <v>15</v>
      </c>
      <c r="AD706" s="13">
        <v>19</v>
      </c>
      <c r="AE706" s="110">
        <v>12</v>
      </c>
      <c r="AF706" s="109"/>
      <c r="AG706" s="13"/>
      <c r="AH706" s="13"/>
    </row>
    <row r="707" spans="1:34" ht="12.75" customHeight="1">
      <c r="A707" s="10" t="s">
        <v>447</v>
      </c>
      <c r="B707" s="11">
        <f>AVERAGE(E707:AE707)</f>
        <v>17.851851851851851</v>
      </c>
      <c r="C707" s="2">
        <f>MIN(E707:AE707)</f>
        <v>11</v>
      </c>
      <c r="D707" s="12">
        <f>MAX(E707:AE707)</f>
        <v>29</v>
      </c>
      <c r="E707" s="13">
        <v>11</v>
      </c>
      <c r="F707" s="13">
        <v>13</v>
      </c>
      <c r="G707" s="13">
        <v>14</v>
      </c>
      <c r="H707" s="13">
        <v>21</v>
      </c>
      <c r="I707" s="109">
        <v>18</v>
      </c>
      <c r="J707" s="13">
        <v>19</v>
      </c>
      <c r="K707" s="13">
        <v>20</v>
      </c>
      <c r="L707" s="13">
        <v>22</v>
      </c>
      <c r="M707" s="13">
        <v>21</v>
      </c>
      <c r="N707" s="13">
        <v>18</v>
      </c>
      <c r="O707" s="13">
        <v>18</v>
      </c>
      <c r="P707" s="13">
        <v>12</v>
      </c>
      <c r="Q707" s="13">
        <v>24</v>
      </c>
      <c r="R707" s="13">
        <v>25</v>
      </c>
      <c r="S707" s="13">
        <v>12</v>
      </c>
      <c r="T707" s="13">
        <v>29</v>
      </c>
      <c r="U707" s="13">
        <v>19</v>
      </c>
      <c r="V707" s="13">
        <v>19</v>
      </c>
      <c r="W707" s="13">
        <v>22</v>
      </c>
      <c r="X707" s="13">
        <v>17</v>
      </c>
      <c r="Y707" s="13">
        <v>15</v>
      </c>
      <c r="Z707" s="13">
        <v>12</v>
      </c>
      <c r="AA707" s="13">
        <v>19</v>
      </c>
      <c r="AB707" s="13">
        <v>16</v>
      </c>
      <c r="AC707" s="109">
        <v>15</v>
      </c>
      <c r="AD707" s="13">
        <v>19</v>
      </c>
      <c r="AE707" s="110">
        <v>12</v>
      </c>
      <c r="AF707" s="109"/>
      <c r="AG707" s="13"/>
      <c r="AH707" s="13"/>
    </row>
    <row r="708" spans="1:34" ht="12.75" customHeight="1">
      <c r="A708" s="10" t="s">
        <v>448</v>
      </c>
      <c r="B708" s="11">
        <f>AVERAGE(E708:AE708)</f>
        <v>17.851851851851851</v>
      </c>
      <c r="C708" s="2">
        <f>MIN(E708:AE708)</f>
        <v>11</v>
      </c>
      <c r="D708" s="12">
        <f>MAX(E708:AE708)</f>
        <v>29</v>
      </c>
      <c r="E708" s="13">
        <v>11</v>
      </c>
      <c r="F708" s="13">
        <v>13</v>
      </c>
      <c r="G708" s="13">
        <v>14</v>
      </c>
      <c r="H708" s="13">
        <v>21</v>
      </c>
      <c r="I708" s="109">
        <v>18</v>
      </c>
      <c r="J708" s="13">
        <v>19</v>
      </c>
      <c r="K708" s="13">
        <v>20</v>
      </c>
      <c r="L708" s="13">
        <v>22</v>
      </c>
      <c r="M708" s="13">
        <v>21</v>
      </c>
      <c r="N708" s="13">
        <v>18</v>
      </c>
      <c r="O708" s="13">
        <v>18</v>
      </c>
      <c r="P708" s="13">
        <v>12</v>
      </c>
      <c r="Q708" s="13">
        <v>24</v>
      </c>
      <c r="R708" s="13">
        <v>25</v>
      </c>
      <c r="S708" s="13">
        <v>12</v>
      </c>
      <c r="T708" s="13">
        <v>29</v>
      </c>
      <c r="U708" s="13">
        <v>19</v>
      </c>
      <c r="V708" s="13">
        <v>19</v>
      </c>
      <c r="W708" s="13">
        <v>22</v>
      </c>
      <c r="X708" s="13">
        <v>17</v>
      </c>
      <c r="Y708" s="13">
        <v>15</v>
      </c>
      <c r="Z708" s="13">
        <v>12</v>
      </c>
      <c r="AA708" s="13">
        <v>19</v>
      </c>
      <c r="AB708" s="13">
        <v>16</v>
      </c>
      <c r="AC708" s="109">
        <v>15</v>
      </c>
      <c r="AD708" s="13">
        <v>19</v>
      </c>
      <c r="AE708" s="110">
        <v>12</v>
      </c>
      <c r="AF708" s="109"/>
      <c r="AG708" s="13"/>
      <c r="AH708" s="13"/>
    </row>
    <row r="709" spans="1:34" ht="12.75" customHeight="1">
      <c r="A709" s="10" t="s">
        <v>449</v>
      </c>
      <c r="B709" s="11">
        <f>AVERAGE(E709:AE709)</f>
        <v>17.851851851851851</v>
      </c>
      <c r="C709" s="2">
        <f>MIN(E709:AE709)</f>
        <v>11</v>
      </c>
      <c r="D709" s="12">
        <f>MAX(E709:AE709)</f>
        <v>29</v>
      </c>
      <c r="E709" s="13">
        <v>11</v>
      </c>
      <c r="F709" s="13">
        <v>13</v>
      </c>
      <c r="G709" s="13">
        <v>14</v>
      </c>
      <c r="H709" s="13">
        <v>21</v>
      </c>
      <c r="I709" s="109">
        <v>18</v>
      </c>
      <c r="J709" s="13">
        <v>19</v>
      </c>
      <c r="K709" s="13">
        <v>20</v>
      </c>
      <c r="L709" s="13">
        <v>22</v>
      </c>
      <c r="M709" s="13">
        <v>21</v>
      </c>
      <c r="N709" s="13">
        <v>18</v>
      </c>
      <c r="O709" s="13">
        <v>18</v>
      </c>
      <c r="P709" s="13">
        <v>12</v>
      </c>
      <c r="Q709" s="13">
        <v>24</v>
      </c>
      <c r="R709" s="13">
        <v>25</v>
      </c>
      <c r="S709" s="13">
        <v>12</v>
      </c>
      <c r="T709" s="13">
        <v>29</v>
      </c>
      <c r="U709" s="13">
        <v>19</v>
      </c>
      <c r="V709" s="13">
        <v>19</v>
      </c>
      <c r="W709" s="13">
        <v>22</v>
      </c>
      <c r="X709" s="13">
        <v>17</v>
      </c>
      <c r="Y709" s="13">
        <v>15</v>
      </c>
      <c r="Z709" s="13">
        <v>12</v>
      </c>
      <c r="AA709" s="13">
        <v>19</v>
      </c>
      <c r="AB709" s="13">
        <v>16</v>
      </c>
      <c r="AC709" s="109">
        <v>15</v>
      </c>
      <c r="AD709" s="13">
        <v>19</v>
      </c>
      <c r="AE709" s="110">
        <v>12</v>
      </c>
      <c r="AF709" s="109"/>
      <c r="AG709" s="13"/>
      <c r="AH709" s="13"/>
    </row>
    <row r="710" spans="1:34" ht="12.75" customHeight="1">
      <c r="A710" s="10" t="s">
        <v>450</v>
      </c>
      <c r="B710" s="11">
        <f>AVERAGE(E710:AE710)</f>
        <v>17.851851851851851</v>
      </c>
      <c r="C710" s="2">
        <f>MIN(E710:AE710)</f>
        <v>11</v>
      </c>
      <c r="D710" s="12">
        <f>MAX(E710:AE710)</f>
        <v>29</v>
      </c>
      <c r="E710" s="13">
        <v>11</v>
      </c>
      <c r="F710" s="13">
        <v>13</v>
      </c>
      <c r="G710" s="13">
        <v>14</v>
      </c>
      <c r="H710" s="13">
        <v>21</v>
      </c>
      <c r="I710" s="109">
        <v>18</v>
      </c>
      <c r="J710" s="13">
        <v>19</v>
      </c>
      <c r="K710" s="13">
        <v>20</v>
      </c>
      <c r="L710" s="13">
        <v>22</v>
      </c>
      <c r="M710" s="13">
        <v>21</v>
      </c>
      <c r="N710" s="13">
        <v>18</v>
      </c>
      <c r="O710" s="13">
        <v>18</v>
      </c>
      <c r="P710" s="13">
        <v>12</v>
      </c>
      <c r="Q710" s="13">
        <v>24</v>
      </c>
      <c r="R710" s="13">
        <v>25</v>
      </c>
      <c r="S710" s="13">
        <v>12</v>
      </c>
      <c r="T710" s="13">
        <v>29</v>
      </c>
      <c r="U710" s="13">
        <v>19</v>
      </c>
      <c r="V710" s="13">
        <v>19</v>
      </c>
      <c r="W710" s="13">
        <v>22</v>
      </c>
      <c r="X710" s="13">
        <v>17</v>
      </c>
      <c r="Y710" s="13">
        <v>15</v>
      </c>
      <c r="Z710" s="13">
        <v>12</v>
      </c>
      <c r="AA710" s="13">
        <v>19</v>
      </c>
      <c r="AB710" s="13">
        <v>16</v>
      </c>
      <c r="AC710" s="109">
        <v>15</v>
      </c>
      <c r="AD710" s="13">
        <v>19</v>
      </c>
      <c r="AE710" s="110">
        <v>12</v>
      </c>
      <c r="AF710" s="109"/>
      <c r="AG710" s="13"/>
      <c r="AH710" s="13"/>
    </row>
    <row r="711" spans="1:34" ht="12.75" customHeight="1">
      <c r="A711" s="10" t="s">
        <v>451</v>
      </c>
      <c r="B711" s="11">
        <f>AVERAGE(E711:AE711)</f>
        <v>17.851851851851851</v>
      </c>
      <c r="C711" s="2">
        <f>MIN(E711:AE711)</f>
        <v>11</v>
      </c>
      <c r="D711" s="12">
        <f>MAX(E711:AE711)</f>
        <v>29</v>
      </c>
      <c r="E711" s="13">
        <v>11</v>
      </c>
      <c r="F711" s="13">
        <v>13</v>
      </c>
      <c r="G711" s="13">
        <v>14</v>
      </c>
      <c r="H711" s="13">
        <v>21</v>
      </c>
      <c r="I711" s="109">
        <v>18</v>
      </c>
      <c r="J711" s="13">
        <v>19</v>
      </c>
      <c r="K711" s="13">
        <v>20</v>
      </c>
      <c r="L711" s="13">
        <v>22</v>
      </c>
      <c r="M711" s="13">
        <v>21</v>
      </c>
      <c r="N711" s="13">
        <v>18</v>
      </c>
      <c r="O711" s="13">
        <v>18</v>
      </c>
      <c r="P711" s="13">
        <v>12</v>
      </c>
      <c r="Q711" s="13">
        <v>24</v>
      </c>
      <c r="R711" s="13">
        <v>25</v>
      </c>
      <c r="S711" s="13">
        <v>12</v>
      </c>
      <c r="T711" s="13">
        <v>29</v>
      </c>
      <c r="U711" s="13">
        <v>19</v>
      </c>
      <c r="V711" s="13">
        <v>19</v>
      </c>
      <c r="W711" s="13">
        <v>22</v>
      </c>
      <c r="X711" s="13">
        <v>17</v>
      </c>
      <c r="Y711" s="13">
        <v>15</v>
      </c>
      <c r="Z711" s="13">
        <v>12</v>
      </c>
      <c r="AA711" s="13">
        <v>19</v>
      </c>
      <c r="AB711" s="13">
        <v>16</v>
      </c>
      <c r="AC711" s="109">
        <v>15</v>
      </c>
      <c r="AD711" s="13">
        <v>19</v>
      </c>
      <c r="AE711" s="110">
        <v>12</v>
      </c>
      <c r="AF711" s="109"/>
      <c r="AG711" s="13"/>
      <c r="AH711" s="13"/>
    </row>
    <row r="712" spans="1:34" ht="12.75" customHeight="1">
      <c r="A712" s="10" t="s">
        <v>452</v>
      </c>
      <c r="B712" s="11">
        <f>AVERAGE(E712:AE712)</f>
        <v>17.851851851851851</v>
      </c>
      <c r="C712" s="2">
        <f>MIN(E712:AE712)</f>
        <v>11</v>
      </c>
      <c r="D712" s="12">
        <f>MAX(E712:AE712)</f>
        <v>29</v>
      </c>
      <c r="E712" s="13">
        <v>11</v>
      </c>
      <c r="F712" s="13">
        <v>13</v>
      </c>
      <c r="G712" s="13">
        <v>14</v>
      </c>
      <c r="H712" s="13">
        <v>21</v>
      </c>
      <c r="I712" s="109">
        <v>18</v>
      </c>
      <c r="J712" s="13">
        <v>19</v>
      </c>
      <c r="K712" s="13">
        <v>20</v>
      </c>
      <c r="L712" s="13">
        <v>22</v>
      </c>
      <c r="M712" s="13">
        <v>21</v>
      </c>
      <c r="N712" s="13">
        <v>18</v>
      </c>
      <c r="O712" s="13">
        <v>18</v>
      </c>
      <c r="P712" s="13">
        <v>12</v>
      </c>
      <c r="Q712" s="13">
        <v>24</v>
      </c>
      <c r="R712" s="13">
        <v>25</v>
      </c>
      <c r="S712" s="13">
        <v>12</v>
      </c>
      <c r="T712" s="13">
        <v>29</v>
      </c>
      <c r="U712" s="13">
        <v>19</v>
      </c>
      <c r="V712" s="13">
        <v>19</v>
      </c>
      <c r="W712" s="13">
        <v>22</v>
      </c>
      <c r="X712" s="13">
        <v>17</v>
      </c>
      <c r="Y712" s="13">
        <v>15</v>
      </c>
      <c r="Z712" s="13">
        <v>12</v>
      </c>
      <c r="AA712" s="13">
        <v>19</v>
      </c>
      <c r="AB712" s="13">
        <v>16</v>
      </c>
      <c r="AC712" s="109">
        <v>15</v>
      </c>
      <c r="AD712" s="13">
        <v>19</v>
      </c>
      <c r="AE712" s="110">
        <v>12</v>
      </c>
      <c r="AF712" s="109"/>
      <c r="AG712" s="13"/>
      <c r="AH712" s="13"/>
    </row>
    <row r="713" spans="1:34" ht="12.75" customHeight="1">
      <c r="A713" s="10" t="s">
        <v>453</v>
      </c>
      <c r="B713" s="11">
        <f>AVERAGE(E713:AE713)</f>
        <v>17.851851851851851</v>
      </c>
      <c r="C713" s="2">
        <f>MIN(E713:AE713)</f>
        <v>11</v>
      </c>
      <c r="D713" s="12">
        <f>MAX(E713:AE713)</f>
        <v>29</v>
      </c>
      <c r="E713" s="13">
        <v>11</v>
      </c>
      <c r="F713" s="13">
        <v>13</v>
      </c>
      <c r="G713" s="13">
        <v>14</v>
      </c>
      <c r="H713" s="13">
        <v>21</v>
      </c>
      <c r="I713" s="109">
        <v>18</v>
      </c>
      <c r="J713" s="13">
        <v>19</v>
      </c>
      <c r="K713" s="13">
        <v>20</v>
      </c>
      <c r="L713" s="13">
        <v>22</v>
      </c>
      <c r="M713" s="13">
        <v>21</v>
      </c>
      <c r="N713" s="13">
        <v>18</v>
      </c>
      <c r="O713" s="13">
        <v>18</v>
      </c>
      <c r="P713" s="13">
        <v>12</v>
      </c>
      <c r="Q713" s="13">
        <v>24</v>
      </c>
      <c r="R713" s="13">
        <v>25</v>
      </c>
      <c r="S713" s="13">
        <v>12</v>
      </c>
      <c r="T713" s="13">
        <v>29</v>
      </c>
      <c r="U713" s="13">
        <v>19</v>
      </c>
      <c r="V713" s="13">
        <v>19</v>
      </c>
      <c r="W713" s="13">
        <v>22</v>
      </c>
      <c r="X713" s="13">
        <v>17</v>
      </c>
      <c r="Y713" s="13">
        <v>15</v>
      </c>
      <c r="Z713" s="13">
        <v>12</v>
      </c>
      <c r="AA713" s="13">
        <v>19</v>
      </c>
      <c r="AB713" s="13">
        <v>16</v>
      </c>
      <c r="AC713" s="109">
        <v>15</v>
      </c>
      <c r="AD713" s="13">
        <v>19</v>
      </c>
      <c r="AE713" s="110">
        <v>12</v>
      </c>
      <c r="AF713" s="109"/>
      <c r="AG713" s="13"/>
      <c r="AH713" s="13"/>
    </row>
    <row r="714" spans="1:34" ht="12.75" customHeight="1">
      <c r="A714" s="10" t="s">
        <v>454</v>
      </c>
      <c r="B714" s="11">
        <f>AVERAGE(E714:AE714)</f>
        <v>17.851851851851851</v>
      </c>
      <c r="C714" s="2">
        <f>MIN(E714:AE714)</f>
        <v>11</v>
      </c>
      <c r="D714" s="12">
        <f>MAX(E714:AE714)</f>
        <v>29</v>
      </c>
      <c r="E714" s="13">
        <v>11</v>
      </c>
      <c r="F714" s="13">
        <v>13</v>
      </c>
      <c r="G714" s="13">
        <v>14</v>
      </c>
      <c r="H714" s="13">
        <v>21</v>
      </c>
      <c r="I714" s="109">
        <v>18</v>
      </c>
      <c r="J714" s="13">
        <v>19</v>
      </c>
      <c r="K714" s="13">
        <v>20</v>
      </c>
      <c r="L714" s="13">
        <v>22</v>
      </c>
      <c r="M714" s="13">
        <v>21</v>
      </c>
      <c r="N714" s="13">
        <v>18</v>
      </c>
      <c r="O714" s="13">
        <v>18</v>
      </c>
      <c r="P714" s="13">
        <v>12</v>
      </c>
      <c r="Q714" s="13">
        <v>24</v>
      </c>
      <c r="R714" s="13">
        <v>25</v>
      </c>
      <c r="S714" s="13">
        <v>12</v>
      </c>
      <c r="T714" s="13">
        <v>29</v>
      </c>
      <c r="U714" s="13">
        <v>19</v>
      </c>
      <c r="V714" s="13">
        <v>19</v>
      </c>
      <c r="W714" s="13">
        <v>22</v>
      </c>
      <c r="X714" s="13">
        <v>17</v>
      </c>
      <c r="Y714" s="13">
        <v>15</v>
      </c>
      <c r="Z714" s="13">
        <v>12</v>
      </c>
      <c r="AA714" s="13">
        <v>19</v>
      </c>
      <c r="AB714" s="13">
        <v>16</v>
      </c>
      <c r="AC714" s="109">
        <v>15</v>
      </c>
      <c r="AD714" s="13">
        <v>19</v>
      </c>
      <c r="AE714" s="110">
        <v>12</v>
      </c>
      <c r="AF714" s="109"/>
      <c r="AG714" s="13"/>
      <c r="AH714" s="13"/>
    </row>
    <row r="715" spans="1:34" ht="12.75" customHeight="1">
      <c r="A715" s="10" t="s">
        <v>455</v>
      </c>
      <c r="B715" s="11">
        <f>AVERAGE(E715:AE715)</f>
        <v>17.851851851851851</v>
      </c>
      <c r="C715" s="2">
        <f>MIN(E715:AE715)</f>
        <v>11</v>
      </c>
      <c r="D715" s="12">
        <f>MAX(E715:AE715)</f>
        <v>29</v>
      </c>
      <c r="E715" s="13">
        <v>11</v>
      </c>
      <c r="F715" s="13">
        <v>13</v>
      </c>
      <c r="G715" s="13">
        <v>14</v>
      </c>
      <c r="H715" s="13">
        <v>21</v>
      </c>
      <c r="I715" s="109">
        <v>18</v>
      </c>
      <c r="J715" s="13">
        <v>19</v>
      </c>
      <c r="K715" s="13">
        <v>20</v>
      </c>
      <c r="L715" s="13">
        <v>22</v>
      </c>
      <c r="M715" s="13">
        <v>21</v>
      </c>
      <c r="N715" s="13">
        <v>18</v>
      </c>
      <c r="O715" s="13">
        <v>18</v>
      </c>
      <c r="P715" s="13">
        <v>12</v>
      </c>
      <c r="Q715" s="13">
        <v>24</v>
      </c>
      <c r="R715" s="13">
        <v>25</v>
      </c>
      <c r="S715" s="13">
        <v>12</v>
      </c>
      <c r="T715" s="13">
        <v>29</v>
      </c>
      <c r="U715" s="13">
        <v>19</v>
      </c>
      <c r="V715" s="13">
        <v>19</v>
      </c>
      <c r="W715" s="13">
        <v>22</v>
      </c>
      <c r="X715" s="13">
        <v>17</v>
      </c>
      <c r="Y715" s="13">
        <v>15</v>
      </c>
      <c r="Z715" s="13">
        <v>12</v>
      </c>
      <c r="AA715" s="13">
        <v>19</v>
      </c>
      <c r="AB715" s="13">
        <v>16</v>
      </c>
      <c r="AC715" s="109">
        <v>15</v>
      </c>
      <c r="AD715" s="13">
        <v>19</v>
      </c>
      <c r="AE715" s="110">
        <v>12</v>
      </c>
      <c r="AF715" s="109"/>
      <c r="AG715" s="13"/>
      <c r="AH715" s="13"/>
    </row>
    <row r="716" spans="1:34" ht="12.75" customHeight="1">
      <c r="A716" s="10" t="s">
        <v>456</v>
      </c>
      <c r="B716" s="11">
        <f>AVERAGE(E716:AE716)</f>
        <v>17.851851851851851</v>
      </c>
      <c r="C716" s="2">
        <f>MIN(E716:AE716)</f>
        <v>11</v>
      </c>
      <c r="D716" s="12">
        <f>MAX(E716:AE716)</f>
        <v>29</v>
      </c>
      <c r="E716" s="13">
        <v>11</v>
      </c>
      <c r="F716" s="13">
        <v>13</v>
      </c>
      <c r="G716" s="13">
        <v>14</v>
      </c>
      <c r="H716" s="13">
        <v>21</v>
      </c>
      <c r="I716" s="109">
        <v>18</v>
      </c>
      <c r="J716" s="13">
        <v>19</v>
      </c>
      <c r="K716" s="13">
        <v>20</v>
      </c>
      <c r="L716" s="13">
        <v>22</v>
      </c>
      <c r="M716" s="13">
        <v>21</v>
      </c>
      <c r="N716" s="13">
        <v>18</v>
      </c>
      <c r="O716" s="13">
        <v>18</v>
      </c>
      <c r="P716" s="13">
        <v>12</v>
      </c>
      <c r="Q716" s="13">
        <v>24</v>
      </c>
      <c r="R716" s="13">
        <v>25</v>
      </c>
      <c r="S716" s="13">
        <v>12</v>
      </c>
      <c r="T716" s="13">
        <v>29</v>
      </c>
      <c r="U716" s="13">
        <v>19</v>
      </c>
      <c r="V716" s="13">
        <v>19</v>
      </c>
      <c r="W716" s="13">
        <v>22</v>
      </c>
      <c r="X716" s="13">
        <v>17</v>
      </c>
      <c r="Y716" s="13">
        <v>15</v>
      </c>
      <c r="Z716" s="13">
        <v>12</v>
      </c>
      <c r="AA716" s="13">
        <v>19</v>
      </c>
      <c r="AB716" s="13">
        <v>16</v>
      </c>
      <c r="AC716" s="109">
        <v>15</v>
      </c>
      <c r="AD716" s="13">
        <v>19</v>
      </c>
      <c r="AE716" s="110">
        <v>12</v>
      </c>
      <c r="AF716" s="109"/>
      <c r="AG716" s="13"/>
      <c r="AH716" s="13"/>
    </row>
    <row r="717" spans="1:34" ht="12.75" customHeight="1">
      <c r="A717" s="10" t="s">
        <v>457</v>
      </c>
      <c r="B717" s="11">
        <f>AVERAGE(E717:AE717)</f>
        <v>17.851851851851851</v>
      </c>
      <c r="C717" s="2">
        <f>MIN(E717:AE717)</f>
        <v>11</v>
      </c>
      <c r="D717" s="12">
        <f>MAX(E717:AE717)</f>
        <v>29</v>
      </c>
      <c r="E717" s="13">
        <v>11</v>
      </c>
      <c r="F717" s="13">
        <v>13</v>
      </c>
      <c r="G717" s="13">
        <v>14</v>
      </c>
      <c r="H717" s="13">
        <v>21</v>
      </c>
      <c r="I717" s="109">
        <v>18</v>
      </c>
      <c r="J717" s="13">
        <v>19</v>
      </c>
      <c r="K717" s="13">
        <v>20</v>
      </c>
      <c r="L717" s="13">
        <v>22</v>
      </c>
      <c r="M717" s="13">
        <v>21</v>
      </c>
      <c r="N717" s="13">
        <v>18</v>
      </c>
      <c r="O717" s="13">
        <v>18</v>
      </c>
      <c r="P717" s="13">
        <v>12</v>
      </c>
      <c r="Q717" s="13">
        <v>24</v>
      </c>
      <c r="R717" s="13">
        <v>25</v>
      </c>
      <c r="S717" s="13">
        <v>12</v>
      </c>
      <c r="T717" s="13">
        <v>29</v>
      </c>
      <c r="U717" s="13">
        <v>19</v>
      </c>
      <c r="V717" s="13">
        <v>19</v>
      </c>
      <c r="W717" s="13">
        <v>22</v>
      </c>
      <c r="X717" s="13">
        <v>17</v>
      </c>
      <c r="Y717" s="13">
        <v>15</v>
      </c>
      <c r="Z717" s="13">
        <v>12</v>
      </c>
      <c r="AA717" s="13">
        <v>19</v>
      </c>
      <c r="AB717" s="13">
        <v>16</v>
      </c>
      <c r="AC717" s="109">
        <v>15</v>
      </c>
      <c r="AD717" s="13">
        <v>19</v>
      </c>
      <c r="AE717" s="110">
        <v>12</v>
      </c>
      <c r="AF717" s="109"/>
      <c r="AG717" s="13"/>
      <c r="AH717" s="13"/>
    </row>
    <row r="718" spans="1:34" ht="12.75" customHeight="1">
      <c r="A718" s="10" t="s">
        <v>458</v>
      </c>
      <c r="B718" s="11">
        <f>AVERAGE(E718:AE718)</f>
        <v>17.851851851851851</v>
      </c>
      <c r="C718" s="2">
        <f>MIN(E718:AE718)</f>
        <v>11</v>
      </c>
      <c r="D718" s="12">
        <f>MAX(E718:AE718)</f>
        <v>29</v>
      </c>
      <c r="E718" s="13">
        <v>11</v>
      </c>
      <c r="F718" s="13">
        <v>13</v>
      </c>
      <c r="G718" s="13">
        <v>14</v>
      </c>
      <c r="H718" s="13">
        <v>21</v>
      </c>
      <c r="I718" s="109">
        <v>18</v>
      </c>
      <c r="J718" s="13">
        <v>19</v>
      </c>
      <c r="K718" s="13">
        <v>20</v>
      </c>
      <c r="L718" s="13">
        <v>22</v>
      </c>
      <c r="M718" s="13">
        <v>21</v>
      </c>
      <c r="N718" s="13">
        <v>18</v>
      </c>
      <c r="O718" s="13">
        <v>18</v>
      </c>
      <c r="P718" s="13">
        <v>12</v>
      </c>
      <c r="Q718" s="13">
        <v>24</v>
      </c>
      <c r="R718" s="13">
        <v>25</v>
      </c>
      <c r="S718" s="13">
        <v>12</v>
      </c>
      <c r="T718" s="13">
        <v>29</v>
      </c>
      <c r="U718" s="13">
        <v>19</v>
      </c>
      <c r="V718" s="13">
        <v>19</v>
      </c>
      <c r="W718" s="13">
        <v>22</v>
      </c>
      <c r="X718" s="13">
        <v>17</v>
      </c>
      <c r="Y718" s="13">
        <v>15</v>
      </c>
      <c r="Z718" s="13">
        <v>12</v>
      </c>
      <c r="AA718" s="13">
        <v>19</v>
      </c>
      <c r="AB718" s="13">
        <v>16</v>
      </c>
      <c r="AC718" s="109">
        <v>15</v>
      </c>
      <c r="AD718" s="13">
        <v>19</v>
      </c>
      <c r="AE718" s="110">
        <v>12</v>
      </c>
      <c r="AF718" s="109"/>
      <c r="AG718" s="13"/>
      <c r="AH718" s="13"/>
    </row>
    <row r="719" spans="1:34" ht="12.75" customHeight="1">
      <c r="A719" s="10" t="s">
        <v>459</v>
      </c>
      <c r="B719" s="11">
        <f>AVERAGE(E719:AE719)</f>
        <v>17.851851851851851</v>
      </c>
      <c r="C719" s="2">
        <f>MIN(E719:AE719)</f>
        <v>11</v>
      </c>
      <c r="D719" s="12">
        <f>MAX(E719:AE719)</f>
        <v>29</v>
      </c>
      <c r="E719" s="13">
        <v>11</v>
      </c>
      <c r="F719" s="13">
        <v>13</v>
      </c>
      <c r="G719" s="13">
        <v>14</v>
      </c>
      <c r="H719" s="13">
        <v>21</v>
      </c>
      <c r="I719" s="109">
        <v>18</v>
      </c>
      <c r="J719" s="13">
        <v>19</v>
      </c>
      <c r="K719" s="13">
        <v>20</v>
      </c>
      <c r="L719" s="13">
        <v>22</v>
      </c>
      <c r="M719" s="13">
        <v>21</v>
      </c>
      <c r="N719" s="13">
        <v>18</v>
      </c>
      <c r="O719" s="13">
        <v>18</v>
      </c>
      <c r="P719" s="13">
        <v>12</v>
      </c>
      <c r="Q719" s="13">
        <v>24</v>
      </c>
      <c r="R719" s="13">
        <v>25</v>
      </c>
      <c r="S719" s="13">
        <v>12</v>
      </c>
      <c r="T719" s="13">
        <v>29</v>
      </c>
      <c r="U719" s="13">
        <v>19</v>
      </c>
      <c r="V719" s="13">
        <v>19</v>
      </c>
      <c r="W719" s="13">
        <v>22</v>
      </c>
      <c r="X719" s="13">
        <v>17</v>
      </c>
      <c r="Y719" s="13">
        <v>15</v>
      </c>
      <c r="Z719" s="13">
        <v>12</v>
      </c>
      <c r="AA719" s="13">
        <v>19</v>
      </c>
      <c r="AB719" s="13">
        <v>16</v>
      </c>
      <c r="AC719" s="109">
        <v>15</v>
      </c>
      <c r="AD719" s="13">
        <v>19</v>
      </c>
      <c r="AE719" s="110">
        <v>12</v>
      </c>
      <c r="AF719" s="109"/>
      <c r="AG719" s="13"/>
      <c r="AH719" s="13"/>
    </row>
    <row r="720" spans="1:34" ht="12.75" customHeight="1">
      <c r="A720" s="10" t="s">
        <v>460</v>
      </c>
      <c r="B720" s="11">
        <f>AVERAGE(E720:AE720)</f>
        <v>17.851851851851851</v>
      </c>
      <c r="C720" s="2">
        <f>MIN(E720:AE720)</f>
        <v>11</v>
      </c>
      <c r="D720" s="12">
        <f>MAX(E720:AE720)</f>
        <v>29</v>
      </c>
      <c r="E720" s="13">
        <v>11</v>
      </c>
      <c r="F720" s="13">
        <v>13</v>
      </c>
      <c r="G720" s="13">
        <v>14</v>
      </c>
      <c r="H720" s="13">
        <v>21</v>
      </c>
      <c r="I720" s="109">
        <v>18</v>
      </c>
      <c r="J720" s="13">
        <v>19</v>
      </c>
      <c r="K720" s="13">
        <v>20</v>
      </c>
      <c r="L720" s="13">
        <v>22</v>
      </c>
      <c r="M720" s="13">
        <v>21</v>
      </c>
      <c r="N720" s="13">
        <v>18</v>
      </c>
      <c r="O720" s="13">
        <v>18</v>
      </c>
      <c r="P720" s="13">
        <v>12</v>
      </c>
      <c r="Q720" s="13">
        <v>24</v>
      </c>
      <c r="R720" s="13">
        <v>25</v>
      </c>
      <c r="S720" s="13">
        <v>12</v>
      </c>
      <c r="T720" s="13">
        <v>29</v>
      </c>
      <c r="U720" s="13">
        <v>19</v>
      </c>
      <c r="V720" s="13">
        <v>19</v>
      </c>
      <c r="W720" s="13">
        <v>22</v>
      </c>
      <c r="X720" s="13">
        <v>17</v>
      </c>
      <c r="Y720" s="13">
        <v>15</v>
      </c>
      <c r="Z720" s="13">
        <v>12</v>
      </c>
      <c r="AA720" s="13">
        <v>19</v>
      </c>
      <c r="AB720" s="13">
        <v>16</v>
      </c>
      <c r="AC720" s="109">
        <v>15</v>
      </c>
      <c r="AD720" s="13">
        <v>19</v>
      </c>
      <c r="AE720" s="110">
        <v>12</v>
      </c>
      <c r="AF720" s="109"/>
      <c r="AG720" s="13"/>
      <c r="AH720" s="13"/>
    </row>
    <row r="721" spans="1:34" ht="12.75" customHeight="1">
      <c r="A721" s="10" t="s">
        <v>461</v>
      </c>
      <c r="B721" s="11">
        <f>AVERAGE(E721:AE721)</f>
        <v>17.851851851851851</v>
      </c>
      <c r="C721" s="2">
        <f>MIN(E721:AE721)</f>
        <v>11</v>
      </c>
      <c r="D721" s="12">
        <f>MAX(E721:AE721)</f>
        <v>29</v>
      </c>
      <c r="E721" s="13">
        <v>11</v>
      </c>
      <c r="F721" s="13">
        <v>13</v>
      </c>
      <c r="G721" s="13">
        <v>14</v>
      </c>
      <c r="H721" s="13">
        <v>21</v>
      </c>
      <c r="I721" s="109">
        <v>18</v>
      </c>
      <c r="J721" s="13">
        <v>19</v>
      </c>
      <c r="K721" s="13">
        <v>20</v>
      </c>
      <c r="L721" s="13">
        <v>22</v>
      </c>
      <c r="M721" s="13">
        <v>21</v>
      </c>
      <c r="N721" s="13">
        <v>18</v>
      </c>
      <c r="O721" s="13">
        <v>18</v>
      </c>
      <c r="P721" s="13">
        <v>12</v>
      </c>
      <c r="Q721" s="13">
        <v>24</v>
      </c>
      <c r="R721" s="13">
        <v>25</v>
      </c>
      <c r="S721" s="13">
        <v>12</v>
      </c>
      <c r="T721" s="13">
        <v>29</v>
      </c>
      <c r="U721" s="13">
        <v>19</v>
      </c>
      <c r="V721" s="13">
        <v>19</v>
      </c>
      <c r="W721" s="13">
        <v>22</v>
      </c>
      <c r="X721" s="13">
        <v>17</v>
      </c>
      <c r="Y721" s="13">
        <v>15</v>
      </c>
      <c r="Z721" s="13">
        <v>12</v>
      </c>
      <c r="AA721" s="13">
        <v>19</v>
      </c>
      <c r="AB721" s="13">
        <v>16</v>
      </c>
      <c r="AC721" s="109">
        <v>15</v>
      </c>
      <c r="AD721" s="13">
        <v>19</v>
      </c>
      <c r="AE721" s="110">
        <v>12</v>
      </c>
      <c r="AF721" s="109"/>
      <c r="AG721" s="13"/>
      <c r="AH721" s="13"/>
    </row>
    <row r="722" spans="1:34" ht="12.75" customHeight="1">
      <c r="A722" s="10" t="s">
        <v>462</v>
      </c>
      <c r="B722" s="11">
        <f>AVERAGE(E722:AE722)</f>
        <v>17.851851851851851</v>
      </c>
      <c r="C722" s="2">
        <f>MIN(E722:AE722)</f>
        <v>11</v>
      </c>
      <c r="D722" s="12">
        <f>MAX(E722:AE722)</f>
        <v>29</v>
      </c>
      <c r="E722" s="13">
        <v>11</v>
      </c>
      <c r="F722" s="13">
        <v>13</v>
      </c>
      <c r="G722" s="13">
        <v>14</v>
      </c>
      <c r="H722" s="13">
        <v>21</v>
      </c>
      <c r="I722" s="109">
        <v>18</v>
      </c>
      <c r="J722" s="13">
        <v>19</v>
      </c>
      <c r="K722" s="13">
        <v>20</v>
      </c>
      <c r="L722" s="13">
        <v>22</v>
      </c>
      <c r="M722" s="13">
        <v>21</v>
      </c>
      <c r="N722" s="13">
        <v>18</v>
      </c>
      <c r="O722" s="13">
        <v>18</v>
      </c>
      <c r="P722" s="13">
        <v>12</v>
      </c>
      <c r="Q722" s="13">
        <v>24</v>
      </c>
      <c r="R722" s="13">
        <v>25</v>
      </c>
      <c r="S722" s="13">
        <v>12</v>
      </c>
      <c r="T722" s="13">
        <v>29</v>
      </c>
      <c r="U722" s="13">
        <v>19</v>
      </c>
      <c r="V722" s="13">
        <v>19</v>
      </c>
      <c r="W722" s="13">
        <v>22</v>
      </c>
      <c r="X722" s="13">
        <v>17</v>
      </c>
      <c r="Y722" s="13">
        <v>15</v>
      </c>
      <c r="Z722" s="13">
        <v>12</v>
      </c>
      <c r="AA722" s="13">
        <v>19</v>
      </c>
      <c r="AB722" s="13">
        <v>16</v>
      </c>
      <c r="AC722" s="109">
        <v>15</v>
      </c>
      <c r="AD722" s="13">
        <v>19</v>
      </c>
      <c r="AE722" s="110">
        <v>12</v>
      </c>
      <c r="AF722" s="109"/>
      <c r="AG722" s="13"/>
      <c r="AH722" s="13"/>
    </row>
    <row r="723" spans="1:34" ht="12.75" customHeight="1">
      <c r="A723" s="10" t="s">
        <v>463</v>
      </c>
      <c r="B723" s="11">
        <f>AVERAGE(E723:AE723)</f>
        <v>17.851851851851851</v>
      </c>
      <c r="C723" s="2">
        <f>MIN(E723:AE723)</f>
        <v>11</v>
      </c>
      <c r="D723" s="12">
        <f>MAX(E723:AE723)</f>
        <v>29</v>
      </c>
      <c r="E723" s="13">
        <v>11</v>
      </c>
      <c r="F723" s="13">
        <v>13</v>
      </c>
      <c r="G723" s="13">
        <v>14</v>
      </c>
      <c r="H723" s="13">
        <v>21</v>
      </c>
      <c r="I723" s="109">
        <v>18</v>
      </c>
      <c r="J723" s="13">
        <v>19</v>
      </c>
      <c r="K723" s="13">
        <v>20</v>
      </c>
      <c r="L723" s="13">
        <v>22</v>
      </c>
      <c r="M723" s="13">
        <v>21</v>
      </c>
      <c r="N723" s="13">
        <v>18</v>
      </c>
      <c r="O723" s="13">
        <v>18</v>
      </c>
      <c r="P723" s="13">
        <v>12</v>
      </c>
      <c r="Q723" s="13">
        <v>24</v>
      </c>
      <c r="R723" s="13">
        <v>25</v>
      </c>
      <c r="S723" s="13">
        <v>12</v>
      </c>
      <c r="T723" s="13">
        <v>29</v>
      </c>
      <c r="U723" s="13">
        <v>19</v>
      </c>
      <c r="V723" s="13">
        <v>19</v>
      </c>
      <c r="W723" s="13">
        <v>22</v>
      </c>
      <c r="X723" s="13">
        <v>17</v>
      </c>
      <c r="Y723" s="13">
        <v>15</v>
      </c>
      <c r="Z723" s="13">
        <v>12</v>
      </c>
      <c r="AA723" s="13">
        <v>19</v>
      </c>
      <c r="AB723" s="13">
        <v>16</v>
      </c>
      <c r="AC723" s="109">
        <v>15</v>
      </c>
      <c r="AD723" s="13">
        <v>19</v>
      </c>
      <c r="AE723" s="110">
        <v>12</v>
      </c>
      <c r="AF723" s="109"/>
      <c r="AG723" s="13"/>
      <c r="AH723" s="13"/>
    </row>
    <row r="724" spans="1:34" ht="12.75" customHeight="1">
      <c r="A724" s="10" t="s">
        <v>464</v>
      </c>
      <c r="B724" s="11">
        <f>AVERAGE(E724:AE724)</f>
        <v>17.851851851851851</v>
      </c>
      <c r="C724" s="2">
        <f>MIN(E724:AE724)</f>
        <v>11</v>
      </c>
      <c r="D724" s="12">
        <f>MAX(E724:AE724)</f>
        <v>29</v>
      </c>
      <c r="E724" s="13">
        <v>11</v>
      </c>
      <c r="F724" s="13">
        <v>13</v>
      </c>
      <c r="G724" s="13">
        <v>14</v>
      </c>
      <c r="H724" s="13">
        <v>21</v>
      </c>
      <c r="I724" s="109">
        <v>18</v>
      </c>
      <c r="J724" s="13">
        <v>19</v>
      </c>
      <c r="K724" s="13">
        <v>20</v>
      </c>
      <c r="L724" s="13">
        <v>22</v>
      </c>
      <c r="M724" s="13">
        <v>21</v>
      </c>
      <c r="N724" s="13">
        <v>18</v>
      </c>
      <c r="O724" s="13">
        <v>18</v>
      </c>
      <c r="P724" s="13">
        <v>12</v>
      </c>
      <c r="Q724" s="13">
        <v>24</v>
      </c>
      <c r="R724" s="13">
        <v>25</v>
      </c>
      <c r="S724" s="13">
        <v>12</v>
      </c>
      <c r="T724" s="13">
        <v>29</v>
      </c>
      <c r="U724" s="13">
        <v>19</v>
      </c>
      <c r="V724" s="13">
        <v>19</v>
      </c>
      <c r="W724" s="13">
        <v>22</v>
      </c>
      <c r="X724" s="13">
        <v>17</v>
      </c>
      <c r="Y724" s="13">
        <v>15</v>
      </c>
      <c r="Z724" s="13">
        <v>12</v>
      </c>
      <c r="AA724" s="13">
        <v>19</v>
      </c>
      <c r="AB724" s="13">
        <v>16</v>
      </c>
      <c r="AC724" s="109">
        <v>15</v>
      </c>
      <c r="AD724" s="13">
        <v>19</v>
      </c>
      <c r="AE724" s="110">
        <v>12</v>
      </c>
      <c r="AF724" s="109"/>
      <c r="AG724" s="13"/>
      <c r="AH724" s="13"/>
    </row>
    <row r="725" spans="1:34" ht="12.75" customHeight="1">
      <c r="A725" s="10" t="s">
        <v>465</v>
      </c>
      <c r="B725" s="11">
        <f>AVERAGE(E725:AE725)</f>
        <v>17.888888888888889</v>
      </c>
      <c r="C725" s="2">
        <f>MIN(E725:AE725)</f>
        <v>11</v>
      </c>
      <c r="D725" s="12">
        <f>MAX(E725:AE725)</f>
        <v>29</v>
      </c>
      <c r="E725" s="13">
        <v>11</v>
      </c>
      <c r="F725" s="13">
        <v>13</v>
      </c>
      <c r="G725" s="13">
        <v>14</v>
      </c>
      <c r="H725" s="13">
        <v>21</v>
      </c>
      <c r="I725" s="109">
        <v>19</v>
      </c>
      <c r="J725" s="13">
        <v>19</v>
      </c>
      <c r="K725" s="13">
        <v>20</v>
      </c>
      <c r="L725" s="13">
        <v>22</v>
      </c>
      <c r="M725" s="13">
        <v>21</v>
      </c>
      <c r="N725" s="13">
        <v>18</v>
      </c>
      <c r="O725" s="13">
        <v>18</v>
      </c>
      <c r="P725" s="13">
        <v>12</v>
      </c>
      <c r="Q725" s="13">
        <v>24</v>
      </c>
      <c r="R725" s="13">
        <v>25</v>
      </c>
      <c r="S725" s="13">
        <v>12</v>
      </c>
      <c r="T725" s="13">
        <v>29</v>
      </c>
      <c r="U725" s="13">
        <v>19</v>
      </c>
      <c r="V725" s="13">
        <v>19</v>
      </c>
      <c r="W725" s="13">
        <v>22</v>
      </c>
      <c r="X725" s="13">
        <v>17</v>
      </c>
      <c r="Y725" s="13">
        <v>15</v>
      </c>
      <c r="Z725" s="13">
        <v>12</v>
      </c>
      <c r="AA725" s="13">
        <v>19</v>
      </c>
      <c r="AB725" s="13">
        <v>16</v>
      </c>
      <c r="AC725" s="109">
        <v>15</v>
      </c>
      <c r="AD725" s="13">
        <v>19</v>
      </c>
      <c r="AE725" s="110">
        <v>12</v>
      </c>
      <c r="AF725" s="109"/>
      <c r="AG725" s="13"/>
      <c r="AH725" s="13"/>
    </row>
    <row r="726" spans="1:34" ht="12.75" customHeight="1">
      <c r="A726" s="10" t="s">
        <v>466</v>
      </c>
      <c r="B726" s="11">
        <f>AVERAGE(E726:AE726)</f>
        <v>17.888888888888889</v>
      </c>
      <c r="C726" s="2">
        <f>MIN(E726:AE726)</f>
        <v>11</v>
      </c>
      <c r="D726" s="12">
        <f>MAX(E726:AE726)</f>
        <v>29</v>
      </c>
      <c r="E726" s="13">
        <v>11</v>
      </c>
      <c r="F726" s="13">
        <v>13</v>
      </c>
      <c r="G726" s="13">
        <v>14</v>
      </c>
      <c r="H726" s="13">
        <v>21</v>
      </c>
      <c r="I726" s="109">
        <v>19</v>
      </c>
      <c r="J726" s="13">
        <v>19</v>
      </c>
      <c r="K726" s="13">
        <v>20</v>
      </c>
      <c r="L726" s="13">
        <v>22</v>
      </c>
      <c r="M726" s="13">
        <v>21</v>
      </c>
      <c r="N726" s="13">
        <v>18</v>
      </c>
      <c r="O726" s="13">
        <v>18</v>
      </c>
      <c r="P726" s="13">
        <v>12</v>
      </c>
      <c r="Q726" s="13">
        <v>24</v>
      </c>
      <c r="R726" s="13">
        <v>25</v>
      </c>
      <c r="S726" s="13">
        <v>12</v>
      </c>
      <c r="T726" s="13">
        <v>29</v>
      </c>
      <c r="U726" s="13">
        <v>19</v>
      </c>
      <c r="V726" s="13">
        <v>19</v>
      </c>
      <c r="W726" s="13">
        <v>22</v>
      </c>
      <c r="X726" s="13">
        <v>17</v>
      </c>
      <c r="Y726" s="13">
        <v>15</v>
      </c>
      <c r="Z726" s="13">
        <v>12</v>
      </c>
      <c r="AA726" s="13">
        <v>19</v>
      </c>
      <c r="AB726" s="13">
        <v>16</v>
      </c>
      <c r="AC726" s="109">
        <v>15</v>
      </c>
      <c r="AD726" s="13">
        <v>19</v>
      </c>
      <c r="AE726" s="110">
        <v>12</v>
      </c>
      <c r="AF726" s="109"/>
      <c r="AG726" s="13"/>
      <c r="AH726" s="13"/>
    </row>
    <row r="727" spans="1:34" ht="12.75" customHeight="1">
      <c r="A727" s="10" t="s">
        <v>467</v>
      </c>
      <c r="B727" s="11">
        <f>AVERAGE(E727:AE727)</f>
        <v>17.888888888888889</v>
      </c>
      <c r="C727" s="2">
        <f>MIN(E727:AE727)</f>
        <v>11</v>
      </c>
      <c r="D727" s="12">
        <f>MAX(E727:AE727)</f>
        <v>29</v>
      </c>
      <c r="E727" s="13">
        <v>11</v>
      </c>
      <c r="F727" s="13">
        <v>13</v>
      </c>
      <c r="G727" s="13">
        <v>14</v>
      </c>
      <c r="H727" s="13">
        <v>21</v>
      </c>
      <c r="I727" s="109">
        <v>19</v>
      </c>
      <c r="J727" s="13">
        <v>19</v>
      </c>
      <c r="K727" s="13">
        <v>20</v>
      </c>
      <c r="L727" s="13">
        <v>22</v>
      </c>
      <c r="M727" s="13">
        <v>21</v>
      </c>
      <c r="N727" s="13">
        <v>18</v>
      </c>
      <c r="O727" s="13">
        <v>18</v>
      </c>
      <c r="P727" s="13">
        <v>12</v>
      </c>
      <c r="Q727" s="13">
        <v>24</v>
      </c>
      <c r="R727" s="13">
        <v>25</v>
      </c>
      <c r="S727" s="13">
        <v>12</v>
      </c>
      <c r="T727" s="13">
        <v>29</v>
      </c>
      <c r="U727" s="13">
        <v>19</v>
      </c>
      <c r="V727" s="13">
        <v>19</v>
      </c>
      <c r="W727" s="13">
        <v>22</v>
      </c>
      <c r="X727" s="13">
        <v>17</v>
      </c>
      <c r="Y727" s="13">
        <v>15</v>
      </c>
      <c r="Z727" s="13">
        <v>12</v>
      </c>
      <c r="AA727" s="13">
        <v>19</v>
      </c>
      <c r="AB727" s="13">
        <v>16</v>
      </c>
      <c r="AC727" s="109">
        <v>15</v>
      </c>
      <c r="AD727" s="13">
        <v>19</v>
      </c>
      <c r="AE727" s="110">
        <v>12</v>
      </c>
      <c r="AF727" s="109"/>
      <c r="AG727" s="13"/>
      <c r="AH727" s="13"/>
    </row>
    <row r="728" spans="1:34" ht="12.75" customHeight="1">
      <c r="A728" s="10" t="s">
        <v>468</v>
      </c>
      <c r="B728" s="11">
        <f>AVERAGE(E728:AE728)</f>
        <v>17.888888888888889</v>
      </c>
      <c r="C728" s="2">
        <f>MIN(E728:AE728)</f>
        <v>11</v>
      </c>
      <c r="D728" s="12">
        <f>MAX(E728:AE728)</f>
        <v>29</v>
      </c>
      <c r="E728" s="13">
        <v>11</v>
      </c>
      <c r="F728" s="13">
        <v>13</v>
      </c>
      <c r="G728" s="13">
        <v>14</v>
      </c>
      <c r="H728" s="13">
        <v>21</v>
      </c>
      <c r="I728" s="109">
        <v>19</v>
      </c>
      <c r="J728" s="13">
        <v>19</v>
      </c>
      <c r="K728" s="13">
        <v>20</v>
      </c>
      <c r="L728" s="13">
        <v>22</v>
      </c>
      <c r="M728" s="13">
        <v>21</v>
      </c>
      <c r="N728" s="13">
        <v>18</v>
      </c>
      <c r="O728" s="13">
        <v>18</v>
      </c>
      <c r="P728" s="13">
        <v>12</v>
      </c>
      <c r="Q728" s="13">
        <v>24</v>
      </c>
      <c r="R728" s="13">
        <v>25</v>
      </c>
      <c r="S728" s="13">
        <v>12</v>
      </c>
      <c r="T728" s="13">
        <v>29</v>
      </c>
      <c r="U728" s="13">
        <v>19</v>
      </c>
      <c r="V728" s="13">
        <v>19</v>
      </c>
      <c r="W728" s="13">
        <v>22</v>
      </c>
      <c r="X728" s="13">
        <v>17</v>
      </c>
      <c r="Y728" s="13">
        <v>15</v>
      </c>
      <c r="Z728" s="13">
        <v>12</v>
      </c>
      <c r="AA728" s="13">
        <v>19</v>
      </c>
      <c r="AB728" s="13">
        <v>16</v>
      </c>
      <c r="AC728" s="109">
        <v>15</v>
      </c>
      <c r="AD728" s="13">
        <v>19</v>
      </c>
      <c r="AE728" s="110">
        <v>12</v>
      </c>
      <c r="AF728" s="109"/>
      <c r="AG728" s="13"/>
      <c r="AH728" s="13"/>
    </row>
    <row r="729" spans="1:34" ht="12.75" customHeight="1">
      <c r="A729" s="10" t="s">
        <v>469</v>
      </c>
      <c r="B729" s="11">
        <f>AVERAGE(E729:AE729)</f>
        <v>17.888888888888889</v>
      </c>
      <c r="C729" s="2">
        <f>MIN(E729:AE729)</f>
        <v>11</v>
      </c>
      <c r="D729" s="12">
        <f>MAX(E729:AE729)</f>
        <v>29</v>
      </c>
      <c r="E729" s="13">
        <v>11</v>
      </c>
      <c r="F729" s="13">
        <v>13</v>
      </c>
      <c r="G729" s="13">
        <v>14</v>
      </c>
      <c r="H729" s="13">
        <v>21</v>
      </c>
      <c r="I729" s="109">
        <v>19</v>
      </c>
      <c r="J729" s="13">
        <v>19</v>
      </c>
      <c r="K729" s="13">
        <v>20</v>
      </c>
      <c r="L729" s="13">
        <v>22</v>
      </c>
      <c r="M729" s="13">
        <v>21</v>
      </c>
      <c r="N729" s="13">
        <v>18</v>
      </c>
      <c r="O729" s="13">
        <v>18</v>
      </c>
      <c r="P729" s="13">
        <v>12</v>
      </c>
      <c r="Q729" s="13">
        <v>24</v>
      </c>
      <c r="R729" s="13">
        <v>25</v>
      </c>
      <c r="S729" s="13">
        <v>12</v>
      </c>
      <c r="T729" s="13">
        <v>29</v>
      </c>
      <c r="U729" s="13">
        <v>19</v>
      </c>
      <c r="V729" s="13">
        <v>19</v>
      </c>
      <c r="W729" s="13">
        <v>22</v>
      </c>
      <c r="X729" s="13">
        <v>17</v>
      </c>
      <c r="Y729" s="13">
        <v>15</v>
      </c>
      <c r="Z729" s="13">
        <v>12</v>
      </c>
      <c r="AA729" s="13">
        <v>19</v>
      </c>
      <c r="AB729" s="13">
        <v>16</v>
      </c>
      <c r="AC729" s="109">
        <v>15</v>
      </c>
      <c r="AD729" s="13">
        <v>19</v>
      </c>
      <c r="AE729" s="110">
        <v>12</v>
      </c>
      <c r="AF729" s="109"/>
      <c r="AG729" s="13"/>
      <c r="AH729" s="13"/>
    </row>
    <row r="730" spans="1:34" ht="12.75" customHeight="1">
      <c r="A730" s="10" t="s">
        <v>470</v>
      </c>
      <c r="B730" s="11">
        <f>AVERAGE(E730:AE730)</f>
        <v>17.888888888888889</v>
      </c>
      <c r="C730" s="2">
        <f>MIN(E730:AE730)</f>
        <v>11</v>
      </c>
      <c r="D730" s="12">
        <f>MAX(E730:AE730)</f>
        <v>29</v>
      </c>
      <c r="E730" s="13">
        <v>11</v>
      </c>
      <c r="F730" s="13">
        <v>13</v>
      </c>
      <c r="G730" s="13">
        <v>14</v>
      </c>
      <c r="H730" s="13">
        <v>21</v>
      </c>
      <c r="I730" s="13">
        <v>19</v>
      </c>
      <c r="J730" s="13">
        <v>19</v>
      </c>
      <c r="K730" s="13">
        <v>20</v>
      </c>
      <c r="L730" s="13">
        <v>22</v>
      </c>
      <c r="M730" s="13">
        <v>21</v>
      </c>
      <c r="N730" s="13">
        <v>18</v>
      </c>
      <c r="O730" s="13">
        <v>18</v>
      </c>
      <c r="P730" s="13">
        <v>12</v>
      </c>
      <c r="Q730" s="13">
        <v>24</v>
      </c>
      <c r="R730" s="13">
        <v>25</v>
      </c>
      <c r="S730" s="13">
        <v>12</v>
      </c>
      <c r="T730" s="13">
        <v>29</v>
      </c>
      <c r="U730" s="13">
        <v>19</v>
      </c>
      <c r="V730" s="13">
        <v>19</v>
      </c>
      <c r="W730" s="13">
        <v>22</v>
      </c>
      <c r="X730" s="13">
        <v>17</v>
      </c>
      <c r="Y730" s="13">
        <v>15</v>
      </c>
      <c r="Z730" s="13">
        <v>12</v>
      </c>
      <c r="AA730" s="13">
        <v>19</v>
      </c>
      <c r="AB730" s="13">
        <v>16</v>
      </c>
      <c r="AC730" s="109">
        <v>15</v>
      </c>
      <c r="AD730" s="13">
        <v>19</v>
      </c>
      <c r="AE730" s="110">
        <v>12</v>
      </c>
      <c r="AF730" s="109"/>
      <c r="AG730" s="13"/>
      <c r="AH730" s="13"/>
    </row>
    <row r="731" spans="1:34" ht="12.75" customHeight="1">
      <c r="A731" s="10" t="s">
        <v>471</v>
      </c>
      <c r="B731" s="11">
        <f>AVERAGE(E731:AE731)</f>
        <v>17.925925925925927</v>
      </c>
      <c r="C731" s="2">
        <f>MIN(E731:AE731)</f>
        <v>11</v>
      </c>
      <c r="D731" s="12">
        <f>MAX(E731:AE731)</f>
        <v>29</v>
      </c>
      <c r="E731" s="13">
        <v>11</v>
      </c>
      <c r="F731" s="13">
        <v>13</v>
      </c>
      <c r="G731" s="13">
        <v>14</v>
      </c>
      <c r="H731" s="13">
        <v>21</v>
      </c>
      <c r="I731" s="13">
        <v>19</v>
      </c>
      <c r="J731" s="13">
        <v>19</v>
      </c>
      <c r="K731" s="13">
        <v>20</v>
      </c>
      <c r="L731" s="13">
        <v>22</v>
      </c>
      <c r="M731" s="13">
        <v>21</v>
      </c>
      <c r="N731" s="13">
        <v>18</v>
      </c>
      <c r="O731" s="13">
        <v>18</v>
      </c>
      <c r="P731" s="13">
        <v>12</v>
      </c>
      <c r="Q731" s="13">
        <v>24</v>
      </c>
      <c r="R731" s="13">
        <v>25</v>
      </c>
      <c r="S731" s="13">
        <v>12</v>
      </c>
      <c r="T731" s="13">
        <v>29</v>
      </c>
      <c r="U731" s="13">
        <v>19</v>
      </c>
      <c r="V731" s="13">
        <v>19</v>
      </c>
      <c r="W731" s="13">
        <v>22</v>
      </c>
      <c r="X731" s="13">
        <v>17</v>
      </c>
      <c r="Y731" s="13">
        <v>15</v>
      </c>
      <c r="Z731" s="13">
        <v>12</v>
      </c>
      <c r="AA731" s="13">
        <v>19</v>
      </c>
      <c r="AB731" s="13">
        <v>16</v>
      </c>
      <c r="AC731" s="109">
        <v>16</v>
      </c>
      <c r="AD731" s="13">
        <v>19</v>
      </c>
      <c r="AE731" s="110">
        <v>12</v>
      </c>
      <c r="AF731" s="109"/>
      <c r="AG731" s="13"/>
      <c r="AH731" s="13"/>
    </row>
    <row r="732" spans="1:34" ht="12.75" customHeight="1">
      <c r="A732" s="10" t="s">
        <v>472</v>
      </c>
      <c r="B732" s="11">
        <f>AVERAGE(E732:AE732)</f>
        <v>17.925925925925927</v>
      </c>
      <c r="C732" s="2">
        <f>MIN(E732:AE732)</f>
        <v>11</v>
      </c>
      <c r="D732" s="12">
        <f>MAX(E732:AE732)</f>
        <v>29</v>
      </c>
      <c r="E732" s="13">
        <v>11</v>
      </c>
      <c r="F732" s="13">
        <v>13</v>
      </c>
      <c r="G732" s="13">
        <v>14</v>
      </c>
      <c r="H732" s="13">
        <v>21</v>
      </c>
      <c r="I732" s="13">
        <v>19</v>
      </c>
      <c r="J732" s="13">
        <v>19</v>
      </c>
      <c r="K732" s="13">
        <v>20</v>
      </c>
      <c r="L732" s="13">
        <v>22</v>
      </c>
      <c r="M732" s="13">
        <v>21</v>
      </c>
      <c r="N732" s="13">
        <v>18</v>
      </c>
      <c r="O732" s="13">
        <v>18</v>
      </c>
      <c r="P732" s="13">
        <v>12</v>
      </c>
      <c r="Q732" s="13">
        <v>24</v>
      </c>
      <c r="R732" s="13">
        <v>25</v>
      </c>
      <c r="S732" s="13">
        <v>12</v>
      </c>
      <c r="T732" s="13">
        <v>29</v>
      </c>
      <c r="U732" s="13">
        <v>19</v>
      </c>
      <c r="V732" s="13">
        <v>19</v>
      </c>
      <c r="W732" s="13">
        <v>22</v>
      </c>
      <c r="X732" s="13">
        <v>17</v>
      </c>
      <c r="Y732" s="13">
        <v>15</v>
      </c>
      <c r="Z732" s="13">
        <v>12</v>
      </c>
      <c r="AA732" s="13">
        <v>19</v>
      </c>
      <c r="AB732" s="13">
        <v>16</v>
      </c>
      <c r="AC732" s="109">
        <v>16</v>
      </c>
      <c r="AD732" s="13">
        <v>19</v>
      </c>
      <c r="AE732" s="110">
        <v>12</v>
      </c>
      <c r="AF732" s="109"/>
      <c r="AG732" s="13"/>
      <c r="AH732" s="13"/>
    </row>
    <row r="733" spans="1:34" ht="12.75" customHeight="1">
      <c r="A733" s="10" t="s">
        <v>473</v>
      </c>
      <c r="B733" s="11">
        <f>AVERAGE(E733:AE733)</f>
        <v>17.925925925925927</v>
      </c>
      <c r="C733" s="2">
        <f>MIN(E733:AE733)</f>
        <v>11</v>
      </c>
      <c r="D733" s="12">
        <f>MAX(E733:AE733)</f>
        <v>29</v>
      </c>
      <c r="E733" s="13">
        <v>11</v>
      </c>
      <c r="F733" s="13">
        <v>13</v>
      </c>
      <c r="G733" s="13">
        <v>14</v>
      </c>
      <c r="H733" s="13">
        <v>21</v>
      </c>
      <c r="I733" s="13">
        <v>19</v>
      </c>
      <c r="J733" s="13">
        <v>19</v>
      </c>
      <c r="K733" s="13">
        <v>20</v>
      </c>
      <c r="L733" s="13">
        <v>22</v>
      </c>
      <c r="M733" s="13">
        <v>21</v>
      </c>
      <c r="N733" s="13">
        <v>18</v>
      </c>
      <c r="O733" s="13">
        <v>18</v>
      </c>
      <c r="P733" s="13">
        <v>12</v>
      </c>
      <c r="Q733" s="13">
        <v>24</v>
      </c>
      <c r="R733" s="13">
        <v>25</v>
      </c>
      <c r="S733" s="13">
        <v>12</v>
      </c>
      <c r="T733" s="13">
        <v>29</v>
      </c>
      <c r="U733" s="13">
        <v>19</v>
      </c>
      <c r="V733" s="13">
        <v>19</v>
      </c>
      <c r="W733" s="13">
        <v>22</v>
      </c>
      <c r="X733" s="13">
        <v>17</v>
      </c>
      <c r="Y733" s="13">
        <v>15</v>
      </c>
      <c r="Z733" s="13">
        <v>12</v>
      </c>
      <c r="AA733" s="13">
        <v>19</v>
      </c>
      <c r="AB733" s="13">
        <v>16</v>
      </c>
      <c r="AC733" s="109">
        <v>16</v>
      </c>
      <c r="AD733" s="13">
        <v>19</v>
      </c>
      <c r="AE733" s="110">
        <v>12</v>
      </c>
      <c r="AF733" s="109"/>
      <c r="AG733" s="13"/>
      <c r="AH733" s="13"/>
    </row>
    <row r="734" spans="1:34" ht="12.75" customHeight="1">
      <c r="A734" s="10" t="s">
        <v>474</v>
      </c>
      <c r="B734" s="11">
        <f>AVERAGE(E734:AE734)</f>
        <v>17.925925925925927</v>
      </c>
      <c r="C734" s="2">
        <f>MIN(E734:AE734)</f>
        <v>11</v>
      </c>
      <c r="D734" s="12">
        <f>MAX(E734:AE734)</f>
        <v>29</v>
      </c>
      <c r="E734" s="13">
        <v>11</v>
      </c>
      <c r="F734" s="13">
        <v>13</v>
      </c>
      <c r="G734" s="13">
        <v>14</v>
      </c>
      <c r="H734" s="13">
        <v>21</v>
      </c>
      <c r="I734" s="13">
        <v>19</v>
      </c>
      <c r="J734" s="13">
        <v>19</v>
      </c>
      <c r="K734" s="13">
        <v>20</v>
      </c>
      <c r="L734" s="13">
        <v>22</v>
      </c>
      <c r="M734" s="13">
        <v>21</v>
      </c>
      <c r="N734" s="13">
        <v>18</v>
      </c>
      <c r="O734" s="13">
        <v>18</v>
      </c>
      <c r="P734" s="13">
        <v>12</v>
      </c>
      <c r="Q734" s="13">
        <v>24</v>
      </c>
      <c r="R734" s="13">
        <v>25</v>
      </c>
      <c r="S734" s="13">
        <v>12</v>
      </c>
      <c r="T734" s="13">
        <v>29</v>
      </c>
      <c r="U734" s="13">
        <v>19</v>
      </c>
      <c r="V734" s="13">
        <v>19</v>
      </c>
      <c r="W734" s="13">
        <v>22</v>
      </c>
      <c r="X734" s="13">
        <v>17</v>
      </c>
      <c r="Y734" s="13">
        <v>15</v>
      </c>
      <c r="Z734" s="13">
        <v>12</v>
      </c>
      <c r="AA734" s="13">
        <v>19</v>
      </c>
      <c r="AB734" s="13">
        <v>16</v>
      </c>
      <c r="AC734" s="109">
        <v>16</v>
      </c>
      <c r="AD734" s="13">
        <v>19</v>
      </c>
      <c r="AE734" s="110">
        <v>12</v>
      </c>
      <c r="AF734" s="109"/>
      <c r="AG734" s="13"/>
      <c r="AH734" s="13"/>
    </row>
    <row r="735" spans="1:34" ht="12.75" customHeight="1">
      <c r="A735" s="10" t="s">
        <v>475</v>
      </c>
      <c r="B735" s="11">
        <f>AVERAGE(E735:AE735)</f>
        <v>17.925925925925927</v>
      </c>
      <c r="C735" s="2">
        <f>MIN(E735:AE735)</f>
        <v>11</v>
      </c>
      <c r="D735" s="12">
        <f>MAX(E735:AE735)</f>
        <v>29</v>
      </c>
      <c r="E735" s="13">
        <v>11</v>
      </c>
      <c r="F735" s="13">
        <v>13</v>
      </c>
      <c r="G735" s="13">
        <v>14</v>
      </c>
      <c r="H735" s="13">
        <v>21</v>
      </c>
      <c r="I735" s="13">
        <v>19</v>
      </c>
      <c r="J735" s="13">
        <v>19</v>
      </c>
      <c r="K735" s="13">
        <v>20</v>
      </c>
      <c r="L735" s="13">
        <v>22</v>
      </c>
      <c r="M735" s="13">
        <v>21</v>
      </c>
      <c r="N735" s="13">
        <v>18</v>
      </c>
      <c r="O735" s="13">
        <v>18</v>
      </c>
      <c r="P735" s="13">
        <v>12</v>
      </c>
      <c r="Q735" s="13">
        <v>24</v>
      </c>
      <c r="R735" s="13">
        <v>25</v>
      </c>
      <c r="S735" s="13">
        <v>12</v>
      </c>
      <c r="T735" s="13">
        <v>29</v>
      </c>
      <c r="U735" s="13">
        <v>19</v>
      </c>
      <c r="V735" s="13">
        <v>19</v>
      </c>
      <c r="W735" s="13">
        <v>22</v>
      </c>
      <c r="X735" s="13">
        <v>17</v>
      </c>
      <c r="Y735" s="13">
        <v>15</v>
      </c>
      <c r="Z735" s="13">
        <v>12</v>
      </c>
      <c r="AA735" s="13">
        <v>19</v>
      </c>
      <c r="AB735" s="13">
        <v>16</v>
      </c>
      <c r="AC735" s="109">
        <v>16</v>
      </c>
      <c r="AD735" s="13">
        <v>19</v>
      </c>
      <c r="AE735" s="110">
        <v>12</v>
      </c>
      <c r="AF735" s="109"/>
      <c r="AG735" s="13"/>
      <c r="AH735" s="13"/>
    </row>
    <row r="736" spans="1:34" ht="12.75" customHeight="1">
      <c r="A736" s="10" t="s">
        <v>476</v>
      </c>
      <c r="B736" s="11">
        <f>AVERAGE(E736:AE736)</f>
        <v>17.925925925925927</v>
      </c>
      <c r="C736" s="2">
        <f>MIN(E736:AE736)</f>
        <v>11</v>
      </c>
      <c r="D736" s="12">
        <f>MAX(E736:AE736)</f>
        <v>29</v>
      </c>
      <c r="E736" s="13">
        <v>11</v>
      </c>
      <c r="F736" s="13">
        <v>13</v>
      </c>
      <c r="G736" s="13">
        <v>14</v>
      </c>
      <c r="H736" s="13">
        <v>21</v>
      </c>
      <c r="I736" s="13">
        <v>19</v>
      </c>
      <c r="J736" s="13">
        <v>19</v>
      </c>
      <c r="K736" s="13">
        <v>20</v>
      </c>
      <c r="L736" s="13">
        <v>22</v>
      </c>
      <c r="M736" s="13">
        <v>21</v>
      </c>
      <c r="N736" s="13">
        <v>18</v>
      </c>
      <c r="O736" s="13">
        <v>18</v>
      </c>
      <c r="P736" s="13">
        <v>12</v>
      </c>
      <c r="Q736" s="13">
        <v>24</v>
      </c>
      <c r="R736" s="13">
        <v>25</v>
      </c>
      <c r="S736" s="13">
        <v>12</v>
      </c>
      <c r="T736" s="13">
        <v>29</v>
      </c>
      <c r="U736" s="13">
        <v>19</v>
      </c>
      <c r="V736" s="13">
        <v>19</v>
      </c>
      <c r="W736" s="13">
        <v>22</v>
      </c>
      <c r="X736" s="13">
        <v>17</v>
      </c>
      <c r="Y736" s="13">
        <v>15</v>
      </c>
      <c r="Z736" s="13">
        <v>12</v>
      </c>
      <c r="AA736" s="13">
        <v>19</v>
      </c>
      <c r="AB736" s="13">
        <v>16</v>
      </c>
      <c r="AC736" s="109">
        <v>16</v>
      </c>
      <c r="AD736" s="13">
        <v>19</v>
      </c>
      <c r="AE736" s="110">
        <v>12</v>
      </c>
      <c r="AF736" s="109"/>
      <c r="AG736" s="13"/>
      <c r="AH736" s="13"/>
    </row>
    <row r="737" spans="1:34" ht="12.75" customHeight="1">
      <c r="A737" s="10" t="s">
        <v>477</v>
      </c>
      <c r="B737" s="11">
        <f>AVERAGE(E737:AE737)</f>
        <v>17.925925925925927</v>
      </c>
      <c r="C737" s="2">
        <f>MIN(E737:AE737)</f>
        <v>11</v>
      </c>
      <c r="D737" s="12">
        <f>MAX(E737:AE737)</f>
        <v>29</v>
      </c>
      <c r="E737" s="13">
        <v>11</v>
      </c>
      <c r="F737" s="13">
        <v>13</v>
      </c>
      <c r="G737" s="13">
        <v>14</v>
      </c>
      <c r="H737" s="13">
        <v>21</v>
      </c>
      <c r="I737" s="13">
        <v>19</v>
      </c>
      <c r="J737" s="13">
        <v>19</v>
      </c>
      <c r="K737" s="13">
        <v>20</v>
      </c>
      <c r="L737" s="13">
        <v>22</v>
      </c>
      <c r="M737" s="13">
        <v>21</v>
      </c>
      <c r="N737" s="13">
        <v>18</v>
      </c>
      <c r="O737" s="13">
        <v>18</v>
      </c>
      <c r="P737" s="13">
        <v>12</v>
      </c>
      <c r="Q737" s="13">
        <v>24</v>
      </c>
      <c r="R737" s="13">
        <v>25</v>
      </c>
      <c r="S737" s="13">
        <v>12</v>
      </c>
      <c r="T737" s="13">
        <v>29</v>
      </c>
      <c r="U737" s="13">
        <v>19</v>
      </c>
      <c r="V737" s="13">
        <v>19</v>
      </c>
      <c r="W737" s="13">
        <v>22</v>
      </c>
      <c r="X737" s="13">
        <v>17</v>
      </c>
      <c r="Y737" s="13">
        <v>15</v>
      </c>
      <c r="Z737" s="13">
        <v>12</v>
      </c>
      <c r="AA737" s="13">
        <v>19</v>
      </c>
      <c r="AB737" s="13">
        <v>16</v>
      </c>
      <c r="AC737" s="109">
        <v>16</v>
      </c>
      <c r="AD737" s="13">
        <v>19</v>
      </c>
      <c r="AE737" s="110">
        <v>12</v>
      </c>
      <c r="AF737" s="109"/>
      <c r="AG737" s="13"/>
      <c r="AH737" s="13"/>
    </row>
    <row r="738" spans="1:34" ht="12.75" customHeight="1">
      <c r="A738" s="10" t="s">
        <v>478</v>
      </c>
      <c r="B738" s="11">
        <f>AVERAGE(E738:AE738)</f>
        <v>17.925925925925927</v>
      </c>
      <c r="C738" s="2">
        <f>MIN(E738:AE738)</f>
        <v>11</v>
      </c>
      <c r="D738" s="12">
        <f>MAX(E738:AE738)</f>
        <v>29</v>
      </c>
      <c r="E738" s="13">
        <v>11</v>
      </c>
      <c r="F738" s="13">
        <v>13</v>
      </c>
      <c r="G738" s="13">
        <v>14</v>
      </c>
      <c r="H738" s="13">
        <v>21</v>
      </c>
      <c r="I738" s="13">
        <v>19</v>
      </c>
      <c r="J738" s="13">
        <v>19</v>
      </c>
      <c r="K738" s="13">
        <v>20</v>
      </c>
      <c r="L738" s="13">
        <v>22</v>
      </c>
      <c r="M738" s="13">
        <v>21</v>
      </c>
      <c r="N738" s="13">
        <v>18</v>
      </c>
      <c r="O738" s="13">
        <v>18</v>
      </c>
      <c r="P738" s="13">
        <v>12</v>
      </c>
      <c r="Q738" s="13">
        <v>24</v>
      </c>
      <c r="R738" s="13">
        <v>25</v>
      </c>
      <c r="S738" s="13">
        <v>12</v>
      </c>
      <c r="T738" s="13">
        <v>29</v>
      </c>
      <c r="U738" s="13">
        <v>19</v>
      </c>
      <c r="V738" s="13">
        <v>19</v>
      </c>
      <c r="W738" s="13">
        <v>22</v>
      </c>
      <c r="X738" s="13">
        <v>17</v>
      </c>
      <c r="Y738" s="13">
        <v>15</v>
      </c>
      <c r="Z738" s="13">
        <v>12</v>
      </c>
      <c r="AA738" s="13">
        <v>19</v>
      </c>
      <c r="AB738" s="13">
        <v>16</v>
      </c>
      <c r="AC738" s="109">
        <v>16</v>
      </c>
      <c r="AD738" s="13">
        <v>19</v>
      </c>
      <c r="AE738" s="2">
        <v>12</v>
      </c>
      <c r="AF738" s="13"/>
      <c r="AG738" s="13"/>
      <c r="AH738" s="13"/>
    </row>
    <row r="739" spans="1:34" ht="12.75" customHeight="1">
      <c r="A739" s="10" t="s">
        <v>479</v>
      </c>
      <c r="B739" s="11">
        <f>AVERAGE(E739:AE739)</f>
        <v>17.925925925925927</v>
      </c>
      <c r="C739" s="2">
        <f>MIN(E739:AE739)</f>
        <v>11</v>
      </c>
      <c r="D739" s="12">
        <f>MAX(E739:AE739)</f>
        <v>29</v>
      </c>
      <c r="E739" s="13">
        <v>11</v>
      </c>
      <c r="F739" s="13">
        <v>13</v>
      </c>
      <c r="G739" s="13">
        <v>14</v>
      </c>
      <c r="H739" s="13">
        <v>21</v>
      </c>
      <c r="I739" s="13">
        <v>19</v>
      </c>
      <c r="J739" s="13">
        <v>19</v>
      </c>
      <c r="K739" s="13">
        <v>20</v>
      </c>
      <c r="L739" s="13">
        <v>22</v>
      </c>
      <c r="M739" s="13">
        <v>21</v>
      </c>
      <c r="N739" s="13">
        <v>18</v>
      </c>
      <c r="O739" s="13">
        <v>18</v>
      </c>
      <c r="P739" s="13">
        <v>12</v>
      </c>
      <c r="Q739" s="13">
        <v>24</v>
      </c>
      <c r="R739" s="13">
        <v>25</v>
      </c>
      <c r="S739" s="13">
        <v>12</v>
      </c>
      <c r="T739" s="13">
        <v>29</v>
      </c>
      <c r="U739" s="13">
        <v>19</v>
      </c>
      <c r="V739" s="13">
        <v>19</v>
      </c>
      <c r="W739" s="13">
        <v>22</v>
      </c>
      <c r="X739" s="13">
        <v>17</v>
      </c>
      <c r="Y739" s="13">
        <v>15</v>
      </c>
      <c r="Z739" s="13">
        <v>12</v>
      </c>
      <c r="AA739" s="13">
        <v>19</v>
      </c>
      <c r="AB739" s="13">
        <v>16</v>
      </c>
      <c r="AC739" s="13">
        <v>16</v>
      </c>
      <c r="AD739" s="13">
        <v>19</v>
      </c>
      <c r="AE739" s="2">
        <v>12</v>
      </c>
      <c r="AF739" s="13"/>
      <c r="AG739" s="13"/>
      <c r="AH739" s="13"/>
    </row>
    <row r="740" spans="1:34" ht="12.75" customHeight="1">
      <c r="A740" s="10" t="s">
        <v>480</v>
      </c>
      <c r="B740" s="11">
        <f>AVERAGE(E740:AE740)</f>
        <v>17.925925925925927</v>
      </c>
      <c r="C740" s="2">
        <f>MIN(E740:AE740)</f>
        <v>11</v>
      </c>
      <c r="D740" s="12">
        <f>MAX(E740:AE740)</f>
        <v>29</v>
      </c>
      <c r="E740" s="13">
        <v>11</v>
      </c>
      <c r="F740" s="13">
        <v>13</v>
      </c>
      <c r="G740" s="13">
        <v>14</v>
      </c>
      <c r="H740" s="13">
        <v>21</v>
      </c>
      <c r="I740" s="13">
        <v>19</v>
      </c>
      <c r="J740" s="13">
        <v>19</v>
      </c>
      <c r="K740" s="13">
        <v>20</v>
      </c>
      <c r="L740" s="13">
        <v>22</v>
      </c>
      <c r="M740" s="13">
        <v>21</v>
      </c>
      <c r="N740" s="13">
        <v>18</v>
      </c>
      <c r="O740" s="13">
        <v>18</v>
      </c>
      <c r="P740" s="13">
        <v>12</v>
      </c>
      <c r="Q740" s="13">
        <v>24</v>
      </c>
      <c r="R740" s="13">
        <v>25</v>
      </c>
      <c r="S740" s="13">
        <v>12</v>
      </c>
      <c r="T740" s="13">
        <v>29</v>
      </c>
      <c r="U740" s="13">
        <v>19</v>
      </c>
      <c r="V740" s="13">
        <v>19</v>
      </c>
      <c r="W740" s="13">
        <v>22</v>
      </c>
      <c r="X740" s="13">
        <v>17</v>
      </c>
      <c r="Y740" s="13">
        <v>15</v>
      </c>
      <c r="Z740" s="13">
        <v>12</v>
      </c>
      <c r="AA740" s="13">
        <v>19</v>
      </c>
      <c r="AB740" s="13">
        <v>16</v>
      </c>
      <c r="AC740" s="13">
        <v>16</v>
      </c>
      <c r="AD740" s="13">
        <v>19</v>
      </c>
      <c r="AE740" s="2">
        <v>12</v>
      </c>
      <c r="AF740" s="13"/>
      <c r="AG740" s="13"/>
      <c r="AH740" s="13"/>
    </row>
    <row r="741" spans="1:34" ht="12.75" customHeight="1">
      <c r="A741" s="65" t="s">
        <v>481</v>
      </c>
      <c r="B741" s="103">
        <f>AVERAGE(E741:AE741)</f>
        <v>17.925925925925927</v>
      </c>
      <c r="C741" s="104">
        <f>MIN(E741:AE741)</f>
        <v>11</v>
      </c>
      <c r="D741" s="105">
        <f>MAX(E741:AE741)</f>
        <v>29</v>
      </c>
      <c r="E741" s="60">
        <v>11</v>
      </c>
      <c r="F741" s="60">
        <v>13</v>
      </c>
      <c r="G741" s="60">
        <v>14</v>
      </c>
      <c r="H741" s="60">
        <v>21</v>
      </c>
      <c r="I741" s="60">
        <v>19</v>
      </c>
      <c r="J741" s="60">
        <v>19</v>
      </c>
      <c r="K741" s="60">
        <v>20</v>
      </c>
      <c r="L741" s="60">
        <v>22</v>
      </c>
      <c r="M741" s="106">
        <v>21</v>
      </c>
      <c r="N741" s="106">
        <v>18</v>
      </c>
      <c r="O741" s="106">
        <v>18</v>
      </c>
      <c r="P741" s="60">
        <v>12</v>
      </c>
      <c r="Q741" s="60">
        <v>24</v>
      </c>
      <c r="R741" s="60">
        <v>25</v>
      </c>
      <c r="S741" s="60">
        <v>12</v>
      </c>
      <c r="T741" s="60">
        <v>29</v>
      </c>
      <c r="U741" s="60">
        <v>19</v>
      </c>
      <c r="V741" s="60">
        <v>19</v>
      </c>
      <c r="W741" s="60">
        <v>22</v>
      </c>
      <c r="X741" s="60">
        <v>17</v>
      </c>
      <c r="Y741" s="60">
        <v>15</v>
      </c>
      <c r="Z741" s="60">
        <v>12</v>
      </c>
      <c r="AA741" s="60">
        <v>19</v>
      </c>
      <c r="AB741" s="60">
        <v>16</v>
      </c>
      <c r="AC741" s="60">
        <v>16</v>
      </c>
      <c r="AD741" s="60">
        <v>19</v>
      </c>
      <c r="AE741" s="107">
        <v>12</v>
      </c>
      <c r="AF741" s="60"/>
      <c r="AG741" s="60"/>
      <c r="AH741" s="60"/>
    </row>
  </sheetData>
  <mergeCells count="102">
    <mergeCell ref="A1:AH3"/>
    <mergeCell ref="AJ1:AO2"/>
    <mergeCell ref="AQ1:AV2"/>
    <mergeCell ref="AJ3:AJ5"/>
    <mergeCell ref="AK3:AM3"/>
    <mergeCell ref="AQ3:AV4"/>
    <mergeCell ref="AK4:AM4"/>
    <mergeCell ref="AK5:AM5"/>
    <mergeCell ref="AJ6:AN6"/>
    <mergeCell ref="CB7:CF7"/>
    <mergeCell ref="BS9:BT9"/>
    <mergeCell ref="BU9:BX9"/>
    <mergeCell ref="BZ9:CA9"/>
    <mergeCell ref="BS10:BT10"/>
    <mergeCell ref="BU10:BX10"/>
    <mergeCell ref="BS11:BT11"/>
    <mergeCell ref="BU11:BX11"/>
    <mergeCell ref="BS12:BT12"/>
    <mergeCell ref="BU12:BX12"/>
    <mergeCell ref="BS13:BT13"/>
    <mergeCell ref="BU13:BX13"/>
    <mergeCell ref="BS14:BT14"/>
    <mergeCell ref="BU14:BX14"/>
    <mergeCell ref="BS15:BT15"/>
    <mergeCell ref="BU15:BX15"/>
    <mergeCell ref="BS16:BT16"/>
    <mergeCell ref="BU16:BX16"/>
    <mergeCell ref="BS17:BT17"/>
    <mergeCell ref="BU17:BX17"/>
    <mergeCell ref="BS18:BT18"/>
    <mergeCell ref="BV18:BX18"/>
    <mergeCell ref="BS19:BT19"/>
    <mergeCell ref="BV19:BX19"/>
    <mergeCell ref="BS20:BT20"/>
    <mergeCell ref="BV20:BX20"/>
    <mergeCell ref="BS21:BT21"/>
    <mergeCell ref="BV21:BX21"/>
    <mergeCell ref="BS22:BT22"/>
    <mergeCell ref="BV22:BX22"/>
    <mergeCell ref="BS23:BT23"/>
    <mergeCell ref="BV23:BX23"/>
    <mergeCell ref="BS24:BT24"/>
    <mergeCell ref="BV24:BX24"/>
    <mergeCell ref="BS25:BT25"/>
    <mergeCell ref="BV25:BX25"/>
    <mergeCell ref="BS26:BT26"/>
    <mergeCell ref="BV26:BX26"/>
    <mergeCell ref="BS27:BT27"/>
    <mergeCell ref="BV27:BX27"/>
    <mergeCell ref="BS28:BT28"/>
    <mergeCell ref="BV28:BX28"/>
    <mergeCell ref="BS29:BT29"/>
    <mergeCell ref="BV29:BX29"/>
    <mergeCell ref="BS30:BT30"/>
    <mergeCell ref="BV30:BX30"/>
    <mergeCell ref="BS31:BT31"/>
    <mergeCell ref="BV31:BX31"/>
    <mergeCell ref="BS32:BT32"/>
    <mergeCell ref="BV32:BX32"/>
    <mergeCell ref="BS33:BT33"/>
    <mergeCell ref="BV33:BX33"/>
    <mergeCell ref="BS34:BT34"/>
    <mergeCell ref="BV34:BX34"/>
    <mergeCell ref="BS35:BT35"/>
    <mergeCell ref="BV35:BX35"/>
    <mergeCell ref="BS36:BT36"/>
    <mergeCell ref="BV36:BX36"/>
    <mergeCell ref="BS37:BT37"/>
    <mergeCell ref="BV37:BX37"/>
    <mergeCell ref="BS38:BT38"/>
    <mergeCell ref="BV38:BX38"/>
    <mergeCell ref="BS39:BT39"/>
    <mergeCell ref="BV39:BX39"/>
    <mergeCell ref="BS40:BT40"/>
    <mergeCell ref="BV40:BX40"/>
    <mergeCell ref="BS41:BT41"/>
    <mergeCell ref="BV41:BX41"/>
    <mergeCell ref="BS42:BT42"/>
    <mergeCell ref="BV42:BX42"/>
    <mergeCell ref="GW42:GX42"/>
    <mergeCell ref="BS43:BT43"/>
    <mergeCell ref="BV43:BX43"/>
    <mergeCell ref="BS44:BT44"/>
    <mergeCell ref="BV44:BX44"/>
    <mergeCell ref="EX42:EY42"/>
    <mergeCell ref="FA42:FD42"/>
    <mergeCell ref="FE42:FH42"/>
    <mergeCell ref="FI42:FL42"/>
    <mergeCell ref="FM42:FP42"/>
    <mergeCell ref="FQ42:FT42"/>
    <mergeCell ref="FU42:FX42"/>
    <mergeCell ref="FY42:GB42"/>
    <mergeCell ref="GC42:GF42"/>
    <mergeCell ref="BS45:BT45"/>
    <mergeCell ref="BV45:BX45"/>
    <mergeCell ref="BS46:BT46"/>
    <mergeCell ref="BS47:BT47"/>
    <mergeCell ref="A372:AH374"/>
    <mergeCell ref="GG42:GJ42"/>
    <mergeCell ref="GK42:GN42"/>
    <mergeCell ref="GO42:GR42"/>
    <mergeCell ref="GS42:GV42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&amp;CStránka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913</TotalTime>
  <Application>Excel Android</Application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Peter Sedlák</dc:creator>
  <dc:description/>
  <cp:lastModifiedBy/>
  <cp:revision>440</cp:revision>
  <dcterms:created xsi:type="dcterms:W3CDTF">2025-05-12T22:24:21Z</dcterms:created>
  <dcterms:modified xsi:type="dcterms:W3CDTF">2026-08-02T02:43:08Z</dcterms:modified>
  <dc:language>cs-CZ</dc:language>
</cp:coreProperties>
</file>