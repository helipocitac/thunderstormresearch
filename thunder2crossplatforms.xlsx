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35.xml" ContentType="application/vnd.openxmlformats-officedocument.drawingml.chart+xml"/>
  <Override PartName="/xl/charts/chart1.xml" ContentType="application/vnd.openxmlformats-officedocument.drawingml.chart+xml"/>
  <Override PartName="/xl/charts/chart36.xml" ContentType="application/vnd.openxmlformats-officedocument.drawingml.chart+xml"/>
  <Override PartName="/xl/charts/chart2.xml" ContentType="application/vnd.openxmlformats-officedocument.drawingml.chart+xml"/>
  <Override PartName="/xl/charts/chart37.xml" ContentType="application/vnd.openxmlformats-officedocument.drawingml.chart+xml"/>
  <Override PartName="/xl/charts/chart3.xml" ContentType="application/vnd.openxmlformats-officedocument.drawingml.chart+xml"/>
  <Override PartName="/xl/charts/chart38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39.xml" ContentType="application/vnd.openxmlformats-officedocument.drawingml.chart+xml"/>
  <Override PartName="/xl/charts/chart6.xml" ContentType="application/vnd.openxmlformats-officedocument.drawingml.chart+xml"/>
  <Override PartName="/xl/charts/chart50.xml" ContentType="application/vnd.openxmlformats-officedocument.drawingml.chart+xml"/>
  <Override PartName="/xl/charts/chart7.xml" ContentType="application/vnd.openxmlformats-officedocument.drawingml.chart+xml"/>
  <Override PartName="/xl/charts/chart51.xml" ContentType="application/vnd.openxmlformats-officedocument.drawingml.chart+xml"/>
  <Override PartName="/xl/charts/chart8.xml" ContentType="application/vnd.openxmlformats-officedocument.drawingml.chart+xml"/>
  <Override PartName="/xl/charts/chart52.xml" ContentType="application/vnd.openxmlformats-officedocument.drawingml.chart+xml"/>
  <Override PartName="/xl/charts/chart9.xml" ContentType="application/vnd.openxmlformats-officedocument.drawingml.chart+xml"/>
  <Override PartName="/xl/charts/chart53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<sst xmlns="http://schemas.openxmlformats.org/spreadsheetml/2006/main" count="939" uniqueCount="483">
  <si>
    <t xml:space="preserve">TOTAL STORMS EVERY DAY</t>
  </si>
  <si>
    <r>
      <rPr>
        <sz val="12"/>
        <color rgb="FF000000"/>
        <rFont val="Liberation Sans1"/>
        <family val="0"/>
        <charset val="238"/>
      </rPr>
      <t xml:space="preserve">This is only</t>
    </r>
    <r>
      <rPr>
        <b val="true"/>
        <sz val="12"/>
        <color rgb="FF000000"/>
        <rFont val="Liberation Sans1"/>
        <family val="0"/>
        <charset val="238"/>
      </rPr>
      <t xml:space="preserve"> thunderstorm day</t>
    </r>
    <r>
      <rPr>
        <sz val="12"/>
        <color rgb="FF000000"/>
        <rFont val="Liberation Sans1"/>
        <family val="0"/>
        <charset val="238"/>
      </rPr>
      <t xml:space="preserve"> count, not </t>
    </r>
    <r>
      <rPr>
        <b val="true"/>
        <sz val="12"/>
        <color rgb="FF000000"/>
        <rFont val="Liberation Sans1"/>
        <family val="0"/>
        <charset val="238"/>
      </rPr>
      <t xml:space="preserve">total thunderstorms</t>
    </r>
    <r>
      <rPr>
        <sz val="12"/>
        <color rgb="FF000000"/>
        <rFont val="Liberation Sans1"/>
        <family val="0"/>
        <charset val="238"/>
      </rPr>
      <t xml:space="preserve"> count</t>
    </r>
  </si>
  <si>
    <r>
      <rPr>
        <b val="true"/>
        <sz val="16"/>
        <color rgb="FF000000"/>
        <rFont val="Liberation Sans1"/>
        <family val="0"/>
        <charset val="238"/>
      </rPr>
      <t xml:space="preserve">Main season: </t>
    </r>
    <r>
      <rPr>
        <sz val="16"/>
        <color rgb="FF000000"/>
        <rFont val="Liberation Sans1"/>
        <family val="0"/>
        <charset val="238"/>
      </rPr>
      <t xml:space="preserve">1st May – 30th September</t>
    </r>
  </si>
  <si>
    <t xml:space="preserve">Criteria:</t>
  </si>
  <si>
    <t xml:space="preserve">At least 1 heard thunder</t>
  </si>
  <si>
    <r>
      <rPr>
        <b val="true"/>
        <sz val="16"/>
        <color rgb="FF000000"/>
        <rFont val="Liberation Sans1"/>
        <family val="0"/>
        <charset val="238"/>
      </rPr>
      <t xml:space="preserve">Location: </t>
    </r>
    <r>
      <rPr>
        <sz val="16"/>
        <color rgb="FF000000"/>
        <rFont val="Liberation Sans1"/>
        <family val="0"/>
        <charset val="238"/>
      </rPr>
      <t xml:space="preserve">Most</t>
    </r>
  </si>
  <si>
    <t xml:space="preserve">Date</t>
  </si>
  <si>
    <t xml:space="preserve">average</t>
  </si>
  <si>
    <t xml:space="preserve">minimum</t>
  </si>
  <si>
    <t xml:space="preserve">maximum</t>
  </si>
  <si>
    <t xml:space="preserve">or</t>
  </si>
  <si>
    <t xml:space="preserve">January 1</t>
  </si>
  <si>
    <t xml:space="preserve">1 light. strike within 15 km (plausibly checked)</t>
  </si>
  <si>
    <t xml:space="preserve">January 2</t>
  </si>
  <si>
    <t xml:space="preserve">(Wind-farm induced lightning isn’t counted and has special category)</t>
  </si>
  <si>
    <t xml:space="preserve">January 3</t>
  </si>
  <si>
    <t xml:space="preserve">Events:</t>
  </si>
  <si>
    <t xml:space="preserve">MCS</t>
  </si>
  <si>
    <t xml:space="preserve">strong TS or SC</t>
  </si>
  <si>
    <t xml:space="preserve">Wfarm induced</t>
  </si>
  <si>
    <t xml:space="preserve">Far storms (6-15km)</t>
  </si>
  <si>
    <t xml:space="preserve">How many TD each month every year: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</si>
  <si>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</si>
  <si>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</si>
  <si>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</si>
  <si>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</si>
  <si>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</si>
  <si>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</si>
  <si>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</si>
  <si>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</si>
  <si>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</si>
  <si>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</si>
  <si>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</si>
  <si>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</si>
  <si>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SUM</t>
  </si>
  <si>
    <t xml:space="preserve">January 4</t>
  </si>
  <si>
    <t xml:space="preserve">January 5</t>
  </si>
  <si>
    <t xml:space="preserve">TD Amount:</t>
  </si>
  <si>
    <t xml:space="preserve">Events amount:</t>
  </si>
  <si>
    <t xml:space="preserve">STR TS or SC</t>
  </si>
  <si>
    <t xml:space="preserve">WF induced</t>
  </si>
  <si>
    <t xml:space="preserve">Far storms</t>
  </si>
  <si>
    <t xml:space="preserve">Direct TS to 6km:</t>
  </si>
  <si>
    <t xml:space="preserve">Seasons:</t>
  </si>
  <si>
    <t xml:space="preserve">Average season:</t>
  </si>
  <si>
    <t xml:space="preserve">Season had a difference &lt;=2 TD from TD average</t>
  </si>
  <si>
    <t xml:space="preserve">Poměr Total X Direct:</t>
  </si>
  <si>
    <t xml:space="preserve">January 6</t>
  </si>
  <si>
    <t xml:space="preserve">January 7</t>
  </si>
  <si>
    <t xml:space="preserve">Below-average season:</t>
  </si>
  <si>
    <t xml:space="preserve">Season had 3-4 TD less than TD average</t>
  </si>
  <si>
    <t xml:space="preserve">January 8</t>
  </si>
  <si>
    <t xml:space="preserve">Strong below-average season:</t>
  </si>
  <si>
    <t xml:space="preserve">Season had 5-6 TD less than TD average</t>
  </si>
  <si>
    <t xml:space="preserve">January 9</t>
  </si>
  <si>
    <t xml:space="preserve">Exceptionally below-average season:</t>
  </si>
  <si>
    <t xml:space="preserve">Season had &gt;=7 TD less than TD average</t>
  </si>
  <si>
    <t xml:space="preserve">January 10</t>
  </si>
  <si>
    <t xml:space="preserve">January 11</t>
  </si>
  <si>
    <t xml:space="preserve">Above-average season:</t>
  </si>
  <si>
    <t xml:space="preserve">Season had 3-4 TD more than TD average</t>
  </si>
  <si>
    <t xml:space="preserve">January 12</t>
  </si>
  <si>
    <t xml:space="preserve">Strong above-average season:</t>
  </si>
  <si>
    <t xml:space="preserve">Season had 5-6 TD more than TD average</t>
  </si>
  <si>
    <t xml:space="preserve">January 13</t>
  </si>
  <si>
    <t xml:space="preserve">Exceptionally above-average season:</t>
  </si>
  <si>
    <t xml:space="preserve">Season had &gt;=7 TD more than TD average</t>
  </si>
  <si>
    <t xml:space="preserve">January 14</t>
  </si>
  <si>
    <t xml:space="preserve">Season Tds:</t>
  </si>
  <si>
    <t xml:space="preserve">Classification:</t>
  </si>
  <si>
    <t xml:space="preserve">Points:</t>
  </si>
  <si>
    <t xml:space="preserve">January 15</t>
  </si>
  <si>
    <t xml:space="preserve">Season 1999:</t>
  </si>
  <si>
    <t xml:space="preserve">Exceptionally below-average season</t>
  </si>
  <si>
    <t xml:space="preserve">January 16</t>
  </si>
  <si>
    <t xml:space="preserve">Season 2000:</t>
  </si>
  <si>
    <t xml:space="preserve">Average season</t>
  </si>
  <si>
    <t xml:space="preserve">January 17</t>
  </si>
  <si>
    <t xml:space="preserve">Season 2001:</t>
  </si>
  <si>
    <t xml:space="preserve">Strong below-average season</t>
  </si>
  <si>
    <t xml:space="preserve">January 18</t>
  </si>
  <si>
    <t xml:space="preserve">Season 2002:</t>
  </si>
  <si>
    <t xml:space="preserve">January 19</t>
  </si>
  <si>
    <t xml:space="preserve">Season 2003:</t>
  </si>
  <si>
    <t xml:space="preserve">Average season </t>
  </si>
  <si>
    <t xml:space="preserve">January 20</t>
  </si>
  <si>
    <t xml:space="preserve">Season 2004:</t>
  </si>
  <si>
    <t xml:space="preserve">Strong above-average season</t>
  </si>
  <si>
    <t xml:space="preserve">January 21</t>
  </si>
  <si>
    <t xml:space="preserve">Season 2005:</t>
  </si>
  <si>
    <t xml:space="preserve">January 22</t>
  </si>
  <si>
    <t xml:space="preserve">Season 2006:</t>
  </si>
  <si>
    <t xml:space="preserve">Above-average season</t>
  </si>
  <si>
    <t xml:space="preserve">January 23</t>
  </si>
  <si>
    <t xml:space="preserve">Season 2007:</t>
  </si>
  <si>
    <t xml:space="preserve">January 24</t>
  </si>
  <si>
    <t xml:space="preserve">Season 2008:</t>
  </si>
  <si>
    <t xml:space="preserve">January 25</t>
  </si>
  <si>
    <t xml:space="preserve">Season 2009:</t>
  </si>
  <si>
    <t xml:space="preserve">January 26</t>
  </si>
  <si>
    <t xml:space="preserve">Season 2010:</t>
  </si>
  <si>
    <t xml:space="preserve">January 27</t>
  </si>
  <si>
    <t xml:space="preserve">Season 2011:</t>
  </si>
  <si>
    <t xml:space="preserve">January 28</t>
  </si>
  <si>
    <t xml:space="preserve">Season 2012:</t>
  </si>
  <si>
    <t xml:space="preserve">January 29</t>
  </si>
  <si>
    <t xml:space="preserve">Season 2013:</t>
  </si>
  <si>
    <t xml:space="preserve">January 30</t>
  </si>
  <si>
    <t xml:space="preserve">Season 2014:</t>
  </si>
  <si>
    <t xml:space="preserve">Exceptionally above-average season</t>
  </si>
  <si>
    <t xml:space="preserve">January 31</t>
  </si>
  <si>
    <t xml:space="preserve">Season 2015:</t>
  </si>
  <si>
    <t xml:space="preserve">February 1</t>
  </si>
  <si>
    <t xml:space="preserve">Season 2016:</t>
  </si>
  <si>
    <t xml:space="preserve">AVG</t>
  </si>
  <si>
    <t xml:space="preserve">February 2</t>
  </si>
  <si>
    <t xml:space="preserve">Season 2017:</t>
  </si>
  <si>
    <t xml:space="preserve">February 3</t>
  </si>
  <si>
    <t xml:space="preserve">Season 2018:</t>
  </si>
  <si>
    <t xml:space="preserve">February 4</t>
  </si>
  <si>
    <t xml:space="preserve">Season 2019:</t>
  </si>
  <si>
    <t xml:space="preserve">Below-average season</t>
  </si>
  <si>
    <t xml:space="preserve">February 5</t>
  </si>
  <si>
    <t xml:space="preserve">Season 2020:</t>
  </si>
  <si>
    <t xml:space="preserve">February 6</t>
  </si>
  <si>
    <t xml:space="preserve">min</t>
  </si>
  <si>
    <t xml:space="preserve">Season 2021:</t>
  </si>
  <si>
    <t xml:space="preserve">February 7</t>
  </si>
  <si>
    <t xml:space="preserve">max</t>
  </si>
  <si>
    <t xml:space="preserve">Season 2022:</t>
  </si>
  <si>
    <t xml:space="preserve">Events each month:</t>
  </si>
  <si>
    <t xml:space="preserve">Direct storms 0-6km:</t>
  </si>
  <si>
    <t xml:space="preserve">JAN</t>
  </si>
  <si>
    <t xml:space="preserve">FEB 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</si>
  <si>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</si>
  <si>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</si>
  <si>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</si>
  <si>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</si>
  <si>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</si>
  <si>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</si>
  <si>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</si>
  <si>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</si>
  <si>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</si>
  <si>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</si>
  <si>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February 8</t>
  </si>
  <si>
    <t xml:space="preserve">avg</t>
  </si>
  <si>
    <t xml:space="preserve">Season 2023:</t>
  </si>
  <si>
    <t xml:space="preserve">February 9</t>
  </si>
  <si>
    <t xml:space="preserve">Season 2024:</t>
  </si>
  <si>
    <t xml:space="preserve">February 10</t>
  </si>
  <si>
    <t xml:space="preserve">Season 2025:</t>
  </si>
  <si>
    <t xml:space="preserve">February 11</t>
  </si>
  <si>
    <t xml:space="preserve">Season 2026:</t>
  </si>
  <si>
    <t xml:space="preserve">Sum:</t>
  </si>
  <si>
    <t xml:space="preserve">February 12</t>
  </si>
  <si>
    <t xml:space="preserve">Season TD avg: 28,1 ~ 28</t>
  </si>
  <si>
    <t xml:space="preserve">February 13</t>
  </si>
  <si>
    <t xml:space="preserve">February 14</t>
  </si>
  <si>
    <t xml:space="preserve">February 15</t>
  </si>
  <si>
    <t xml:space="preserve">February 16</t>
  </si>
  <si>
    <t xml:space="preserve">February 17</t>
  </si>
  <si>
    <t xml:space="preserve">February 18</t>
  </si>
  <si>
    <t xml:space="preserve">February 19</t>
  </si>
  <si>
    <t xml:space="preserve">February 20</t>
  </si>
  <si>
    <t xml:space="preserve">February 21</t>
  </si>
  <si>
    <t xml:space="preserve">February 22</t>
  </si>
  <si>
    <t xml:space="preserve">February 23</t>
  </si>
  <si>
    <t xml:space="preserve">February 24</t>
  </si>
  <si>
    <t xml:space="preserve">February 25</t>
  </si>
  <si>
    <t xml:space="preserve">February 26</t>
  </si>
  <si>
    <t xml:space="preserve">February 27</t>
  </si>
  <si>
    <t xml:space="preserve">February 28</t>
  </si>
  <si>
    <t xml:space="preserve">February 29</t>
  </si>
  <si>
    <t xml:space="preserve">March 1</t>
  </si>
  <si>
    <t xml:space="preserve">March 2</t>
  </si>
  <si>
    <t xml:space="preserve">March 3</t>
  </si>
  <si>
    <t xml:space="preserve">March 4</t>
  </si>
  <si>
    <t xml:space="preserve">March 5</t>
  </si>
  <si>
    <t xml:space="preserve">March 6</t>
  </si>
  <si>
    <t xml:space="preserve">March 7</t>
  </si>
  <si>
    <t xml:space="preserve">March 8</t>
  </si>
  <si>
    <t xml:space="preserve">March 9</t>
  </si>
  <si>
    <t xml:space="preserve">WF</t>
  </si>
  <si>
    <t xml:space="preserve">Far</t>
  </si>
  <si>
    <t xml:space="preserve">STS</t>
  </si>
  <si>
    <t xml:space="preserve">March 10</t>
  </si>
  <si>
    <t xml:space="preserve">March 11</t>
  </si>
  <si>
    <t xml:space="preserve">March 12</t>
  </si>
  <si>
    <t xml:space="preserve">March 13</t>
  </si>
  <si>
    <t xml:space="preserve">March 14</t>
  </si>
  <si>
    <t xml:space="preserve">March 15</t>
  </si>
  <si>
    <t xml:space="preserve">March 16</t>
  </si>
  <si>
    <t xml:space="preserve">March 17</t>
  </si>
  <si>
    <t xml:space="preserve">March 18</t>
  </si>
  <si>
    <t xml:space="preserve">March 19</t>
  </si>
  <si>
    <t xml:space="preserve">March 20</t>
  </si>
  <si>
    <t xml:space="preserve">March 21</t>
  </si>
  <si>
    <t xml:space="preserve">March 22</t>
  </si>
  <si>
    <t xml:space="preserve">March 23</t>
  </si>
  <si>
    <t xml:space="preserve">March 24</t>
  </si>
  <si>
    <t xml:space="preserve">March 25</t>
  </si>
  <si>
    <t xml:space="preserve">March 26</t>
  </si>
  <si>
    <t xml:space="preserve">March 27</t>
  </si>
  <si>
    <t xml:space="preserve">March 28</t>
  </si>
  <si>
    <t xml:space="preserve">March 29</t>
  </si>
  <si>
    <t xml:space="preserve">March 30</t>
  </si>
  <si>
    <t xml:space="preserve">March 31</t>
  </si>
  <si>
    <t xml:space="preserve">April 1</t>
  </si>
  <si>
    <t xml:space="preserve">April 2</t>
  </si>
  <si>
    <t xml:space="preserve">April 3</t>
  </si>
  <si>
    <t xml:space="preserve">April 4</t>
  </si>
  <si>
    <t xml:space="preserve">April 5</t>
  </si>
  <si>
    <t xml:space="preserve">April 6</t>
  </si>
  <si>
    <t xml:space="preserve">April 7</t>
  </si>
  <si>
    <t xml:space="preserve">April 8</t>
  </si>
  <si>
    <t xml:space="preserve">April 9</t>
  </si>
  <si>
    <t xml:space="preserve">April 10</t>
  </si>
  <si>
    <t xml:space="preserve">April 11</t>
  </si>
  <si>
    <t xml:space="preserve">April 12</t>
  </si>
  <si>
    <t xml:space="preserve">April 13</t>
  </si>
  <si>
    <t xml:space="preserve">April 14</t>
  </si>
  <si>
    <t xml:space="preserve">April 15</t>
  </si>
  <si>
    <t xml:space="preserve">April 16</t>
  </si>
  <si>
    <t xml:space="preserve">April 17</t>
  </si>
  <si>
    <t xml:space="preserve">April 18</t>
  </si>
  <si>
    <t xml:space="preserve">April 19</t>
  </si>
  <si>
    <t xml:space="preserve">April 20</t>
  </si>
  <si>
    <t xml:space="preserve">April 21</t>
  </si>
  <si>
    <t xml:space="preserve">April 22</t>
  </si>
  <si>
    <t xml:space="preserve">April 23</t>
  </si>
  <si>
    <t xml:space="preserve">April 24</t>
  </si>
  <si>
    <t xml:space="preserve">April 25</t>
  </si>
  <si>
    <t xml:space="preserve">April 26</t>
  </si>
  <si>
    <t xml:space="preserve">April 27</t>
  </si>
  <si>
    <t xml:space="preserve">April 28</t>
  </si>
  <si>
    <t xml:space="preserve">April 29</t>
  </si>
  <si>
    <t xml:space="preserve">April 30</t>
  </si>
  <si>
    <t xml:space="preserve">May 1</t>
  </si>
  <si>
    <t xml:space="preserve">May 2</t>
  </si>
  <si>
    <t xml:space="preserve">May 3</t>
  </si>
  <si>
    <t xml:space="preserve">May 4</t>
  </si>
  <si>
    <t xml:space="preserve">May 5</t>
  </si>
  <si>
    <t xml:space="preserve">May 6</t>
  </si>
  <si>
    <t xml:space="preserve">May 7</t>
  </si>
  <si>
    <t xml:space="preserve">May 8</t>
  </si>
  <si>
    <t xml:space="preserve">May 9</t>
  </si>
  <si>
    <t xml:space="preserve">May 10</t>
  </si>
  <si>
    <t xml:space="preserve">May 11</t>
  </si>
  <si>
    <t xml:space="preserve">May 12</t>
  </si>
  <si>
    <t xml:space="preserve">May 13</t>
  </si>
  <si>
    <t xml:space="preserve">May 14</t>
  </si>
  <si>
    <t xml:space="preserve">May 15</t>
  </si>
  <si>
    <t xml:space="preserve">May 16</t>
  </si>
  <si>
    <t xml:space="preserve">May 17</t>
  </si>
  <si>
    <t xml:space="preserve">May 18</t>
  </si>
  <si>
    <t xml:space="preserve">May 19</t>
  </si>
  <si>
    <t xml:space="preserve">May 20</t>
  </si>
  <si>
    <t xml:space="preserve">May 21</t>
  </si>
  <si>
    <t xml:space="preserve">May 22</t>
  </si>
  <si>
    <t xml:space="preserve">May 23</t>
  </si>
  <si>
    <t xml:space="preserve">May 24</t>
  </si>
  <si>
    <t xml:space="preserve">May 25</t>
  </si>
  <si>
    <t xml:space="preserve">May 26</t>
  </si>
  <si>
    <t xml:space="preserve">May 27</t>
  </si>
  <si>
    <t xml:space="preserve">May 28</t>
  </si>
  <si>
    <t xml:space="preserve">May 29</t>
  </si>
  <si>
    <t xml:space="preserve">May 30</t>
  </si>
  <si>
    <t xml:space="preserve">May 31</t>
  </si>
  <si>
    <t xml:space="preserve">June 1</t>
  </si>
  <si>
    <t xml:space="preserve">June 2</t>
  </si>
  <si>
    <t xml:space="preserve">June 3</t>
  </si>
  <si>
    <t xml:space="preserve">June 4</t>
  </si>
  <si>
    <t xml:space="preserve">June 5</t>
  </si>
  <si>
    <t xml:space="preserve">June 6</t>
  </si>
  <si>
    <t xml:space="preserve">June 7</t>
  </si>
  <si>
    <t xml:space="preserve">June 8</t>
  </si>
  <si>
    <t xml:space="preserve">June 9</t>
  </si>
  <si>
    <t xml:space="preserve">June 10</t>
  </si>
  <si>
    <t xml:space="preserve">June 11</t>
  </si>
  <si>
    <t xml:space="preserve">June 12</t>
  </si>
  <si>
    <t xml:space="preserve">June 13</t>
  </si>
  <si>
    <t xml:space="preserve">June 14</t>
  </si>
  <si>
    <t xml:space="preserve">June 15</t>
  </si>
  <si>
    <t xml:space="preserve">June 16</t>
  </si>
  <si>
    <t xml:space="preserve">June 17</t>
  </si>
  <si>
    <t xml:space="preserve">June 18</t>
  </si>
  <si>
    <t xml:space="preserve">June 19</t>
  </si>
  <si>
    <t xml:space="preserve">June 20</t>
  </si>
  <si>
    <t xml:space="preserve">June 21</t>
  </si>
  <si>
    <t xml:space="preserve">June 22</t>
  </si>
  <si>
    <t xml:space="preserve">June 23</t>
  </si>
  <si>
    <t xml:space="preserve">June 24</t>
  </si>
  <si>
    <t xml:space="preserve">June 25</t>
  </si>
  <si>
    <t xml:space="preserve">June 26</t>
  </si>
  <si>
    <t xml:space="preserve">June 27</t>
  </si>
  <si>
    <t xml:space="preserve">June 28</t>
  </si>
  <si>
    <t xml:space="preserve">June 29</t>
  </si>
  <si>
    <t xml:space="preserve">June 30</t>
  </si>
  <si>
    <t xml:space="preserve">July 1</t>
  </si>
  <si>
    <t xml:space="preserve">July 2</t>
  </si>
  <si>
    <t xml:space="preserve">July 3</t>
  </si>
  <si>
    <t xml:space="preserve">July 4</t>
  </si>
  <si>
    <t xml:space="preserve">July 5</t>
  </si>
  <si>
    <t xml:space="preserve">July 6</t>
  </si>
  <si>
    <t xml:space="preserve">July 7</t>
  </si>
  <si>
    <t xml:space="preserve">July 8</t>
  </si>
  <si>
    <t xml:space="preserve">July 9</t>
  </si>
  <si>
    <t xml:space="preserve">July 10</t>
  </si>
  <si>
    <t xml:space="preserve">July 11</t>
  </si>
  <si>
    <t xml:space="preserve">July 12</t>
  </si>
  <si>
    <t xml:space="preserve">July 13</t>
  </si>
  <si>
    <t xml:space="preserve">July 14</t>
  </si>
  <si>
    <t xml:space="preserve">July 15</t>
  </si>
  <si>
    <t xml:space="preserve">July 16</t>
  </si>
  <si>
    <t xml:space="preserve">July 17</t>
  </si>
  <si>
    <t xml:space="preserve">July 18</t>
  </si>
  <si>
    <t xml:space="preserve">July 19</t>
  </si>
  <si>
    <t xml:space="preserve">July 20</t>
  </si>
  <si>
    <t xml:space="preserve">July 21</t>
  </si>
  <si>
    <t xml:space="preserve">July 22</t>
  </si>
  <si>
    <t xml:space="preserve">July 23</t>
  </si>
  <si>
    <t xml:space="preserve">July 24</t>
  </si>
  <si>
    <t xml:space="preserve">July 25</t>
  </si>
  <si>
    <t xml:space="preserve">July 26</t>
  </si>
  <si>
    <t xml:space="preserve">July 27</t>
  </si>
  <si>
    <t xml:space="preserve">July 28</t>
  </si>
  <si>
    <t xml:space="preserve">July 29</t>
  </si>
  <si>
    <t xml:space="preserve">July 30</t>
  </si>
  <si>
    <t xml:space="preserve">July 31</t>
  </si>
  <si>
    <t xml:space="preserve">August 1</t>
  </si>
  <si>
    <t xml:space="preserve">August 2</t>
  </si>
  <si>
    <t xml:space="preserve">August 3</t>
  </si>
  <si>
    <t xml:space="preserve">August 4</t>
  </si>
  <si>
    <t xml:space="preserve">August 5</t>
  </si>
  <si>
    <t xml:space="preserve">August 6</t>
  </si>
  <si>
    <t xml:space="preserve">August 7</t>
  </si>
  <si>
    <t xml:space="preserve">August 8</t>
  </si>
  <si>
    <t xml:space="preserve">August 9</t>
  </si>
  <si>
    <t xml:space="preserve">August 10</t>
  </si>
  <si>
    <t xml:space="preserve">August 11</t>
  </si>
  <si>
    <t xml:space="preserve">August 12</t>
  </si>
  <si>
    <t xml:space="preserve">August 13</t>
  </si>
  <si>
    <t xml:space="preserve">August 14</t>
  </si>
  <si>
    <t xml:space="preserve">August 15</t>
  </si>
  <si>
    <t xml:space="preserve">August 16</t>
  </si>
  <si>
    <t xml:space="preserve">August 17</t>
  </si>
  <si>
    <t xml:space="preserve">August 18</t>
  </si>
  <si>
    <t xml:space="preserve">August 19</t>
  </si>
  <si>
    <t xml:space="preserve">August 20</t>
  </si>
  <si>
    <t xml:space="preserve">August 21</t>
  </si>
  <si>
    <t xml:space="preserve">August 22</t>
  </si>
  <si>
    <t xml:space="preserve">August 23</t>
  </si>
  <si>
    <t xml:space="preserve">August 24</t>
  </si>
  <si>
    <t xml:space="preserve">August 25</t>
  </si>
  <si>
    <t xml:space="preserve">August 26</t>
  </si>
  <si>
    <t xml:space="preserve">August 27</t>
  </si>
  <si>
    <t xml:space="preserve">August 28</t>
  </si>
  <si>
    <t xml:space="preserve">August 29</t>
  </si>
  <si>
    <t xml:space="preserve">August 30</t>
  </si>
  <si>
    <t xml:space="preserve">August 31</t>
  </si>
  <si>
    <t xml:space="preserve">September 1</t>
  </si>
  <si>
    <t xml:space="preserve">September 2</t>
  </si>
  <si>
    <t xml:space="preserve">September 3</t>
  </si>
  <si>
    <t xml:space="preserve">September 4</t>
  </si>
  <si>
    <t xml:space="preserve">September 5</t>
  </si>
  <si>
    <t xml:space="preserve">September 6</t>
  </si>
  <si>
    <t xml:space="preserve">September 7</t>
  </si>
  <si>
    <t xml:space="preserve">September 8</t>
  </si>
  <si>
    <t xml:space="preserve">September 9</t>
  </si>
  <si>
    <t xml:space="preserve">September 10</t>
  </si>
  <si>
    <t xml:space="preserve">September 11</t>
  </si>
  <si>
    <t xml:space="preserve">September 12</t>
  </si>
  <si>
    <t xml:space="preserve">September 13</t>
  </si>
  <si>
    <t xml:space="preserve">September 14</t>
  </si>
  <si>
    <t xml:space="preserve">September 15</t>
  </si>
  <si>
    <t xml:space="preserve">September 16</t>
  </si>
  <si>
    <t xml:space="preserve">September 17</t>
  </si>
  <si>
    <t xml:space="preserve">September 18</t>
  </si>
  <si>
    <t xml:space="preserve">September 19</t>
  </si>
  <si>
    <t xml:space="preserve">September 20</t>
  </si>
  <si>
    <t xml:space="preserve">September 21</t>
  </si>
  <si>
    <t xml:space="preserve">September 22</t>
  </si>
  <si>
    <t xml:space="preserve">September 23</t>
  </si>
  <si>
    <t xml:space="preserve">September 24</t>
  </si>
  <si>
    <t xml:space="preserve">September 25</t>
  </si>
  <si>
    <t xml:space="preserve">September 26</t>
  </si>
  <si>
    <t xml:space="preserve">September 27</t>
  </si>
  <si>
    <t xml:space="preserve">September 28</t>
  </si>
  <si>
    <t xml:space="preserve">September 29</t>
  </si>
  <si>
    <t xml:space="preserve">September 30</t>
  </si>
  <si>
    <t xml:space="preserve">October 1</t>
  </si>
  <si>
    <t xml:space="preserve">October 2</t>
  </si>
  <si>
    <t xml:space="preserve">October 3</t>
  </si>
  <si>
    <t xml:space="preserve">October 4</t>
  </si>
  <si>
    <t xml:space="preserve">October 5</t>
  </si>
  <si>
    <t xml:space="preserve">October 6</t>
  </si>
  <si>
    <t xml:space="preserve">October 7</t>
  </si>
  <si>
    <t xml:space="preserve">October 8</t>
  </si>
  <si>
    <t xml:space="preserve">October 9</t>
  </si>
  <si>
    <t xml:space="preserve">October 10</t>
  </si>
  <si>
    <t xml:space="preserve">October 11</t>
  </si>
  <si>
    <t xml:space="preserve">October 12</t>
  </si>
  <si>
    <t xml:space="preserve">October 13</t>
  </si>
  <si>
    <t xml:space="preserve">October 14</t>
  </si>
  <si>
    <t xml:space="preserve">October 15</t>
  </si>
  <si>
    <t xml:space="preserve">October 16</t>
  </si>
  <si>
    <t xml:space="preserve">October 17</t>
  </si>
  <si>
    <t xml:space="preserve">October 18</t>
  </si>
  <si>
    <t xml:space="preserve">October 19</t>
  </si>
  <si>
    <t xml:space="preserve">October 20</t>
  </si>
  <si>
    <t xml:space="preserve">October 21</t>
  </si>
  <si>
    <t xml:space="preserve">October 22</t>
  </si>
  <si>
    <t xml:space="preserve">October 23</t>
  </si>
  <si>
    <t xml:space="preserve">October 24</t>
  </si>
  <si>
    <t xml:space="preserve">October 25</t>
  </si>
  <si>
    <t xml:space="preserve">October 26</t>
  </si>
  <si>
    <t xml:space="preserve">October 27</t>
  </si>
  <si>
    <t xml:space="preserve">October 28</t>
  </si>
  <si>
    <t xml:space="preserve">October 29</t>
  </si>
  <si>
    <t xml:space="preserve">October 30</t>
  </si>
  <si>
    <t xml:space="preserve">October 31</t>
  </si>
  <si>
    <t xml:space="preserve">November 1</t>
  </si>
  <si>
    <t xml:space="preserve">November 2</t>
  </si>
  <si>
    <t xml:space="preserve">November 3</t>
  </si>
  <si>
    <t xml:space="preserve">November 4</t>
  </si>
  <si>
    <t xml:space="preserve">November 5</t>
  </si>
  <si>
    <t xml:space="preserve">November 6</t>
  </si>
  <si>
    <t xml:space="preserve">November 7</t>
  </si>
  <si>
    <t xml:space="preserve">November 8</t>
  </si>
  <si>
    <t xml:space="preserve">November 9</t>
  </si>
  <si>
    <t xml:space="preserve">November 10</t>
  </si>
  <si>
    <t xml:space="preserve">November 11</t>
  </si>
  <si>
    <t xml:space="preserve">November 12</t>
  </si>
  <si>
    <t xml:space="preserve">November 13</t>
  </si>
  <si>
    <t xml:space="preserve">November 14</t>
  </si>
  <si>
    <t xml:space="preserve">November 15</t>
  </si>
  <si>
    <t xml:space="preserve">November 16</t>
  </si>
  <si>
    <t xml:space="preserve">November 17</t>
  </si>
  <si>
    <t xml:space="preserve">November 18</t>
  </si>
  <si>
    <t xml:space="preserve">November 19</t>
  </si>
  <si>
    <t xml:space="preserve">November 20</t>
  </si>
  <si>
    <t xml:space="preserve">November 21</t>
  </si>
  <si>
    <t xml:space="preserve">November 22</t>
  </si>
  <si>
    <t xml:space="preserve">November 23</t>
  </si>
  <si>
    <t xml:space="preserve">November 24</t>
  </si>
  <si>
    <t xml:space="preserve">November 25</t>
  </si>
  <si>
    <t xml:space="preserve">November 26</t>
  </si>
  <si>
    <t xml:space="preserve">November 27</t>
  </si>
  <si>
    <t xml:space="preserve">November 28</t>
  </si>
  <si>
    <t xml:space="preserve">November 29</t>
  </si>
  <si>
    <t xml:space="preserve">November 30</t>
  </si>
  <si>
    <t xml:space="preserve">December 1</t>
  </si>
  <si>
    <t xml:space="preserve">December 2</t>
  </si>
  <si>
    <t xml:space="preserve">December 3</t>
  </si>
  <si>
    <t xml:space="preserve">December 4</t>
  </si>
  <si>
    <t xml:space="preserve">December 5</t>
  </si>
  <si>
    <t xml:space="preserve">December 6</t>
  </si>
  <si>
    <t xml:space="preserve">December 7</t>
  </si>
  <si>
    <t xml:space="preserve">December 8</t>
  </si>
  <si>
    <t xml:space="preserve">December 9</t>
  </si>
  <si>
    <t xml:space="preserve">December 10</t>
  </si>
  <si>
    <t xml:space="preserve">December 11</t>
  </si>
  <si>
    <t xml:space="preserve">December 12</t>
  </si>
  <si>
    <t xml:space="preserve">December 13</t>
  </si>
  <si>
    <t xml:space="preserve">December 14</t>
  </si>
  <si>
    <t xml:space="preserve">December 15</t>
  </si>
  <si>
    <t xml:space="preserve">December 16</t>
  </si>
  <si>
    <t xml:space="preserve">December 17</t>
  </si>
  <si>
    <t xml:space="preserve">December 18</t>
  </si>
  <si>
    <t xml:space="preserve">December 19</t>
  </si>
  <si>
    <t xml:space="preserve">December 20</t>
  </si>
  <si>
    <t xml:space="preserve">December 21</t>
  </si>
  <si>
    <t xml:space="preserve">December 22</t>
  </si>
  <si>
    <t xml:space="preserve">December 23</t>
  </si>
  <si>
    <t xml:space="preserve">December 24</t>
  </si>
  <si>
    <t xml:space="preserve">December 25</t>
  </si>
  <si>
    <t xml:space="preserve">December 26</t>
  </si>
  <si>
    <t xml:space="preserve">December 27</t>
  </si>
  <si>
    <t xml:space="preserve">December 28</t>
  </si>
  <si>
    <t xml:space="preserve">December 29</t>
  </si>
  <si>
    <t xml:space="preserve">December 30</t>
  </si>
  <si>
    <t xml:space="preserve">December 31</t>
  </si>
  <si>
    <t xml:space="preserve">DIRECT/NEAR STORMS EVERY DAY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</si>
</sst>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.00\ [$Kč-405];[RED]\-#,##0.00\ [$Kč-405]"/>
    <numFmt numFmtId="167" formatCode="0.00"/>
    <numFmt numFmtId="168" formatCode="#,##0.00"/>
    <numFmt numFmtId="169" formatCode="0"/>
  </numFmts>
  <fonts count="23">
    <font>
      <sz val="10"/>
      <color theme="1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color theme="1"/>
      <name val="Liberation Sans1"/>
      <family val="0"/>
      <charset val="238"/>
    </font>
    <font>
      <sz val="10"/>
      <color theme="1"/>
      <name val="Liberation Sans1"/>
      <family val="0"/>
      <charset val="238"/>
    </font>
    <font>
      <i val="true"/>
      <sz val="10"/>
      <color theme="1"/>
      <name val="Liberation Sans1"/>
      <family val="0"/>
      <charset val="238"/>
    </font>
    <font>
      <b val="true"/>
      <sz val="24"/>
      <color theme="1"/>
      <name val="Liberation Sans1"/>
      <family val="0"/>
      <charset val="238"/>
    </font>
    <font>
      <u val="single"/>
      <sz val="10"/>
      <color theme="1"/>
      <name val="Liberation Sans1"/>
      <family val="0"/>
      <charset val="238"/>
    </font>
    <font>
      <b val="true"/>
      <i val="true"/>
      <u val="single"/>
      <sz val="10"/>
      <color theme="1"/>
      <name val="Liberation Sans1"/>
      <family val="0"/>
      <charset val="238"/>
    </font>
    <font>
      <b val="true"/>
      <sz val="28"/>
      <color theme="1"/>
      <name val="Arial"/>
      <family val="0"/>
      <charset val="238"/>
    </font>
    <font>
      <sz val="12"/>
      <color rgb="FF000000"/>
      <name val="Liberation Sans1"/>
      <family val="0"/>
      <charset val="238"/>
    </font>
    <font>
      <b val="true"/>
      <sz val="12"/>
      <color rgb="FF000000"/>
      <name val="Liberation Sans1"/>
      <family val="0"/>
      <charset val="238"/>
    </font>
    <font>
      <b val="true"/>
      <sz val="16"/>
      <color rgb="FF000000"/>
      <name val="Liberation Sans1"/>
      <family val="0"/>
      <charset val="238"/>
    </font>
    <font>
      <sz val="16"/>
      <color rgb="FF000000"/>
      <name val="Liberation Sans1"/>
      <family val="0"/>
      <charset val="238"/>
    </font>
    <font>
      <b val="true"/>
      <sz val="9"/>
      <color theme="1"/>
      <name val="Liberation Sans1"/>
      <family val="0"/>
      <charset val="238"/>
    </font>
    <font>
      <b val="true"/>
      <sz val="10"/>
      <color theme="1"/>
      <name val="Arial"/>
      <family val="0"/>
      <charset val="238"/>
    </font>
    <font>
      <b val="true"/>
      <sz val="32"/>
      <color theme="1"/>
      <name val="Liberation Sans1"/>
      <family val="0"/>
      <charset val="238"/>
    </font>
    <font>
      <sz val="13"/>
      <color rgb="FF000000"/>
      <name val="Calibri"/>
      <family val="2"/>
    </font>
    <font>
      <sz val="10"/>
      <color rgb="FF000000"/>
      <name val="Calibri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10"/>
      <color rgb="FF1C1C1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80000000"/>
      </patternFill>
    </fill>
    <fill>
      <patternFill patternType="solid">
        <fgColor rgb="FF808080"/>
        <bgColor rgb="99808080"/>
      </patternFill>
    </fill>
    <fill>
      <patternFill patternType="solid">
        <fgColor rgb="FFDDDDDD"/>
        <bgColor rgb="FFCCFFFF"/>
      </patternFill>
    </fill>
    <fill>
      <patternFill patternType="solid">
        <fgColor rgb="FFCC0000"/>
        <bgColor rgb="FFC5000B"/>
      </patternFill>
    </fill>
    <fill>
      <patternFill patternType="solid">
        <fgColor rgb="FF24B1F7"/>
        <bgColor rgb="FF00CCFF"/>
      </patternFill>
    </fill>
    <fill>
      <patternFill patternType="solid">
        <fgColor rgb="FFFF0000"/>
        <bgColor rgb="E6FF0000"/>
      </patternFill>
    </fill>
    <fill>
      <patternFill patternType="solid">
        <fgColor rgb="80FF8000"/>
        <bgColor rgb="FFFF8000"/>
      </patternFill>
    </fill>
    <fill>
      <patternFill patternType="solid">
        <fgColor rgb="FFFFFF00"/>
        <bgColor rgb="80FFFF00"/>
      </patternFill>
    </fill>
    <fill>
      <patternFill patternType="solid">
        <fgColor theme="5"/>
        <bgColor rgb="80FF800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double"/>
      <right/>
      <top/>
      <bottom style="double">
        <color rgb="FF505050"/>
      </bottom>
      <diagonal/>
    </border>
    <border diagonalUp="false" diagonalDown="false">
      <left/>
      <right/>
      <top/>
      <bottom style="double">
        <color rgb="FF505050"/>
      </bottom>
      <diagonal/>
    </border>
    <border diagonalUp="false" diagonalDown="false">
      <left/>
      <right style="double"/>
      <top/>
      <bottom style="double">
        <color rgb="FF505050"/>
      </bottom>
      <diagonal/>
    </border>
    <border diagonalUp="false" diagonalDown="false">
      <left style="thin"/>
      <right style="thin"/>
      <top/>
      <bottom style="thin">
        <color rgb="FF505050"/>
      </bottom>
      <diagonal/>
    </border>
    <border diagonalUp="false" diagonalDown="false">
      <left/>
      <right/>
      <top/>
      <bottom style="thin">
        <color rgb="FF505050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7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2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4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4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5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6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8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9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4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6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9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2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3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4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80FF4000"/>
      <rgbColor rgb="FFFF0000"/>
      <rgbColor rgb="8000A933"/>
      <rgbColor rgb="802A6099"/>
      <rgbColor rgb="FFFFFF00"/>
      <rgbColor rgb="80FC22FF"/>
      <rgbColor rgb="FF00FFFF"/>
      <rgbColor rgb="FF7E0021"/>
      <rgbColor rgb="9900A933"/>
      <rgbColor rgb="FF505050"/>
      <rgbColor rgb="80579D1C"/>
      <rgbColor rgb="99800080"/>
      <rgbColor rgb="99158466"/>
      <rgbColor rgb="FFB3B3B3"/>
      <rgbColor rgb="FF808080"/>
      <rgbColor rgb="99808080"/>
      <rgbColor rgb="8055308D"/>
      <rgbColor rgb="FFE6E905"/>
      <rgbColor rgb="8081D41A"/>
      <rgbColor rgb="FF4B1F6F"/>
      <rgbColor rgb="FFED7D31"/>
      <rgbColor rgb="FF0084D1"/>
      <rgbColor rgb="FFDDDDDD"/>
      <rgbColor rgb="992A6099"/>
      <rgbColor rgb="E6FF0000"/>
      <rgbColor rgb="80FFFF00"/>
      <rgbColor rgb="FF00FFFF"/>
      <rgbColor rgb="80800080"/>
      <rgbColor rgb="FFC5000B"/>
      <rgbColor rgb="80158466"/>
      <rgbColor rgb="80FF0000"/>
      <rgbColor rgb="FF00CCFF"/>
      <rgbColor rgb="FFCCFFFF"/>
      <rgbColor rgb="9981D41A"/>
      <rgbColor rgb="FFFFD320"/>
      <rgbColor rgb="FF83CAFF"/>
      <rgbColor rgb="80FF8000"/>
      <rgbColor rgb="FFFF420E"/>
      <rgbColor rgb="FFFFD428"/>
      <rgbColor rgb="FF2A6099"/>
      <rgbColor rgb="FF24B1F7"/>
      <rgbColor rgb="FFAECF00"/>
      <rgbColor rgb="80FFBF00"/>
      <rgbColor rgb="FFFF950E"/>
      <rgbColor rgb="FFFF8000"/>
      <rgbColor rgb="E65983B0"/>
      <rgbColor rgb="B3999999"/>
      <rgbColor rgb="FF004586"/>
      <rgbColor rgb="FF579D1C"/>
      <rgbColor rgb="80000000"/>
      <rgbColor rgb="FF314004"/>
      <rgbColor rgb="FFCC0000"/>
      <rgbColor rgb="80BF0041"/>
      <rgbColor rgb="9955308D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3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Number of thunderstorm days throughout the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26375046546777"/>
          <c:y val="0.0850170774865232"/>
          <c:w val="0.870129016713031"/>
          <c:h val="0.869346940455125"/>
        </c:manualLayout>
      </c:layout>
      <c:lineChart>
        <c:grouping val="standard"/>
        <c:varyColors val="0"/>
        <c:ser>
          <c:idx val="0"/>
          <c:order val="0"/>
          <c:tx>
            <c:strRef>
              <c:f>List1!$E$4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rgbClr val="fc22ff">
                <a:alpha val="50000"/>
              </a:srgbClr>
            </a:solidFill>
            <a:ln cap="rnd" w="28800">
              <a:solidFill>
                <a:srgbClr val="fc22ff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List1!$E$5:$E$370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12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18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List1!$F$4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000000">
                <a:alpha val="50000"/>
              </a:srgbClr>
            </a:solidFill>
            <a:ln w="28800">
              <a:solidFill>
                <a:srgbClr val="000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List1!$F$5:$F$370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6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14</c:v>
                </c:pt>
                <c:pt idx="163">
                  <c:v>14</c:v>
                </c:pt>
                <c:pt idx="164">
                  <c:v>15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17</c:v>
                </c:pt>
                <c:pt idx="176">
                  <c:v>17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17</c:v>
                </c:pt>
                <c:pt idx="181">
                  <c:v>17</c:v>
                </c:pt>
                <c:pt idx="182">
                  <c:v>18</c:v>
                </c:pt>
                <c:pt idx="183">
                  <c:v>19</c:v>
                </c:pt>
                <c:pt idx="184">
                  <c:v>19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21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24</c:v>
                </c:pt>
                <c:pt idx="231">
                  <c:v>25</c:v>
                </c:pt>
                <c:pt idx="232">
                  <c:v>25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List1!$G$4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000000">
                <a:alpha val="50000"/>
              </a:srgbClr>
            </a:solidFill>
            <a:ln cap="rnd" w="28800">
              <a:solidFill>
                <a:srgbClr val="000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List1!$G$5:$G$370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11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15</c:v>
                </c:pt>
                <c:pt idx="229">
                  <c:v>16</c:v>
                </c:pt>
                <c:pt idx="230">
                  <c:v>16</c:v>
                </c:pt>
                <c:pt idx="231">
                  <c:v>17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19</c:v>
                </c:pt>
                <c:pt idx="236">
                  <c:v>19</c:v>
                </c:pt>
                <c:pt idx="237">
                  <c:v>20</c:v>
                </c:pt>
                <c:pt idx="238">
                  <c:v>21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List1!$H$4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 w="28800">
              <a:solidFill>
                <a:srgbClr val="ffff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List1!$H$5:$H$370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11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15</c:v>
                </c:pt>
                <c:pt idx="195">
                  <c:v>16</c:v>
                </c:pt>
                <c:pt idx="196">
                  <c:v>16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19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21</c:v>
                </c:pt>
                <c:pt idx="221">
                  <c:v>21</c:v>
                </c:pt>
                <c:pt idx="222">
                  <c:v>21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27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List1!$I$4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rgbClr val="ffbf00">
                <a:alpha val="50000"/>
              </a:srgbClr>
            </a:solidFill>
            <a:ln w="28800">
              <a:solidFill>
                <a:srgbClr val="ffbf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List1!$I$5:$I$370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11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15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17</c:v>
                </c:pt>
                <c:pt idx="186">
                  <c:v>17</c:v>
                </c:pt>
                <c:pt idx="187">
                  <c:v>17</c:v>
                </c:pt>
                <c:pt idx="188">
                  <c:v>17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19</c:v>
                </c:pt>
                <c:pt idx="203">
                  <c:v>20</c:v>
                </c:pt>
                <c:pt idx="204">
                  <c:v>21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23</c:v>
                </c:pt>
                <c:pt idx="209">
                  <c:v>24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27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List1!$J$4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rgbClr val="ff8000">
                <a:alpha val="50000"/>
              </a:srgbClr>
            </a:solidFill>
            <a:ln w="28800">
              <a:solidFill>
                <a:srgbClr val="ff8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List1!$J$5:$J$370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5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8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13</c:v>
                </c:pt>
                <c:pt idx="162">
                  <c:v>14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17</c:v>
                </c:pt>
                <c:pt idx="183">
                  <c:v>18</c:v>
                </c:pt>
                <c:pt idx="184">
                  <c:v>19</c:v>
                </c:pt>
                <c:pt idx="185">
                  <c:v>19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23</c:v>
                </c:pt>
                <c:pt idx="202">
                  <c:v>23</c:v>
                </c:pt>
                <c:pt idx="203">
                  <c:v>24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27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30</c:v>
                </c:pt>
                <c:pt idx="233">
                  <c:v>31</c:v>
                </c:pt>
                <c:pt idx="234">
                  <c:v>31</c:v>
                </c:pt>
                <c:pt idx="235">
                  <c:v>31</c:v>
                </c:pt>
                <c:pt idx="236">
                  <c:v>31</c:v>
                </c:pt>
                <c:pt idx="237">
                  <c:v>31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33</c:v>
                </c:pt>
                <c:pt idx="243">
                  <c:v>33</c:v>
                </c:pt>
                <c:pt idx="244">
                  <c:v>33</c:v>
                </c:pt>
                <c:pt idx="245">
                  <c:v>33</c:v>
                </c:pt>
                <c:pt idx="246">
                  <c:v>33</c:v>
                </c:pt>
                <c:pt idx="247">
                  <c:v>33</c:v>
                </c:pt>
                <c:pt idx="248">
                  <c:v>33</c:v>
                </c:pt>
                <c:pt idx="249">
                  <c:v>33</c:v>
                </c:pt>
                <c:pt idx="250">
                  <c:v>33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33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</c:v>
                </c:pt>
                <c:pt idx="284">
                  <c:v>33</c:v>
                </c:pt>
                <c:pt idx="285">
                  <c:v>33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33</c:v>
                </c:pt>
                <c:pt idx="297">
                  <c:v>33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34</c:v>
                </c:pt>
                <c:pt idx="304">
                  <c:v>34</c:v>
                </c:pt>
                <c:pt idx="305">
                  <c:v>34</c:v>
                </c:pt>
                <c:pt idx="306">
                  <c:v>34</c:v>
                </c:pt>
                <c:pt idx="307">
                  <c:v>34</c:v>
                </c:pt>
                <c:pt idx="308">
                  <c:v>34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34</c:v>
                </c:pt>
                <c:pt idx="321">
                  <c:v>34</c:v>
                </c:pt>
                <c:pt idx="322">
                  <c:v>34</c:v>
                </c:pt>
                <c:pt idx="323">
                  <c:v>34</c:v>
                </c:pt>
                <c:pt idx="324">
                  <c:v>34</c:v>
                </c:pt>
                <c:pt idx="325">
                  <c:v>34</c:v>
                </c:pt>
                <c:pt idx="326">
                  <c:v>34</c:v>
                </c:pt>
                <c:pt idx="327">
                  <c:v>34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34</c:v>
                </c:pt>
                <c:pt idx="332">
                  <c:v>34</c:v>
                </c:pt>
                <c:pt idx="333">
                  <c:v>34</c:v>
                </c:pt>
                <c:pt idx="334">
                  <c:v>34</c:v>
                </c:pt>
                <c:pt idx="335">
                  <c:v>34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</c:v>
                </c:pt>
                <c:pt idx="342">
                  <c:v>34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</c:v>
                </c:pt>
                <c:pt idx="358">
                  <c:v>34</c:v>
                </c:pt>
                <c:pt idx="359">
                  <c:v>34</c:v>
                </c:pt>
                <c:pt idx="360">
                  <c:v>34</c:v>
                </c:pt>
                <c:pt idx="361">
                  <c:v>34</c:v>
                </c:pt>
                <c:pt idx="362">
                  <c:v>34</c:v>
                </c:pt>
                <c:pt idx="363">
                  <c:v>34</c:v>
                </c:pt>
                <c:pt idx="364">
                  <c:v>34</c:v>
                </c:pt>
                <c:pt idx="365">
                  <c:v>34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List1!$K$4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rgbClr val="ff4000">
                <a:alpha val="50000"/>
              </a:srgbClr>
            </a:solidFill>
            <a:ln w="28800">
              <a:solidFill>
                <a:srgbClr val="ff4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List1!$K$5:$K$370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5</c:v>
                </c:pt>
                <c:pt idx="142">
                  <c:v>5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9</c:v>
                </c:pt>
                <c:pt idx="156">
                  <c:v>9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17</c:v>
                </c:pt>
                <c:pt idx="196">
                  <c:v>18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21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23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25</c:v>
                </c:pt>
                <c:pt idx="233">
                  <c:v>25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List1!$L$4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 w="28800">
              <a:solidFill>
                <a:srgbClr val="ff0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List1!$L$5:$L$370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6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9</c:v>
                </c:pt>
                <c:pt idx="168">
                  <c:v>10</c:v>
                </c:pt>
                <c:pt idx="169">
                  <c:v>10</c:v>
                </c:pt>
                <c:pt idx="170">
                  <c:v>11</c:v>
                </c:pt>
                <c:pt idx="171">
                  <c:v>12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15</c:v>
                </c:pt>
                <c:pt idx="188">
                  <c:v>15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17</c:v>
                </c:pt>
                <c:pt idx="193">
                  <c:v>18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20</c:v>
                </c:pt>
                <c:pt idx="203">
                  <c:v>20</c:v>
                </c:pt>
                <c:pt idx="204">
                  <c:v>21</c:v>
                </c:pt>
                <c:pt idx="205">
                  <c:v>21</c:v>
                </c:pt>
                <c:pt idx="206">
                  <c:v>21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24</c:v>
                </c:pt>
                <c:pt idx="211">
                  <c:v>24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28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31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31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List1!$M$4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bf0041">
                <a:alpha val="50000"/>
              </a:srgbClr>
            </a:solidFill>
            <a:ln w="28800">
              <a:solidFill>
                <a:srgbClr val="bf0041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List1!$M$5:$M$370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6</c:v>
                </c:pt>
                <c:pt idx="146">
                  <c:v>7</c:v>
                </c:pt>
                <c:pt idx="147">
                  <c:v>8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10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13</c:v>
                </c:pt>
                <c:pt idx="164">
                  <c:v>13</c:v>
                </c:pt>
                <c:pt idx="165">
                  <c:v>14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17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19</c:v>
                </c:pt>
                <c:pt idx="191">
                  <c:v>19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21</c:v>
                </c:pt>
                <c:pt idx="201">
                  <c:v>22</c:v>
                </c:pt>
                <c:pt idx="202">
                  <c:v>22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24</c:v>
                </c:pt>
                <c:pt idx="220">
                  <c:v>25</c:v>
                </c:pt>
                <c:pt idx="221">
                  <c:v>26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28</c:v>
                </c:pt>
                <c:pt idx="232">
                  <c:v>28</c:v>
                </c:pt>
                <c:pt idx="233">
                  <c:v>29</c:v>
                </c:pt>
                <c:pt idx="234">
                  <c:v>30</c:v>
                </c:pt>
                <c:pt idx="235">
                  <c:v>31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32</c:v>
                </c:pt>
                <c:pt idx="304">
                  <c:v>32</c:v>
                </c:pt>
                <c:pt idx="305">
                  <c:v>32</c:v>
                </c:pt>
                <c:pt idx="306">
                  <c:v>32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32</c:v>
                </c:pt>
                <c:pt idx="311">
                  <c:v>32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List1!$N$4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800080">
                <a:alpha val="60000"/>
              </a:srgbClr>
            </a:solidFill>
            <a:ln w="28800">
              <a:solidFill>
                <a:srgbClr val="800080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List1!$N$5:$N$370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7</c:v>
                </c:pt>
                <c:pt idx="135">
                  <c:v>8</c:v>
                </c:pt>
                <c:pt idx="136">
                  <c:v>9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17</c:v>
                </c:pt>
                <c:pt idx="174">
                  <c:v>17</c:v>
                </c:pt>
                <c:pt idx="175">
                  <c:v>17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21</c:v>
                </c:pt>
                <c:pt idx="208">
                  <c:v>21</c:v>
                </c:pt>
                <c:pt idx="209">
                  <c:v>21</c:v>
                </c:pt>
                <c:pt idx="210">
                  <c:v>21</c:v>
                </c:pt>
                <c:pt idx="211">
                  <c:v>21</c:v>
                </c:pt>
                <c:pt idx="212">
                  <c:v>21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23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26</c:v>
                </c:pt>
                <c:pt idx="277">
                  <c:v>26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List1!$O$4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55308d">
                <a:alpha val="60000"/>
              </a:srgbClr>
            </a:solidFill>
            <a:ln w="28800">
              <a:solidFill>
                <a:srgbClr val="55308d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List1!$O$5:$O$370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6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12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16</c:v>
                </c:pt>
                <c:pt idx="182">
                  <c:v>17</c:v>
                </c:pt>
                <c:pt idx="183">
                  <c:v>18</c:v>
                </c:pt>
                <c:pt idx="184">
                  <c:v>19</c:v>
                </c:pt>
                <c:pt idx="185">
                  <c:v>20</c:v>
                </c:pt>
                <c:pt idx="186">
                  <c:v>20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22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28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List1!$P$4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2a6099">
                <a:alpha val="60000"/>
              </a:srgbClr>
            </a:solidFill>
            <a:ln w="28800">
              <a:solidFill>
                <a:srgbClr val="2a6099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List1!$P$5:$P$370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7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12</c:v>
                </c:pt>
                <c:pt idx="197">
                  <c:v>12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14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18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List1!$Q$4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158466">
                <a:alpha val="60000"/>
              </a:srgbClr>
            </a:solidFill>
            <a:ln w="28800">
              <a:solidFill>
                <a:srgbClr val="158466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List1!$Q$5:$Q$370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2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5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11</c:v>
                </c:pt>
                <c:pt idx="157">
                  <c:v>12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16</c:v>
                </c:pt>
                <c:pt idx="174">
                  <c:v>17</c:v>
                </c:pt>
                <c:pt idx="175">
                  <c:v>17</c:v>
                </c:pt>
                <c:pt idx="176">
                  <c:v>17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17</c:v>
                </c:pt>
                <c:pt idx="181">
                  <c:v>17</c:v>
                </c:pt>
                <c:pt idx="182">
                  <c:v>17</c:v>
                </c:pt>
                <c:pt idx="183">
                  <c:v>17</c:v>
                </c:pt>
                <c:pt idx="184">
                  <c:v>17</c:v>
                </c:pt>
                <c:pt idx="185">
                  <c:v>17</c:v>
                </c:pt>
                <c:pt idx="186">
                  <c:v>17</c:v>
                </c:pt>
                <c:pt idx="187">
                  <c:v>18</c:v>
                </c:pt>
                <c:pt idx="188">
                  <c:v>19</c:v>
                </c:pt>
                <c:pt idx="189">
                  <c:v>20</c:v>
                </c:pt>
                <c:pt idx="190">
                  <c:v>20</c:v>
                </c:pt>
                <c:pt idx="191">
                  <c:v>21</c:v>
                </c:pt>
                <c:pt idx="192">
                  <c:v>22</c:v>
                </c:pt>
                <c:pt idx="193">
                  <c:v>22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28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31</c:v>
                </c:pt>
                <c:pt idx="264">
                  <c:v>31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32</c:v>
                </c:pt>
                <c:pt idx="304">
                  <c:v>32</c:v>
                </c:pt>
                <c:pt idx="305">
                  <c:v>32</c:v>
                </c:pt>
                <c:pt idx="306">
                  <c:v>32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32</c:v>
                </c:pt>
                <c:pt idx="311">
                  <c:v>32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32</c:v>
                </c:pt>
                <c:pt idx="354">
                  <c:v>32</c:v>
                </c:pt>
                <c:pt idx="355">
                  <c:v>32</c:v>
                </c:pt>
                <c:pt idx="356">
                  <c:v>32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List1!$R$4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00a933">
                <a:alpha val="60000"/>
              </a:srgbClr>
            </a:solidFill>
            <a:ln w="28800">
              <a:solidFill>
                <a:srgbClr val="00a933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List1!$R$5:$R$370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6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10</c:v>
                </c:pt>
                <c:pt idx="168">
                  <c:v>11</c:v>
                </c:pt>
                <c:pt idx="169">
                  <c:v>12</c:v>
                </c:pt>
                <c:pt idx="170">
                  <c:v>12</c:v>
                </c:pt>
                <c:pt idx="171">
                  <c:v>13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15</c:v>
                </c:pt>
                <c:pt idx="182">
                  <c:v>16</c:v>
                </c:pt>
                <c:pt idx="183">
                  <c:v>17</c:v>
                </c:pt>
                <c:pt idx="184">
                  <c:v>18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21</c:v>
                </c:pt>
                <c:pt idx="192">
                  <c:v>21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26</c:v>
                </c:pt>
                <c:pt idx="215">
                  <c:v>27</c:v>
                </c:pt>
                <c:pt idx="216">
                  <c:v>27</c:v>
                </c:pt>
                <c:pt idx="217">
                  <c:v>28</c:v>
                </c:pt>
                <c:pt idx="218">
                  <c:v>28</c:v>
                </c:pt>
                <c:pt idx="219">
                  <c:v>28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29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32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33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</c:v>
                </c:pt>
                <c:pt idx="284">
                  <c:v>33</c:v>
                </c:pt>
                <c:pt idx="285">
                  <c:v>33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33</c:v>
                </c:pt>
                <c:pt idx="297">
                  <c:v>33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List1!$S$4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81d41a">
                <a:alpha val="60000"/>
              </a:srgbClr>
            </a:solidFill>
            <a:ln w="28800">
              <a:solidFill>
                <a:srgbClr val="81d41a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List1!$S$5:$S$370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11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14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16</c:v>
                </c:pt>
                <c:pt idx="216">
                  <c:v>17</c:v>
                </c:pt>
                <c:pt idx="217">
                  <c:v>17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List1!$T$4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 cap="rnd" w="28800">
              <a:solidFill>
                <a:srgbClr val="ffff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List1!$T$5:$T$370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5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7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15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17</c:v>
                </c:pt>
                <c:pt idx="187">
                  <c:v>17</c:v>
                </c:pt>
                <c:pt idx="188">
                  <c:v>18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24</c:v>
                </c:pt>
                <c:pt idx="207">
                  <c:v>25</c:v>
                </c:pt>
                <c:pt idx="208">
                  <c:v>26</c:v>
                </c:pt>
                <c:pt idx="209">
                  <c:v>27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30</c:v>
                </c:pt>
                <c:pt idx="215">
                  <c:v>31</c:v>
                </c:pt>
                <c:pt idx="216">
                  <c:v>32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</c:v>
                </c:pt>
                <c:pt idx="240">
                  <c:v>33</c:v>
                </c:pt>
                <c:pt idx="241">
                  <c:v>33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35</c:v>
                </c:pt>
                <c:pt idx="250">
                  <c:v>36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38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List1!$U$4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fbf00">
                <a:alpha val="50000"/>
              </a:srgbClr>
            </a:solidFill>
            <a:ln cap="rnd" w="28800">
              <a:solidFill>
                <a:srgbClr val="ffbf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List1!$U$5:$U$370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8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10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14</c:v>
                </c:pt>
                <c:pt idx="187">
                  <c:v>15</c:v>
                </c:pt>
                <c:pt idx="188">
                  <c:v>16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18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21</c:v>
                </c:pt>
                <c:pt idx="207">
                  <c:v>21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23</c:v>
                </c:pt>
                <c:pt idx="227">
                  <c:v>24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List1!$V$4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f8000">
                <a:alpha val="50000"/>
              </a:srgbClr>
            </a:solidFill>
            <a:ln cap="rnd" w="28800">
              <a:solidFill>
                <a:srgbClr val="ff8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List1!$V$5:$V$370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5</c:v>
                </c:pt>
                <c:pt idx="151">
                  <c:v>6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9</c:v>
                </c:pt>
                <c:pt idx="157">
                  <c:v>10</c:v>
                </c:pt>
                <c:pt idx="158">
                  <c:v>10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12</c:v>
                </c:pt>
                <c:pt idx="164">
                  <c:v>13</c:v>
                </c:pt>
                <c:pt idx="165">
                  <c:v>13</c:v>
                </c:pt>
                <c:pt idx="166">
                  <c:v>14</c:v>
                </c:pt>
                <c:pt idx="167">
                  <c:v>15</c:v>
                </c:pt>
                <c:pt idx="168">
                  <c:v>15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17</c:v>
                </c:pt>
                <c:pt idx="177">
                  <c:v>17</c:v>
                </c:pt>
                <c:pt idx="178">
                  <c:v>17</c:v>
                </c:pt>
                <c:pt idx="179">
                  <c:v>18</c:v>
                </c:pt>
                <c:pt idx="180">
                  <c:v>18</c:v>
                </c:pt>
                <c:pt idx="181">
                  <c:v>19</c:v>
                </c:pt>
                <c:pt idx="182">
                  <c:v>19</c:v>
                </c:pt>
                <c:pt idx="183">
                  <c:v>20</c:v>
                </c:pt>
                <c:pt idx="184">
                  <c:v>21</c:v>
                </c:pt>
                <c:pt idx="185">
                  <c:v>21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29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33</c:v>
                </c:pt>
                <c:pt idx="248">
                  <c:v>33</c:v>
                </c:pt>
                <c:pt idx="249">
                  <c:v>33</c:v>
                </c:pt>
                <c:pt idx="250">
                  <c:v>33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33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</c:v>
                </c:pt>
                <c:pt idx="284">
                  <c:v>33</c:v>
                </c:pt>
                <c:pt idx="285">
                  <c:v>33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33</c:v>
                </c:pt>
                <c:pt idx="297">
                  <c:v>33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List1!$W$4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4000">
                <a:alpha val="50000"/>
              </a:srgbClr>
            </a:solidFill>
            <a:ln cap="rnd" w="28800">
              <a:solidFill>
                <a:srgbClr val="ff4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List1!$W$5:$W$370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8</c:v>
                </c:pt>
                <c:pt idx="159">
                  <c:v>8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11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13</c:v>
                </c:pt>
                <c:pt idx="180">
                  <c:v>13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15</c:v>
                </c:pt>
                <c:pt idx="187">
                  <c:v>16</c:v>
                </c:pt>
                <c:pt idx="188">
                  <c:v>17</c:v>
                </c:pt>
                <c:pt idx="189">
                  <c:v>17</c:v>
                </c:pt>
                <c:pt idx="190">
                  <c:v>18</c:v>
                </c:pt>
                <c:pt idx="191">
                  <c:v>18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21</c:v>
                </c:pt>
                <c:pt idx="202">
                  <c:v>21</c:v>
                </c:pt>
                <c:pt idx="203">
                  <c:v>22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26</c:v>
                </c:pt>
                <c:pt idx="221">
                  <c:v>27</c:v>
                </c:pt>
                <c:pt idx="222">
                  <c:v>28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List1!$X$4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 cap="rnd" w="28800">
              <a:solidFill>
                <a:srgbClr val="ff0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List1!$X$5:$X$370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18</c:v>
                </c:pt>
                <c:pt idx="215">
                  <c:v>19</c:v>
                </c:pt>
                <c:pt idx="216">
                  <c:v>20</c:v>
                </c:pt>
                <c:pt idx="217">
                  <c:v>21</c:v>
                </c:pt>
                <c:pt idx="218">
                  <c:v>21</c:v>
                </c:pt>
                <c:pt idx="219">
                  <c:v>21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25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27</c:v>
                </c:pt>
                <c:pt idx="263">
                  <c:v>27</c:v>
                </c:pt>
                <c:pt idx="264">
                  <c:v>28</c:v>
                </c:pt>
                <c:pt idx="265">
                  <c:v>28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List1!$Y$4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bf0041">
                <a:alpha val="50000"/>
              </a:srgbClr>
            </a:solidFill>
            <a:ln cap="rnd" w="28800">
              <a:solidFill>
                <a:srgbClr val="bf0041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List1!$Y$5:$Y$370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6</c:v>
                </c:pt>
                <c:pt idx="162">
                  <c:v>7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12</c:v>
                </c:pt>
                <c:pt idx="209">
                  <c:v>12</c:v>
                </c:pt>
                <c:pt idx="210">
                  <c:v>13</c:v>
                </c:pt>
                <c:pt idx="211">
                  <c:v>14</c:v>
                </c:pt>
                <c:pt idx="212">
                  <c:v>15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18</c:v>
                </c:pt>
                <c:pt idx="217">
                  <c:v>18</c:v>
                </c:pt>
                <c:pt idx="218">
                  <c:v>19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21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23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List1!$Z$4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800080">
                <a:alpha val="50000"/>
              </a:srgbClr>
            </a:solidFill>
            <a:ln cap="rnd" w="28800">
              <a:solidFill>
                <a:srgbClr val="80008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List1!$Z$5:$Z$370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6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9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15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18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List1!$AA$4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55308d">
                <a:alpha val="50000"/>
              </a:srgbClr>
            </a:solidFill>
            <a:ln cap="rnd" w="28800">
              <a:solidFill>
                <a:srgbClr val="55308d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List1!$AA$5:$AA$370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3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8</c:v>
                </c:pt>
                <c:pt idx="173">
                  <c:v>9</c:v>
                </c:pt>
                <c:pt idx="174">
                  <c:v>10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14</c:v>
                </c:pt>
                <c:pt idx="190">
                  <c:v>15</c:v>
                </c:pt>
                <c:pt idx="191">
                  <c:v>15</c:v>
                </c:pt>
                <c:pt idx="192">
                  <c:v>16</c:v>
                </c:pt>
                <c:pt idx="193">
                  <c:v>16</c:v>
                </c:pt>
                <c:pt idx="194">
                  <c:v>17</c:v>
                </c:pt>
                <c:pt idx="195">
                  <c:v>17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19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21</c:v>
                </c:pt>
                <c:pt idx="216">
                  <c:v>21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List1!$AB$4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a6099">
                <a:alpha val="50000"/>
              </a:srgbClr>
            </a:solidFill>
            <a:ln cap="rnd" w="28800">
              <a:solidFill>
                <a:srgbClr val="2a6099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List1!$AB$5:$AB$370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7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19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21</c:v>
                </c:pt>
                <c:pt idx="250">
                  <c:v>22</c:v>
                </c:pt>
                <c:pt idx="251">
                  <c:v>22</c:v>
                </c:pt>
                <c:pt idx="252">
                  <c:v>23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List1!$AC$4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158466">
                <a:alpha val="50000"/>
              </a:srgbClr>
            </a:solidFill>
            <a:ln cap="rnd" w="28800">
              <a:solidFill>
                <a:srgbClr val="158466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List1!$AC$5:$AC$370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5</c:v>
                </c:pt>
                <c:pt idx="160">
                  <c:v>6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8</c:v>
                </c:pt>
                <c:pt idx="167">
                  <c:v>8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10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12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15</c:v>
                </c:pt>
                <c:pt idx="192">
                  <c:v>15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17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19</c:v>
                </c:pt>
                <c:pt idx="211">
                  <c:v>20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23</c:v>
                </c:pt>
                <c:pt idx="230">
                  <c:v>24</c:v>
                </c:pt>
                <c:pt idx="231">
                  <c:v>24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28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List1!$AD$4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a933">
                <a:alpha val="50000"/>
              </a:srgbClr>
            </a:solidFill>
            <a:ln cap="rnd" w="28800">
              <a:solidFill>
                <a:srgbClr val="00a933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List1!$AD$5:$AD$370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5</c:v>
                </c:pt>
                <c:pt idx="147">
                  <c:v>6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11</c:v>
                </c:pt>
                <c:pt idx="178">
                  <c:v>12</c:v>
                </c:pt>
                <c:pt idx="179">
                  <c:v>13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17</c:v>
                </c:pt>
                <c:pt idx="192">
                  <c:v>18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25</c:v>
                </c:pt>
                <c:pt idx="228">
                  <c:v>25</c:v>
                </c:pt>
                <c:pt idx="229">
                  <c:v>26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List1!$AE$4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81d41a">
                <a:alpha val="50000"/>
              </a:srgbClr>
            </a:solidFill>
            <a:ln cap="rnd" w="28800">
              <a:solidFill>
                <a:srgbClr val="81d41a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List1!$AE$5:$AE$370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9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15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List1!$AF$4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579d1c">
                <a:alpha val="50000"/>
              </a:srgbClr>
            </a:solidFill>
            <a:ln w="28800">
              <a:solidFill>
                <a:srgbClr val="579d1c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List1!$AF$5:$AF$370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6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10</c:v>
                </c:pt>
                <c:pt idx="180">
                  <c:v>11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19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5142"/>
        <c:axId val="91362425"/>
      </c:lineChart>
      <c:catAx>
        <c:axId val="3351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91362425"/>
        <c:crosses val="autoZero"/>
        <c:auto val="1"/>
        <c:lblAlgn val="ctr"/>
        <c:lblOffset val="100"/>
        <c:noMultiLvlLbl val="0"/>
      </c:catAx>
      <c:valAx>
        <c:axId val="9136242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335142"/>
        <c:crossesAt val="1"/>
        <c:crossBetween val="between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3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Max, Min and Avg TD throughout the years 1999-2025</a:t>
            </a:r>
          </a:p>
        </c:rich>
      </c:tx>
      <c:layout>
        <c:manualLayout>
          <c:xMode val="edge"/>
          <c:yMode val="edge"/>
          <c:x val="0.409814932156357"/>
          <c:y val="0.0281580137296009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List1!$B$4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0000"/>
            </a:solidFill>
            <a:ln cap="rnd" w="288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List1!$B$5:$B$370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0.037037037037037</c:v>
                </c:pt>
                <c:pt idx="3">
                  <c:v>0.0740740740740741</c:v>
                </c:pt>
                <c:pt idx="4">
                  <c:v>0.111111111111111</c:v>
                </c:pt>
                <c:pt idx="5">
                  <c:v>0.111111111111111</c:v>
                </c:pt>
                <c:pt idx="6">
                  <c:v>0.111111111111111</c:v>
                </c:pt>
                <c:pt idx="7">
                  <c:v>0.111111111111111</c:v>
                </c:pt>
                <c:pt idx="8">
                  <c:v>0.111111111111111</c:v>
                </c:pt>
                <c:pt idx="9">
                  <c:v>0.111111111111111</c:v>
                </c:pt>
                <c:pt idx="10">
                  <c:v>0.111111111111111</c:v>
                </c:pt>
                <c:pt idx="11">
                  <c:v>0.148148148148148</c:v>
                </c:pt>
                <c:pt idx="12">
                  <c:v>0.148148148148148</c:v>
                </c:pt>
                <c:pt idx="13">
                  <c:v>0.185185185185185</c:v>
                </c:pt>
                <c:pt idx="14">
                  <c:v>0.185185185185185</c:v>
                </c:pt>
                <c:pt idx="15">
                  <c:v>0.222222222222222</c:v>
                </c:pt>
                <c:pt idx="16">
                  <c:v>0.222222222222222</c:v>
                </c:pt>
                <c:pt idx="17">
                  <c:v>0.259259259259259</c:v>
                </c:pt>
                <c:pt idx="18">
                  <c:v>0.259259259259259</c:v>
                </c:pt>
                <c:pt idx="19">
                  <c:v>0.259259259259259</c:v>
                </c:pt>
                <c:pt idx="20">
                  <c:v>0.259259259259259</c:v>
                </c:pt>
                <c:pt idx="21">
                  <c:v>0.259259259259259</c:v>
                </c:pt>
                <c:pt idx="22">
                  <c:v>0.259259259259259</c:v>
                </c:pt>
                <c:pt idx="23">
                  <c:v>0.259259259259259</c:v>
                </c:pt>
                <c:pt idx="24">
                  <c:v>0.259259259259259</c:v>
                </c:pt>
                <c:pt idx="25">
                  <c:v>0.259259259259259</c:v>
                </c:pt>
                <c:pt idx="26">
                  <c:v>0.259259259259259</c:v>
                </c:pt>
                <c:pt idx="27">
                  <c:v>0.259259259259259</c:v>
                </c:pt>
                <c:pt idx="28">
                  <c:v>0.259259259259259</c:v>
                </c:pt>
                <c:pt idx="29">
                  <c:v>0.259259259259259</c:v>
                </c:pt>
                <c:pt idx="30">
                  <c:v>0.259259259259259</c:v>
                </c:pt>
                <c:pt idx="31">
                  <c:v>0.296296296296296</c:v>
                </c:pt>
                <c:pt idx="32">
                  <c:v>0.296296296296296</c:v>
                </c:pt>
                <c:pt idx="33">
                  <c:v>0.296296296296296</c:v>
                </c:pt>
                <c:pt idx="34">
                  <c:v>0.333333333333333</c:v>
                </c:pt>
                <c:pt idx="35">
                  <c:v>0.333333333333333</c:v>
                </c:pt>
                <c:pt idx="36">
                  <c:v>0.333333333333333</c:v>
                </c:pt>
                <c:pt idx="37">
                  <c:v>0.333333333333333</c:v>
                </c:pt>
                <c:pt idx="38">
                  <c:v>0.333333333333333</c:v>
                </c:pt>
                <c:pt idx="39">
                  <c:v>0.333333333333333</c:v>
                </c:pt>
                <c:pt idx="40">
                  <c:v>0.37037037037037</c:v>
                </c:pt>
                <c:pt idx="41">
                  <c:v>0.407407407407407</c:v>
                </c:pt>
                <c:pt idx="42">
                  <c:v>0.407407407407407</c:v>
                </c:pt>
                <c:pt idx="43">
                  <c:v>0.407407407407407</c:v>
                </c:pt>
                <c:pt idx="44">
                  <c:v>0.407407407407407</c:v>
                </c:pt>
                <c:pt idx="45">
                  <c:v>0.407407407407407</c:v>
                </c:pt>
                <c:pt idx="46">
                  <c:v>0.407407407407407</c:v>
                </c:pt>
                <c:pt idx="47">
                  <c:v>0.407407407407407</c:v>
                </c:pt>
                <c:pt idx="48">
                  <c:v>0.407407407407407</c:v>
                </c:pt>
                <c:pt idx="49">
                  <c:v>0.407407407407407</c:v>
                </c:pt>
                <c:pt idx="50">
                  <c:v>0.407407407407407</c:v>
                </c:pt>
                <c:pt idx="51">
                  <c:v>0.407407407407407</c:v>
                </c:pt>
                <c:pt idx="52">
                  <c:v>0.407407407407407</c:v>
                </c:pt>
                <c:pt idx="53">
                  <c:v>0.444444444444444</c:v>
                </c:pt>
                <c:pt idx="54">
                  <c:v>0.444444444444444</c:v>
                </c:pt>
                <c:pt idx="55">
                  <c:v>0.444444444444444</c:v>
                </c:pt>
                <c:pt idx="56">
                  <c:v>0.444444444444444</c:v>
                </c:pt>
                <c:pt idx="57">
                  <c:v>0.481481481481481</c:v>
                </c:pt>
                <c:pt idx="58">
                  <c:v>0.518518518518519</c:v>
                </c:pt>
                <c:pt idx="59">
                  <c:v>0.518518518518519</c:v>
                </c:pt>
                <c:pt idx="60">
                  <c:v>0.555555555555556</c:v>
                </c:pt>
                <c:pt idx="61">
                  <c:v>0.555555555555556</c:v>
                </c:pt>
                <c:pt idx="62">
                  <c:v>0.555555555555556</c:v>
                </c:pt>
                <c:pt idx="63">
                  <c:v>0.555555555555556</c:v>
                </c:pt>
                <c:pt idx="64">
                  <c:v>0.592592592592593</c:v>
                </c:pt>
                <c:pt idx="65">
                  <c:v>0.592592592592593</c:v>
                </c:pt>
                <c:pt idx="66">
                  <c:v>0.592592592592593</c:v>
                </c:pt>
                <c:pt idx="67">
                  <c:v>0.592592592592593</c:v>
                </c:pt>
                <c:pt idx="68">
                  <c:v>0.592592592592593</c:v>
                </c:pt>
                <c:pt idx="69">
                  <c:v>0.666666666666667</c:v>
                </c:pt>
                <c:pt idx="70">
                  <c:v>0.666666666666667</c:v>
                </c:pt>
                <c:pt idx="71">
                  <c:v>0.666666666666667</c:v>
                </c:pt>
                <c:pt idx="72">
                  <c:v>0.666666666666667</c:v>
                </c:pt>
                <c:pt idx="73">
                  <c:v>0.703703703703704</c:v>
                </c:pt>
                <c:pt idx="74">
                  <c:v>0.740740740740741</c:v>
                </c:pt>
                <c:pt idx="75">
                  <c:v>0.740740740740741</c:v>
                </c:pt>
                <c:pt idx="76">
                  <c:v>0.740740740740741</c:v>
                </c:pt>
                <c:pt idx="77">
                  <c:v>0.740740740740741</c:v>
                </c:pt>
                <c:pt idx="78">
                  <c:v>0.740740740740741</c:v>
                </c:pt>
                <c:pt idx="79">
                  <c:v>0.740740740740741</c:v>
                </c:pt>
                <c:pt idx="80">
                  <c:v>0.740740740740741</c:v>
                </c:pt>
                <c:pt idx="81">
                  <c:v>0.740740740740741</c:v>
                </c:pt>
                <c:pt idx="82">
                  <c:v>0.777777777777778</c:v>
                </c:pt>
                <c:pt idx="83">
                  <c:v>0.777777777777778</c:v>
                </c:pt>
                <c:pt idx="84">
                  <c:v>0.777777777777778</c:v>
                </c:pt>
                <c:pt idx="85">
                  <c:v>0.814814814814815</c:v>
                </c:pt>
                <c:pt idx="86">
                  <c:v>0.814814814814815</c:v>
                </c:pt>
                <c:pt idx="87">
                  <c:v>0.814814814814815</c:v>
                </c:pt>
                <c:pt idx="88">
                  <c:v>0.814814814814815</c:v>
                </c:pt>
                <c:pt idx="89">
                  <c:v>0.851851851851852</c:v>
                </c:pt>
                <c:pt idx="90">
                  <c:v>0.888888888888889</c:v>
                </c:pt>
                <c:pt idx="91">
                  <c:v>0.888888888888889</c:v>
                </c:pt>
                <c:pt idx="92">
                  <c:v>0.888888888888889</c:v>
                </c:pt>
                <c:pt idx="93">
                  <c:v>0.962962962962963</c:v>
                </c:pt>
                <c:pt idx="94">
                  <c:v>1.03703703703704</c:v>
                </c:pt>
                <c:pt idx="95">
                  <c:v>1.11111111111111</c:v>
                </c:pt>
                <c:pt idx="96">
                  <c:v>1.14814814814815</c:v>
                </c:pt>
                <c:pt idx="97">
                  <c:v>1.14814814814815</c:v>
                </c:pt>
                <c:pt idx="98">
                  <c:v>1.18518518518519</c:v>
                </c:pt>
                <c:pt idx="99">
                  <c:v>1.22222222222222</c:v>
                </c:pt>
                <c:pt idx="100">
                  <c:v>1.22222222222222</c:v>
                </c:pt>
                <c:pt idx="101">
                  <c:v>1.25925925925926</c:v>
                </c:pt>
                <c:pt idx="102">
                  <c:v>1.2962962962963</c:v>
                </c:pt>
                <c:pt idx="103">
                  <c:v>1.2962962962963</c:v>
                </c:pt>
                <c:pt idx="104">
                  <c:v>1.37037037037037</c:v>
                </c:pt>
                <c:pt idx="105">
                  <c:v>1.40740740740741</c:v>
                </c:pt>
                <c:pt idx="106">
                  <c:v>1.40740740740741</c:v>
                </c:pt>
                <c:pt idx="107">
                  <c:v>1.44444444444444</c:v>
                </c:pt>
                <c:pt idx="108">
                  <c:v>1.51851851851852</c:v>
                </c:pt>
                <c:pt idx="109">
                  <c:v>1.59259259259259</c:v>
                </c:pt>
                <c:pt idx="110">
                  <c:v>1.59259259259259</c:v>
                </c:pt>
                <c:pt idx="111">
                  <c:v>1.59259259259259</c:v>
                </c:pt>
                <c:pt idx="112">
                  <c:v>1.66666666666667</c:v>
                </c:pt>
                <c:pt idx="113">
                  <c:v>1.74074074074074</c:v>
                </c:pt>
                <c:pt idx="114">
                  <c:v>1.81481481481481</c:v>
                </c:pt>
                <c:pt idx="115">
                  <c:v>1.85185185185185</c:v>
                </c:pt>
                <c:pt idx="116">
                  <c:v>2</c:v>
                </c:pt>
                <c:pt idx="117">
                  <c:v>2.14814814814815</c:v>
                </c:pt>
                <c:pt idx="118">
                  <c:v>2.22222222222222</c:v>
                </c:pt>
                <c:pt idx="119">
                  <c:v>2.25925925925926</c:v>
                </c:pt>
                <c:pt idx="120">
                  <c:v>2.37037037037037</c:v>
                </c:pt>
                <c:pt idx="121">
                  <c:v>2.48148148148148</c:v>
                </c:pt>
                <c:pt idx="122">
                  <c:v>2.7037037037037</c:v>
                </c:pt>
                <c:pt idx="123">
                  <c:v>2.81481481481482</c:v>
                </c:pt>
                <c:pt idx="124">
                  <c:v>2.85185185185185</c:v>
                </c:pt>
                <c:pt idx="125">
                  <c:v>3</c:v>
                </c:pt>
                <c:pt idx="126">
                  <c:v>3.14814814814815</c:v>
                </c:pt>
                <c:pt idx="127">
                  <c:v>3.18518518518519</c:v>
                </c:pt>
                <c:pt idx="128">
                  <c:v>3.33333333333333</c:v>
                </c:pt>
                <c:pt idx="129">
                  <c:v>3.59259259259259</c:v>
                </c:pt>
                <c:pt idx="130">
                  <c:v>3.7037037037037</c:v>
                </c:pt>
                <c:pt idx="131">
                  <c:v>3.88888888888889</c:v>
                </c:pt>
                <c:pt idx="132">
                  <c:v>4.07407407407407</c:v>
                </c:pt>
                <c:pt idx="133">
                  <c:v>4.18518518518519</c:v>
                </c:pt>
                <c:pt idx="134">
                  <c:v>4.33333333333333</c:v>
                </c:pt>
                <c:pt idx="135">
                  <c:v>4.48148148148148</c:v>
                </c:pt>
                <c:pt idx="136">
                  <c:v>4.66666666666667</c:v>
                </c:pt>
                <c:pt idx="137">
                  <c:v>4.81481481481482</c:v>
                </c:pt>
                <c:pt idx="138">
                  <c:v>4.92592592592593</c:v>
                </c:pt>
                <c:pt idx="139">
                  <c:v>5.11111111111111</c:v>
                </c:pt>
                <c:pt idx="140">
                  <c:v>5.33333333333333</c:v>
                </c:pt>
                <c:pt idx="141">
                  <c:v>5.51851851851852</c:v>
                </c:pt>
                <c:pt idx="142">
                  <c:v>5.62962962962963</c:v>
                </c:pt>
                <c:pt idx="143">
                  <c:v>5.92592592592593</c:v>
                </c:pt>
                <c:pt idx="144">
                  <c:v>6.07407407407407</c:v>
                </c:pt>
                <c:pt idx="145">
                  <c:v>6.2962962962963</c:v>
                </c:pt>
                <c:pt idx="146">
                  <c:v>6.48148148148148</c:v>
                </c:pt>
                <c:pt idx="147">
                  <c:v>6.59259259259259</c:v>
                </c:pt>
                <c:pt idx="148">
                  <c:v>6.77777777777778</c:v>
                </c:pt>
                <c:pt idx="149">
                  <c:v>6.92592592592593</c:v>
                </c:pt>
                <c:pt idx="150">
                  <c:v>7.11111111111111</c:v>
                </c:pt>
                <c:pt idx="151">
                  <c:v>7.37037037037037</c:v>
                </c:pt>
                <c:pt idx="152">
                  <c:v>7.62962962962963</c:v>
                </c:pt>
                <c:pt idx="153">
                  <c:v>7.74074074074074</c:v>
                </c:pt>
                <c:pt idx="154">
                  <c:v>7.81481481481482</c:v>
                </c:pt>
                <c:pt idx="155">
                  <c:v>7.96296296296296</c:v>
                </c:pt>
                <c:pt idx="156">
                  <c:v>8.14814814814815</c:v>
                </c:pt>
                <c:pt idx="157">
                  <c:v>8.40740740740741</c:v>
                </c:pt>
                <c:pt idx="158">
                  <c:v>8.66666666666667</c:v>
                </c:pt>
                <c:pt idx="159">
                  <c:v>8.88888888888889</c:v>
                </c:pt>
                <c:pt idx="160">
                  <c:v>9.22222222222222</c:v>
                </c:pt>
                <c:pt idx="161">
                  <c:v>9.44444444444445</c:v>
                </c:pt>
                <c:pt idx="162">
                  <c:v>9.62962962962963</c:v>
                </c:pt>
                <c:pt idx="163">
                  <c:v>9.85185185185185</c:v>
                </c:pt>
                <c:pt idx="164">
                  <c:v>10.0740740740741</c:v>
                </c:pt>
                <c:pt idx="165">
                  <c:v>10.3333333333333</c:v>
                </c:pt>
                <c:pt idx="166">
                  <c:v>10.5925925925926</c:v>
                </c:pt>
                <c:pt idx="167">
                  <c:v>10.8518518518519</c:v>
                </c:pt>
                <c:pt idx="168">
                  <c:v>11</c:v>
                </c:pt>
                <c:pt idx="169">
                  <c:v>11.1481481481481</c:v>
                </c:pt>
                <c:pt idx="170">
                  <c:v>11.1851851851852</c:v>
                </c:pt>
                <c:pt idx="171">
                  <c:v>11.3703703703704</c:v>
                </c:pt>
                <c:pt idx="172">
                  <c:v>11.7037037037037</c:v>
                </c:pt>
                <c:pt idx="173">
                  <c:v>11.962962962963</c:v>
                </c:pt>
                <c:pt idx="174">
                  <c:v>12.2222222222222</c:v>
                </c:pt>
                <c:pt idx="175">
                  <c:v>12.3703703703704</c:v>
                </c:pt>
                <c:pt idx="176">
                  <c:v>12.5555555555556</c:v>
                </c:pt>
                <c:pt idx="177">
                  <c:v>12.6296296296296</c:v>
                </c:pt>
                <c:pt idx="178">
                  <c:v>12.8518518518519</c:v>
                </c:pt>
                <c:pt idx="179">
                  <c:v>13.037037037037</c:v>
                </c:pt>
                <c:pt idx="180">
                  <c:v>13.0740740740741</c:v>
                </c:pt>
                <c:pt idx="181">
                  <c:v>13.4814814814815</c:v>
                </c:pt>
                <c:pt idx="182">
                  <c:v>13.8518518518519</c:v>
                </c:pt>
                <c:pt idx="183">
                  <c:v>14.1111111111111</c:v>
                </c:pt>
                <c:pt idx="184">
                  <c:v>14.2962962962963</c:v>
                </c:pt>
                <c:pt idx="185">
                  <c:v>14.4444444444444</c:v>
                </c:pt>
                <c:pt idx="186">
                  <c:v>14.7777777777778</c:v>
                </c:pt>
                <c:pt idx="187">
                  <c:v>15.1111111111111</c:v>
                </c:pt>
                <c:pt idx="188">
                  <c:v>15.3703703703704</c:v>
                </c:pt>
                <c:pt idx="189">
                  <c:v>15.6296296296296</c:v>
                </c:pt>
                <c:pt idx="190">
                  <c:v>15.7407407407407</c:v>
                </c:pt>
                <c:pt idx="191">
                  <c:v>15.962962962963</c:v>
                </c:pt>
                <c:pt idx="192">
                  <c:v>16.3333333333333</c:v>
                </c:pt>
                <c:pt idx="193">
                  <c:v>16.5185185185185</c:v>
                </c:pt>
                <c:pt idx="194">
                  <c:v>16.7407407407407</c:v>
                </c:pt>
                <c:pt idx="195">
                  <c:v>16.962962962963</c:v>
                </c:pt>
                <c:pt idx="196">
                  <c:v>17.2222222222222</c:v>
                </c:pt>
                <c:pt idx="197">
                  <c:v>17.3703703703704</c:v>
                </c:pt>
                <c:pt idx="198">
                  <c:v>17.5925925925926</c:v>
                </c:pt>
                <c:pt idx="199">
                  <c:v>17.6666666666667</c:v>
                </c:pt>
                <c:pt idx="200">
                  <c:v>17.8148148148148</c:v>
                </c:pt>
                <c:pt idx="201">
                  <c:v>18</c:v>
                </c:pt>
                <c:pt idx="202">
                  <c:v>18.2962962962963</c:v>
                </c:pt>
                <c:pt idx="203">
                  <c:v>18.5555555555556</c:v>
                </c:pt>
                <c:pt idx="204">
                  <c:v>18.8148148148148</c:v>
                </c:pt>
                <c:pt idx="205">
                  <c:v>18.962962962963</c:v>
                </c:pt>
                <c:pt idx="206">
                  <c:v>19.1851851851852</c:v>
                </c:pt>
                <c:pt idx="207">
                  <c:v>19.4074074074074</c:v>
                </c:pt>
                <c:pt idx="208">
                  <c:v>19.6296296296296</c:v>
                </c:pt>
                <c:pt idx="209">
                  <c:v>19.9259259259259</c:v>
                </c:pt>
                <c:pt idx="210">
                  <c:v>20.2962962962963</c:v>
                </c:pt>
                <c:pt idx="211">
                  <c:v>20.4814814814815</c:v>
                </c:pt>
                <c:pt idx="212">
                  <c:v>20.6296296296296</c:v>
                </c:pt>
                <c:pt idx="213">
                  <c:v>20.8888888888889</c:v>
                </c:pt>
                <c:pt idx="214">
                  <c:v>21.1851851851852</c:v>
                </c:pt>
                <c:pt idx="215">
                  <c:v>21.4074074074074</c:v>
                </c:pt>
                <c:pt idx="216">
                  <c:v>21.6296296296296</c:v>
                </c:pt>
                <c:pt idx="217">
                  <c:v>21.8148148148148</c:v>
                </c:pt>
                <c:pt idx="218">
                  <c:v>21.9259259259259</c:v>
                </c:pt>
                <c:pt idx="219">
                  <c:v>22.0740740740741</c:v>
                </c:pt>
                <c:pt idx="220">
                  <c:v>22.3333333333333</c:v>
                </c:pt>
                <c:pt idx="221">
                  <c:v>22.4444444444444</c:v>
                </c:pt>
                <c:pt idx="222">
                  <c:v>22.7407407407407</c:v>
                </c:pt>
                <c:pt idx="223">
                  <c:v>22.8888888888889</c:v>
                </c:pt>
                <c:pt idx="224">
                  <c:v>22.962962962963</c:v>
                </c:pt>
                <c:pt idx="225">
                  <c:v>23.1111111111111</c:v>
                </c:pt>
                <c:pt idx="226">
                  <c:v>23.3333333333333</c:v>
                </c:pt>
                <c:pt idx="227">
                  <c:v>23.4814814814815</c:v>
                </c:pt>
                <c:pt idx="228">
                  <c:v>23.6296296296296</c:v>
                </c:pt>
                <c:pt idx="229">
                  <c:v>23.9259259259259</c:v>
                </c:pt>
                <c:pt idx="230">
                  <c:v>24.1851851851852</c:v>
                </c:pt>
                <c:pt idx="231">
                  <c:v>24.3703703703704</c:v>
                </c:pt>
                <c:pt idx="232">
                  <c:v>24.5555555555556</c:v>
                </c:pt>
                <c:pt idx="233">
                  <c:v>24.7777777777778</c:v>
                </c:pt>
                <c:pt idx="234">
                  <c:v>24.962962962963</c:v>
                </c:pt>
                <c:pt idx="235">
                  <c:v>25.0740740740741</c:v>
                </c:pt>
                <c:pt idx="236">
                  <c:v>25.1481481481482</c:v>
                </c:pt>
                <c:pt idx="237">
                  <c:v>25.2962962962963</c:v>
                </c:pt>
                <c:pt idx="238">
                  <c:v>25.5185185185185</c:v>
                </c:pt>
                <c:pt idx="239">
                  <c:v>25.6296296296296</c:v>
                </c:pt>
                <c:pt idx="240">
                  <c:v>25.6666666666667</c:v>
                </c:pt>
                <c:pt idx="241">
                  <c:v>25.7777777777778</c:v>
                </c:pt>
                <c:pt idx="242">
                  <c:v>25.9259259259259</c:v>
                </c:pt>
                <c:pt idx="243">
                  <c:v>26</c:v>
                </c:pt>
                <c:pt idx="244">
                  <c:v>26.1111111111111</c:v>
                </c:pt>
                <c:pt idx="245">
                  <c:v>26.1481481481482</c:v>
                </c:pt>
                <c:pt idx="246">
                  <c:v>26.1851851851852</c:v>
                </c:pt>
                <c:pt idx="247">
                  <c:v>26.2222222222222</c:v>
                </c:pt>
                <c:pt idx="248">
                  <c:v>26.3333333333333</c:v>
                </c:pt>
                <c:pt idx="249">
                  <c:v>26.4444444444444</c:v>
                </c:pt>
                <c:pt idx="250">
                  <c:v>26.5185185185185</c:v>
                </c:pt>
                <c:pt idx="251">
                  <c:v>26.5925925925926</c:v>
                </c:pt>
                <c:pt idx="252">
                  <c:v>26.6666666666667</c:v>
                </c:pt>
                <c:pt idx="253">
                  <c:v>26.8148148148148</c:v>
                </c:pt>
                <c:pt idx="254">
                  <c:v>26.9259259259259</c:v>
                </c:pt>
                <c:pt idx="255">
                  <c:v>26.9259259259259</c:v>
                </c:pt>
                <c:pt idx="256">
                  <c:v>26.9259259259259</c:v>
                </c:pt>
                <c:pt idx="257">
                  <c:v>26.962962962963</c:v>
                </c:pt>
                <c:pt idx="258">
                  <c:v>26.962962962963</c:v>
                </c:pt>
                <c:pt idx="259">
                  <c:v>26.962962962963</c:v>
                </c:pt>
                <c:pt idx="260">
                  <c:v>27.0740740740741</c:v>
                </c:pt>
                <c:pt idx="261">
                  <c:v>27.1481481481482</c:v>
                </c:pt>
                <c:pt idx="262">
                  <c:v>27.2222222222222</c:v>
                </c:pt>
                <c:pt idx="263">
                  <c:v>27.2592592592593</c:v>
                </c:pt>
                <c:pt idx="264">
                  <c:v>27.3333333333333</c:v>
                </c:pt>
                <c:pt idx="265">
                  <c:v>27.3703703703704</c:v>
                </c:pt>
                <c:pt idx="266">
                  <c:v>27.4814814814815</c:v>
                </c:pt>
                <c:pt idx="267">
                  <c:v>27.4814814814815</c:v>
                </c:pt>
                <c:pt idx="268">
                  <c:v>27.5185185185185</c:v>
                </c:pt>
                <c:pt idx="269">
                  <c:v>27.5185185185185</c:v>
                </c:pt>
                <c:pt idx="270">
                  <c:v>27.5925925925926</c:v>
                </c:pt>
                <c:pt idx="271">
                  <c:v>27.5925925925926</c:v>
                </c:pt>
                <c:pt idx="272">
                  <c:v>27.5925925925926</c:v>
                </c:pt>
                <c:pt idx="273">
                  <c:v>27.5925925925926</c:v>
                </c:pt>
                <c:pt idx="274">
                  <c:v>27.6666666666667</c:v>
                </c:pt>
                <c:pt idx="275">
                  <c:v>27.6666666666667</c:v>
                </c:pt>
                <c:pt idx="276">
                  <c:v>27.7037037037037</c:v>
                </c:pt>
                <c:pt idx="277">
                  <c:v>27.7037037037037</c:v>
                </c:pt>
                <c:pt idx="278">
                  <c:v>27.7037037037037</c:v>
                </c:pt>
                <c:pt idx="279">
                  <c:v>27.7037037037037</c:v>
                </c:pt>
                <c:pt idx="280">
                  <c:v>27.7037037037037</c:v>
                </c:pt>
                <c:pt idx="281">
                  <c:v>27.7037037037037</c:v>
                </c:pt>
                <c:pt idx="282">
                  <c:v>27.7037037037037</c:v>
                </c:pt>
                <c:pt idx="283">
                  <c:v>27.7037037037037</c:v>
                </c:pt>
                <c:pt idx="284">
                  <c:v>27.7037037037037</c:v>
                </c:pt>
                <c:pt idx="285">
                  <c:v>27.7037037037037</c:v>
                </c:pt>
                <c:pt idx="286">
                  <c:v>27.7037037037037</c:v>
                </c:pt>
                <c:pt idx="287">
                  <c:v>27.7037037037037</c:v>
                </c:pt>
                <c:pt idx="288">
                  <c:v>27.7037037037037</c:v>
                </c:pt>
                <c:pt idx="289">
                  <c:v>27.7037037037037</c:v>
                </c:pt>
                <c:pt idx="290">
                  <c:v>27.7037037037037</c:v>
                </c:pt>
                <c:pt idx="291">
                  <c:v>27.7037037037037</c:v>
                </c:pt>
                <c:pt idx="292">
                  <c:v>27.7037037037037</c:v>
                </c:pt>
                <c:pt idx="293">
                  <c:v>27.7037037037037</c:v>
                </c:pt>
                <c:pt idx="294">
                  <c:v>27.7037037037037</c:v>
                </c:pt>
                <c:pt idx="295">
                  <c:v>27.7037037037037</c:v>
                </c:pt>
                <c:pt idx="296">
                  <c:v>27.7037037037037</c:v>
                </c:pt>
                <c:pt idx="297">
                  <c:v>27.7407407407407</c:v>
                </c:pt>
                <c:pt idx="298">
                  <c:v>27.7407407407407</c:v>
                </c:pt>
                <c:pt idx="299">
                  <c:v>27.7407407407407</c:v>
                </c:pt>
                <c:pt idx="300">
                  <c:v>27.7407407407407</c:v>
                </c:pt>
                <c:pt idx="301">
                  <c:v>27.7407407407407</c:v>
                </c:pt>
                <c:pt idx="302">
                  <c:v>27.8148148148148</c:v>
                </c:pt>
                <c:pt idx="303">
                  <c:v>27.8518518518519</c:v>
                </c:pt>
                <c:pt idx="304">
                  <c:v>27.8518518518519</c:v>
                </c:pt>
                <c:pt idx="305">
                  <c:v>27.8518518518519</c:v>
                </c:pt>
                <c:pt idx="306">
                  <c:v>27.8518518518519</c:v>
                </c:pt>
                <c:pt idx="307">
                  <c:v>27.8518518518519</c:v>
                </c:pt>
                <c:pt idx="308">
                  <c:v>27.8518518518519</c:v>
                </c:pt>
                <c:pt idx="309">
                  <c:v>27.8518518518519</c:v>
                </c:pt>
                <c:pt idx="310">
                  <c:v>27.8518518518519</c:v>
                </c:pt>
                <c:pt idx="311">
                  <c:v>27.8518518518519</c:v>
                </c:pt>
                <c:pt idx="312">
                  <c:v>27.8888888888889</c:v>
                </c:pt>
                <c:pt idx="313">
                  <c:v>27.8888888888889</c:v>
                </c:pt>
                <c:pt idx="314">
                  <c:v>27.8888888888889</c:v>
                </c:pt>
                <c:pt idx="315">
                  <c:v>27.8888888888889</c:v>
                </c:pt>
                <c:pt idx="316">
                  <c:v>27.8888888888889</c:v>
                </c:pt>
                <c:pt idx="317">
                  <c:v>27.8888888888889</c:v>
                </c:pt>
                <c:pt idx="318">
                  <c:v>27.8888888888889</c:v>
                </c:pt>
                <c:pt idx="319">
                  <c:v>27.8888888888889</c:v>
                </c:pt>
                <c:pt idx="320">
                  <c:v>27.8888888888889</c:v>
                </c:pt>
                <c:pt idx="321">
                  <c:v>27.8888888888889</c:v>
                </c:pt>
                <c:pt idx="322">
                  <c:v>27.8888888888889</c:v>
                </c:pt>
                <c:pt idx="323">
                  <c:v>27.8888888888889</c:v>
                </c:pt>
                <c:pt idx="324">
                  <c:v>27.8888888888889</c:v>
                </c:pt>
                <c:pt idx="325">
                  <c:v>27.8888888888889</c:v>
                </c:pt>
                <c:pt idx="326">
                  <c:v>27.8888888888889</c:v>
                </c:pt>
                <c:pt idx="327">
                  <c:v>27.8888888888889</c:v>
                </c:pt>
                <c:pt idx="328">
                  <c:v>27.8888888888889</c:v>
                </c:pt>
                <c:pt idx="329">
                  <c:v>27.8888888888889</c:v>
                </c:pt>
                <c:pt idx="330">
                  <c:v>27.8888888888889</c:v>
                </c:pt>
                <c:pt idx="331">
                  <c:v>27.8888888888889</c:v>
                </c:pt>
                <c:pt idx="332">
                  <c:v>27.8888888888889</c:v>
                </c:pt>
                <c:pt idx="333">
                  <c:v>27.8888888888889</c:v>
                </c:pt>
                <c:pt idx="334">
                  <c:v>27.8888888888889</c:v>
                </c:pt>
                <c:pt idx="335">
                  <c:v>27.8888888888889</c:v>
                </c:pt>
                <c:pt idx="336">
                  <c:v>27.8888888888889</c:v>
                </c:pt>
                <c:pt idx="337">
                  <c:v>27.9259259259259</c:v>
                </c:pt>
                <c:pt idx="338">
                  <c:v>27.9259259259259</c:v>
                </c:pt>
                <c:pt idx="339">
                  <c:v>27.9259259259259</c:v>
                </c:pt>
                <c:pt idx="340">
                  <c:v>27.9259259259259</c:v>
                </c:pt>
                <c:pt idx="341">
                  <c:v>27.9259259259259</c:v>
                </c:pt>
                <c:pt idx="342">
                  <c:v>27.9259259259259</c:v>
                </c:pt>
                <c:pt idx="343">
                  <c:v>27.9259259259259</c:v>
                </c:pt>
                <c:pt idx="344">
                  <c:v>27.9259259259259</c:v>
                </c:pt>
                <c:pt idx="345">
                  <c:v>27.9259259259259</c:v>
                </c:pt>
                <c:pt idx="346">
                  <c:v>27.9259259259259</c:v>
                </c:pt>
                <c:pt idx="347">
                  <c:v>27.9259259259259</c:v>
                </c:pt>
                <c:pt idx="348">
                  <c:v>27.9259259259259</c:v>
                </c:pt>
                <c:pt idx="349">
                  <c:v>27.962962962963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28.037037037037</c:v>
                </c:pt>
                <c:pt idx="356">
                  <c:v>28.0740740740741</c:v>
                </c:pt>
                <c:pt idx="357">
                  <c:v>28.0740740740741</c:v>
                </c:pt>
                <c:pt idx="358">
                  <c:v>28.0740740740741</c:v>
                </c:pt>
                <c:pt idx="359">
                  <c:v>28.0740740740741</c:v>
                </c:pt>
                <c:pt idx="360">
                  <c:v>28.0740740740741</c:v>
                </c:pt>
                <c:pt idx="361">
                  <c:v>28.0740740740741</c:v>
                </c:pt>
                <c:pt idx="362">
                  <c:v>28.0740740740741</c:v>
                </c:pt>
                <c:pt idx="363">
                  <c:v>28.0740740740741</c:v>
                </c:pt>
                <c:pt idx="364">
                  <c:v>28.0740740740741</c:v>
                </c:pt>
                <c:pt idx="365">
                  <c:v>28.0740740740741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List1!$C$4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808080">
                <a:alpha val="60000"/>
              </a:srgbClr>
            </a:solidFill>
            <a:ln cap="rnd" w="28800">
              <a:solidFill>
                <a:srgbClr val="808080">
                  <a:alpha val="6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List1!$C$5:$C$370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9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12</c:v>
                </c:pt>
                <c:pt idx="209">
                  <c:v>12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15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List1!$D$4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808080">
                <a:alpha val="60000"/>
              </a:srgbClr>
            </a:solidFill>
            <a:ln cap="rnd" w="28800">
              <a:solidFill>
                <a:srgbClr val="808080">
                  <a:alpha val="6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List1!$D$5:$D$370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5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7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14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17</c:v>
                </c:pt>
                <c:pt idx="174">
                  <c:v>17</c:v>
                </c:pt>
                <c:pt idx="175">
                  <c:v>17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19</c:v>
                </c:pt>
                <c:pt idx="182">
                  <c:v>19</c:v>
                </c:pt>
                <c:pt idx="183">
                  <c:v>20</c:v>
                </c:pt>
                <c:pt idx="184">
                  <c:v>21</c:v>
                </c:pt>
                <c:pt idx="185">
                  <c:v>21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29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31</c:v>
                </c:pt>
                <c:pt idx="216">
                  <c:v>32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</c:v>
                </c:pt>
                <c:pt idx="240">
                  <c:v>33</c:v>
                </c:pt>
                <c:pt idx="241">
                  <c:v>33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35</c:v>
                </c:pt>
                <c:pt idx="250">
                  <c:v>36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38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785007"/>
        <c:axId val="1414015"/>
      </c:lineChart>
      <c:catAx>
        <c:axId val="32785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1414015"/>
        <c:crosses val="autoZero"/>
        <c:auto val="1"/>
        <c:lblAlgn val="ctr"/>
        <c:lblOffset val="100"/>
        <c:noMultiLvlLbl val="0"/>
      </c:catAx>
      <c:valAx>
        <c:axId val="141401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0.0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32785007"/>
        <c:crossesAt val="1"/>
        <c:crossBetween val="between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3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Mean TD 1999-2025, last year vs current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List1!$B$4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0000"/>
            </a:solidFill>
            <a:ln cap="rnd" w="360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List1!$B$5:$B$370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0.037037037037037</c:v>
                </c:pt>
                <c:pt idx="3">
                  <c:v>0.0740740740740741</c:v>
                </c:pt>
                <c:pt idx="4">
                  <c:v>0.111111111111111</c:v>
                </c:pt>
                <c:pt idx="5">
                  <c:v>0.111111111111111</c:v>
                </c:pt>
                <c:pt idx="6">
                  <c:v>0.111111111111111</c:v>
                </c:pt>
                <c:pt idx="7">
                  <c:v>0.111111111111111</c:v>
                </c:pt>
                <c:pt idx="8">
                  <c:v>0.111111111111111</c:v>
                </c:pt>
                <c:pt idx="9">
                  <c:v>0.111111111111111</c:v>
                </c:pt>
                <c:pt idx="10">
                  <c:v>0.111111111111111</c:v>
                </c:pt>
                <c:pt idx="11">
                  <c:v>0.148148148148148</c:v>
                </c:pt>
                <c:pt idx="12">
                  <c:v>0.148148148148148</c:v>
                </c:pt>
                <c:pt idx="13">
                  <c:v>0.185185185185185</c:v>
                </c:pt>
                <c:pt idx="14">
                  <c:v>0.185185185185185</c:v>
                </c:pt>
                <c:pt idx="15">
                  <c:v>0.222222222222222</c:v>
                </c:pt>
                <c:pt idx="16">
                  <c:v>0.222222222222222</c:v>
                </c:pt>
                <c:pt idx="17">
                  <c:v>0.259259259259259</c:v>
                </c:pt>
                <c:pt idx="18">
                  <c:v>0.259259259259259</c:v>
                </c:pt>
                <c:pt idx="19">
                  <c:v>0.259259259259259</c:v>
                </c:pt>
                <c:pt idx="20">
                  <c:v>0.259259259259259</c:v>
                </c:pt>
                <c:pt idx="21">
                  <c:v>0.259259259259259</c:v>
                </c:pt>
                <c:pt idx="22">
                  <c:v>0.259259259259259</c:v>
                </c:pt>
                <c:pt idx="23">
                  <c:v>0.259259259259259</c:v>
                </c:pt>
                <c:pt idx="24">
                  <c:v>0.259259259259259</c:v>
                </c:pt>
                <c:pt idx="25">
                  <c:v>0.259259259259259</c:v>
                </c:pt>
                <c:pt idx="26">
                  <c:v>0.259259259259259</c:v>
                </c:pt>
                <c:pt idx="27">
                  <c:v>0.259259259259259</c:v>
                </c:pt>
                <c:pt idx="28">
                  <c:v>0.259259259259259</c:v>
                </c:pt>
                <c:pt idx="29">
                  <c:v>0.259259259259259</c:v>
                </c:pt>
                <c:pt idx="30">
                  <c:v>0.259259259259259</c:v>
                </c:pt>
                <c:pt idx="31">
                  <c:v>0.296296296296296</c:v>
                </c:pt>
                <c:pt idx="32">
                  <c:v>0.296296296296296</c:v>
                </c:pt>
                <c:pt idx="33">
                  <c:v>0.296296296296296</c:v>
                </c:pt>
                <c:pt idx="34">
                  <c:v>0.333333333333333</c:v>
                </c:pt>
                <c:pt idx="35">
                  <c:v>0.333333333333333</c:v>
                </c:pt>
                <c:pt idx="36">
                  <c:v>0.333333333333333</c:v>
                </c:pt>
                <c:pt idx="37">
                  <c:v>0.333333333333333</c:v>
                </c:pt>
                <c:pt idx="38">
                  <c:v>0.333333333333333</c:v>
                </c:pt>
                <c:pt idx="39">
                  <c:v>0.333333333333333</c:v>
                </c:pt>
                <c:pt idx="40">
                  <c:v>0.37037037037037</c:v>
                </c:pt>
                <c:pt idx="41">
                  <c:v>0.407407407407407</c:v>
                </c:pt>
                <c:pt idx="42">
                  <c:v>0.407407407407407</c:v>
                </c:pt>
                <c:pt idx="43">
                  <c:v>0.407407407407407</c:v>
                </c:pt>
                <c:pt idx="44">
                  <c:v>0.407407407407407</c:v>
                </c:pt>
                <c:pt idx="45">
                  <c:v>0.407407407407407</c:v>
                </c:pt>
                <c:pt idx="46">
                  <c:v>0.407407407407407</c:v>
                </c:pt>
                <c:pt idx="47">
                  <c:v>0.407407407407407</c:v>
                </c:pt>
                <c:pt idx="48">
                  <c:v>0.407407407407407</c:v>
                </c:pt>
                <c:pt idx="49">
                  <c:v>0.407407407407407</c:v>
                </c:pt>
                <c:pt idx="50">
                  <c:v>0.407407407407407</c:v>
                </c:pt>
                <c:pt idx="51">
                  <c:v>0.407407407407407</c:v>
                </c:pt>
                <c:pt idx="52">
                  <c:v>0.407407407407407</c:v>
                </c:pt>
                <c:pt idx="53">
                  <c:v>0.444444444444444</c:v>
                </c:pt>
                <c:pt idx="54">
                  <c:v>0.444444444444444</c:v>
                </c:pt>
                <c:pt idx="55">
                  <c:v>0.444444444444444</c:v>
                </c:pt>
                <c:pt idx="56">
                  <c:v>0.444444444444444</c:v>
                </c:pt>
                <c:pt idx="57">
                  <c:v>0.481481481481481</c:v>
                </c:pt>
                <c:pt idx="58">
                  <c:v>0.518518518518519</c:v>
                </c:pt>
                <c:pt idx="59">
                  <c:v>0.518518518518519</c:v>
                </c:pt>
                <c:pt idx="60">
                  <c:v>0.555555555555556</c:v>
                </c:pt>
                <c:pt idx="61">
                  <c:v>0.555555555555556</c:v>
                </c:pt>
                <c:pt idx="62">
                  <c:v>0.555555555555556</c:v>
                </c:pt>
                <c:pt idx="63">
                  <c:v>0.555555555555556</c:v>
                </c:pt>
                <c:pt idx="64">
                  <c:v>0.592592592592593</c:v>
                </c:pt>
                <c:pt idx="65">
                  <c:v>0.592592592592593</c:v>
                </c:pt>
                <c:pt idx="66">
                  <c:v>0.592592592592593</c:v>
                </c:pt>
                <c:pt idx="67">
                  <c:v>0.592592592592593</c:v>
                </c:pt>
                <c:pt idx="68">
                  <c:v>0.592592592592593</c:v>
                </c:pt>
                <c:pt idx="69">
                  <c:v>0.666666666666667</c:v>
                </c:pt>
                <c:pt idx="70">
                  <c:v>0.666666666666667</c:v>
                </c:pt>
                <c:pt idx="71">
                  <c:v>0.666666666666667</c:v>
                </c:pt>
                <c:pt idx="72">
                  <c:v>0.666666666666667</c:v>
                </c:pt>
                <c:pt idx="73">
                  <c:v>0.703703703703704</c:v>
                </c:pt>
                <c:pt idx="74">
                  <c:v>0.740740740740741</c:v>
                </c:pt>
                <c:pt idx="75">
                  <c:v>0.740740740740741</c:v>
                </c:pt>
                <c:pt idx="76">
                  <c:v>0.740740740740741</c:v>
                </c:pt>
                <c:pt idx="77">
                  <c:v>0.740740740740741</c:v>
                </c:pt>
                <c:pt idx="78">
                  <c:v>0.740740740740741</c:v>
                </c:pt>
                <c:pt idx="79">
                  <c:v>0.740740740740741</c:v>
                </c:pt>
                <c:pt idx="80">
                  <c:v>0.740740740740741</c:v>
                </c:pt>
                <c:pt idx="81">
                  <c:v>0.740740740740741</c:v>
                </c:pt>
                <c:pt idx="82">
                  <c:v>0.777777777777778</c:v>
                </c:pt>
                <c:pt idx="83">
                  <c:v>0.777777777777778</c:v>
                </c:pt>
                <c:pt idx="84">
                  <c:v>0.777777777777778</c:v>
                </c:pt>
                <c:pt idx="85">
                  <c:v>0.814814814814815</c:v>
                </c:pt>
                <c:pt idx="86">
                  <c:v>0.814814814814815</c:v>
                </c:pt>
                <c:pt idx="87">
                  <c:v>0.814814814814815</c:v>
                </c:pt>
                <c:pt idx="88">
                  <c:v>0.814814814814815</c:v>
                </c:pt>
                <c:pt idx="89">
                  <c:v>0.851851851851852</c:v>
                </c:pt>
                <c:pt idx="90">
                  <c:v>0.888888888888889</c:v>
                </c:pt>
                <c:pt idx="91">
                  <c:v>0.888888888888889</c:v>
                </c:pt>
                <c:pt idx="92">
                  <c:v>0.888888888888889</c:v>
                </c:pt>
                <c:pt idx="93">
                  <c:v>0.962962962962963</c:v>
                </c:pt>
                <c:pt idx="94">
                  <c:v>1.03703703703704</c:v>
                </c:pt>
                <c:pt idx="95">
                  <c:v>1.11111111111111</c:v>
                </c:pt>
                <c:pt idx="96">
                  <c:v>1.14814814814815</c:v>
                </c:pt>
                <c:pt idx="97">
                  <c:v>1.14814814814815</c:v>
                </c:pt>
                <c:pt idx="98">
                  <c:v>1.18518518518519</c:v>
                </c:pt>
                <c:pt idx="99">
                  <c:v>1.22222222222222</c:v>
                </c:pt>
                <c:pt idx="100">
                  <c:v>1.22222222222222</c:v>
                </c:pt>
                <c:pt idx="101">
                  <c:v>1.25925925925926</c:v>
                </c:pt>
                <c:pt idx="102">
                  <c:v>1.2962962962963</c:v>
                </c:pt>
                <c:pt idx="103">
                  <c:v>1.2962962962963</c:v>
                </c:pt>
                <c:pt idx="104">
                  <c:v>1.37037037037037</c:v>
                </c:pt>
                <c:pt idx="105">
                  <c:v>1.40740740740741</c:v>
                </c:pt>
                <c:pt idx="106">
                  <c:v>1.40740740740741</c:v>
                </c:pt>
                <c:pt idx="107">
                  <c:v>1.44444444444444</c:v>
                </c:pt>
                <c:pt idx="108">
                  <c:v>1.51851851851852</c:v>
                </c:pt>
                <c:pt idx="109">
                  <c:v>1.59259259259259</c:v>
                </c:pt>
                <c:pt idx="110">
                  <c:v>1.59259259259259</c:v>
                </c:pt>
                <c:pt idx="111">
                  <c:v>1.59259259259259</c:v>
                </c:pt>
                <c:pt idx="112">
                  <c:v>1.66666666666667</c:v>
                </c:pt>
                <c:pt idx="113">
                  <c:v>1.74074074074074</c:v>
                </c:pt>
                <c:pt idx="114">
                  <c:v>1.81481481481481</c:v>
                </c:pt>
                <c:pt idx="115">
                  <c:v>1.85185185185185</c:v>
                </c:pt>
                <c:pt idx="116">
                  <c:v>2</c:v>
                </c:pt>
                <c:pt idx="117">
                  <c:v>2.14814814814815</c:v>
                </c:pt>
                <c:pt idx="118">
                  <c:v>2.22222222222222</c:v>
                </c:pt>
                <c:pt idx="119">
                  <c:v>2.25925925925926</c:v>
                </c:pt>
                <c:pt idx="120">
                  <c:v>2.37037037037037</c:v>
                </c:pt>
                <c:pt idx="121">
                  <c:v>2.48148148148148</c:v>
                </c:pt>
                <c:pt idx="122">
                  <c:v>2.7037037037037</c:v>
                </c:pt>
                <c:pt idx="123">
                  <c:v>2.81481481481482</c:v>
                </c:pt>
                <c:pt idx="124">
                  <c:v>2.85185185185185</c:v>
                </c:pt>
                <c:pt idx="125">
                  <c:v>3</c:v>
                </c:pt>
                <c:pt idx="126">
                  <c:v>3.14814814814815</c:v>
                </c:pt>
                <c:pt idx="127">
                  <c:v>3.18518518518519</c:v>
                </c:pt>
                <c:pt idx="128">
                  <c:v>3.33333333333333</c:v>
                </c:pt>
                <c:pt idx="129">
                  <c:v>3.59259259259259</c:v>
                </c:pt>
                <c:pt idx="130">
                  <c:v>3.7037037037037</c:v>
                </c:pt>
                <c:pt idx="131">
                  <c:v>3.88888888888889</c:v>
                </c:pt>
                <c:pt idx="132">
                  <c:v>4.07407407407407</c:v>
                </c:pt>
                <c:pt idx="133">
                  <c:v>4.18518518518519</c:v>
                </c:pt>
                <c:pt idx="134">
                  <c:v>4.33333333333333</c:v>
                </c:pt>
                <c:pt idx="135">
                  <c:v>4.48148148148148</c:v>
                </c:pt>
                <c:pt idx="136">
                  <c:v>4.66666666666667</c:v>
                </c:pt>
                <c:pt idx="137">
                  <c:v>4.81481481481482</c:v>
                </c:pt>
                <c:pt idx="138">
                  <c:v>4.92592592592593</c:v>
                </c:pt>
                <c:pt idx="139">
                  <c:v>5.11111111111111</c:v>
                </c:pt>
                <c:pt idx="140">
                  <c:v>5.33333333333333</c:v>
                </c:pt>
                <c:pt idx="141">
                  <c:v>5.51851851851852</c:v>
                </c:pt>
                <c:pt idx="142">
                  <c:v>5.62962962962963</c:v>
                </c:pt>
                <c:pt idx="143">
                  <c:v>5.92592592592593</c:v>
                </c:pt>
                <c:pt idx="144">
                  <c:v>6.07407407407407</c:v>
                </c:pt>
                <c:pt idx="145">
                  <c:v>6.2962962962963</c:v>
                </c:pt>
                <c:pt idx="146">
                  <c:v>6.48148148148148</c:v>
                </c:pt>
                <c:pt idx="147">
                  <c:v>6.59259259259259</c:v>
                </c:pt>
                <c:pt idx="148">
                  <c:v>6.77777777777778</c:v>
                </c:pt>
                <c:pt idx="149">
                  <c:v>6.92592592592593</c:v>
                </c:pt>
                <c:pt idx="150">
                  <c:v>7.11111111111111</c:v>
                </c:pt>
                <c:pt idx="151">
                  <c:v>7.37037037037037</c:v>
                </c:pt>
                <c:pt idx="152">
                  <c:v>7.62962962962963</c:v>
                </c:pt>
                <c:pt idx="153">
                  <c:v>7.74074074074074</c:v>
                </c:pt>
                <c:pt idx="154">
                  <c:v>7.81481481481482</c:v>
                </c:pt>
                <c:pt idx="155">
                  <c:v>7.96296296296296</c:v>
                </c:pt>
                <c:pt idx="156">
                  <c:v>8.14814814814815</c:v>
                </c:pt>
                <c:pt idx="157">
                  <c:v>8.40740740740741</c:v>
                </c:pt>
                <c:pt idx="158">
                  <c:v>8.66666666666667</c:v>
                </c:pt>
                <c:pt idx="159">
                  <c:v>8.88888888888889</c:v>
                </c:pt>
                <c:pt idx="160">
                  <c:v>9.22222222222222</c:v>
                </c:pt>
                <c:pt idx="161">
                  <c:v>9.44444444444445</c:v>
                </c:pt>
                <c:pt idx="162">
                  <c:v>9.62962962962963</c:v>
                </c:pt>
                <c:pt idx="163">
                  <c:v>9.85185185185185</c:v>
                </c:pt>
                <c:pt idx="164">
                  <c:v>10.0740740740741</c:v>
                </c:pt>
                <c:pt idx="165">
                  <c:v>10.3333333333333</c:v>
                </c:pt>
                <c:pt idx="166">
                  <c:v>10.5925925925926</c:v>
                </c:pt>
                <c:pt idx="167">
                  <c:v>10.8518518518519</c:v>
                </c:pt>
                <c:pt idx="168">
                  <c:v>11</c:v>
                </c:pt>
                <c:pt idx="169">
                  <c:v>11.1481481481481</c:v>
                </c:pt>
                <c:pt idx="170">
                  <c:v>11.1851851851852</c:v>
                </c:pt>
                <c:pt idx="171">
                  <c:v>11.3703703703704</c:v>
                </c:pt>
                <c:pt idx="172">
                  <c:v>11.7037037037037</c:v>
                </c:pt>
                <c:pt idx="173">
                  <c:v>11.962962962963</c:v>
                </c:pt>
                <c:pt idx="174">
                  <c:v>12.2222222222222</c:v>
                </c:pt>
                <c:pt idx="175">
                  <c:v>12.3703703703704</c:v>
                </c:pt>
                <c:pt idx="176">
                  <c:v>12.5555555555556</c:v>
                </c:pt>
                <c:pt idx="177">
                  <c:v>12.6296296296296</c:v>
                </c:pt>
                <c:pt idx="178">
                  <c:v>12.8518518518519</c:v>
                </c:pt>
                <c:pt idx="179">
                  <c:v>13.037037037037</c:v>
                </c:pt>
                <c:pt idx="180">
                  <c:v>13.0740740740741</c:v>
                </c:pt>
                <c:pt idx="181">
                  <c:v>13.4814814814815</c:v>
                </c:pt>
                <c:pt idx="182">
                  <c:v>13.8518518518519</c:v>
                </c:pt>
                <c:pt idx="183">
                  <c:v>14.1111111111111</c:v>
                </c:pt>
                <c:pt idx="184">
                  <c:v>14.2962962962963</c:v>
                </c:pt>
                <c:pt idx="185">
                  <c:v>14.4444444444444</c:v>
                </c:pt>
                <c:pt idx="186">
                  <c:v>14.7777777777778</c:v>
                </c:pt>
                <c:pt idx="187">
                  <c:v>15.1111111111111</c:v>
                </c:pt>
                <c:pt idx="188">
                  <c:v>15.3703703703704</c:v>
                </c:pt>
                <c:pt idx="189">
                  <c:v>15.6296296296296</c:v>
                </c:pt>
                <c:pt idx="190">
                  <c:v>15.7407407407407</c:v>
                </c:pt>
                <c:pt idx="191">
                  <c:v>15.962962962963</c:v>
                </c:pt>
                <c:pt idx="192">
                  <c:v>16.3333333333333</c:v>
                </c:pt>
                <c:pt idx="193">
                  <c:v>16.5185185185185</c:v>
                </c:pt>
                <c:pt idx="194">
                  <c:v>16.7407407407407</c:v>
                </c:pt>
                <c:pt idx="195">
                  <c:v>16.962962962963</c:v>
                </c:pt>
                <c:pt idx="196">
                  <c:v>17.2222222222222</c:v>
                </c:pt>
                <c:pt idx="197">
                  <c:v>17.3703703703704</c:v>
                </c:pt>
                <c:pt idx="198">
                  <c:v>17.5925925925926</c:v>
                </c:pt>
                <c:pt idx="199">
                  <c:v>17.6666666666667</c:v>
                </c:pt>
                <c:pt idx="200">
                  <c:v>17.8148148148148</c:v>
                </c:pt>
                <c:pt idx="201">
                  <c:v>18</c:v>
                </c:pt>
                <c:pt idx="202">
                  <c:v>18.2962962962963</c:v>
                </c:pt>
                <c:pt idx="203">
                  <c:v>18.5555555555556</c:v>
                </c:pt>
                <c:pt idx="204">
                  <c:v>18.8148148148148</c:v>
                </c:pt>
                <c:pt idx="205">
                  <c:v>18.962962962963</c:v>
                </c:pt>
                <c:pt idx="206">
                  <c:v>19.1851851851852</c:v>
                </c:pt>
                <c:pt idx="207">
                  <c:v>19.4074074074074</c:v>
                </c:pt>
                <c:pt idx="208">
                  <c:v>19.6296296296296</c:v>
                </c:pt>
                <c:pt idx="209">
                  <c:v>19.9259259259259</c:v>
                </c:pt>
                <c:pt idx="210">
                  <c:v>20.2962962962963</c:v>
                </c:pt>
                <c:pt idx="211">
                  <c:v>20.4814814814815</c:v>
                </c:pt>
                <c:pt idx="212">
                  <c:v>20.6296296296296</c:v>
                </c:pt>
                <c:pt idx="213">
                  <c:v>20.8888888888889</c:v>
                </c:pt>
                <c:pt idx="214">
                  <c:v>21.1851851851852</c:v>
                </c:pt>
                <c:pt idx="215">
                  <c:v>21.4074074074074</c:v>
                </c:pt>
                <c:pt idx="216">
                  <c:v>21.6296296296296</c:v>
                </c:pt>
                <c:pt idx="217">
                  <c:v>21.8148148148148</c:v>
                </c:pt>
                <c:pt idx="218">
                  <c:v>21.9259259259259</c:v>
                </c:pt>
                <c:pt idx="219">
                  <c:v>22.0740740740741</c:v>
                </c:pt>
                <c:pt idx="220">
                  <c:v>22.3333333333333</c:v>
                </c:pt>
                <c:pt idx="221">
                  <c:v>22.4444444444444</c:v>
                </c:pt>
                <c:pt idx="222">
                  <c:v>22.7407407407407</c:v>
                </c:pt>
                <c:pt idx="223">
                  <c:v>22.8888888888889</c:v>
                </c:pt>
                <c:pt idx="224">
                  <c:v>22.962962962963</c:v>
                </c:pt>
                <c:pt idx="225">
                  <c:v>23.1111111111111</c:v>
                </c:pt>
                <c:pt idx="226">
                  <c:v>23.3333333333333</c:v>
                </c:pt>
                <c:pt idx="227">
                  <c:v>23.4814814814815</c:v>
                </c:pt>
                <c:pt idx="228">
                  <c:v>23.6296296296296</c:v>
                </c:pt>
                <c:pt idx="229">
                  <c:v>23.9259259259259</c:v>
                </c:pt>
                <c:pt idx="230">
                  <c:v>24.1851851851852</c:v>
                </c:pt>
                <c:pt idx="231">
                  <c:v>24.3703703703704</c:v>
                </c:pt>
                <c:pt idx="232">
                  <c:v>24.5555555555556</c:v>
                </c:pt>
                <c:pt idx="233">
                  <c:v>24.7777777777778</c:v>
                </c:pt>
                <c:pt idx="234">
                  <c:v>24.962962962963</c:v>
                </c:pt>
                <c:pt idx="235">
                  <c:v>25.0740740740741</c:v>
                </c:pt>
                <c:pt idx="236">
                  <c:v>25.1481481481482</c:v>
                </c:pt>
                <c:pt idx="237">
                  <c:v>25.2962962962963</c:v>
                </c:pt>
                <c:pt idx="238">
                  <c:v>25.5185185185185</c:v>
                </c:pt>
                <c:pt idx="239">
                  <c:v>25.6296296296296</c:v>
                </c:pt>
                <c:pt idx="240">
                  <c:v>25.6666666666667</c:v>
                </c:pt>
                <c:pt idx="241">
                  <c:v>25.7777777777778</c:v>
                </c:pt>
                <c:pt idx="242">
                  <c:v>25.9259259259259</c:v>
                </c:pt>
                <c:pt idx="243">
                  <c:v>26</c:v>
                </c:pt>
                <c:pt idx="244">
                  <c:v>26.1111111111111</c:v>
                </c:pt>
                <c:pt idx="245">
                  <c:v>26.1481481481482</c:v>
                </c:pt>
                <c:pt idx="246">
                  <c:v>26.1851851851852</c:v>
                </c:pt>
                <c:pt idx="247">
                  <c:v>26.2222222222222</c:v>
                </c:pt>
                <c:pt idx="248">
                  <c:v>26.3333333333333</c:v>
                </c:pt>
                <c:pt idx="249">
                  <c:v>26.4444444444444</c:v>
                </c:pt>
                <c:pt idx="250">
                  <c:v>26.5185185185185</c:v>
                </c:pt>
                <c:pt idx="251">
                  <c:v>26.5925925925926</c:v>
                </c:pt>
                <c:pt idx="252">
                  <c:v>26.6666666666667</c:v>
                </c:pt>
                <c:pt idx="253">
                  <c:v>26.8148148148148</c:v>
                </c:pt>
                <c:pt idx="254">
                  <c:v>26.9259259259259</c:v>
                </c:pt>
                <c:pt idx="255">
                  <c:v>26.9259259259259</c:v>
                </c:pt>
                <c:pt idx="256">
                  <c:v>26.9259259259259</c:v>
                </c:pt>
                <c:pt idx="257">
                  <c:v>26.962962962963</c:v>
                </c:pt>
                <c:pt idx="258">
                  <c:v>26.962962962963</c:v>
                </c:pt>
                <c:pt idx="259">
                  <c:v>26.962962962963</c:v>
                </c:pt>
                <c:pt idx="260">
                  <c:v>27.0740740740741</c:v>
                </c:pt>
                <c:pt idx="261">
                  <c:v>27.1481481481482</c:v>
                </c:pt>
                <c:pt idx="262">
                  <c:v>27.2222222222222</c:v>
                </c:pt>
                <c:pt idx="263">
                  <c:v>27.2592592592593</c:v>
                </c:pt>
                <c:pt idx="264">
                  <c:v>27.3333333333333</c:v>
                </c:pt>
                <c:pt idx="265">
                  <c:v>27.3703703703704</c:v>
                </c:pt>
                <c:pt idx="266">
                  <c:v>27.4814814814815</c:v>
                </c:pt>
                <c:pt idx="267">
                  <c:v>27.4814814814815</c:v>
                </c:pt>
                <c:pt idx="268">
                  <c:v>27.5185185185185</c:v>
                </c:pt>
                <c:pt idx="269">
                  <c:v>27.5185185185185</c:v>
                </c:pt>
                <c:pt idx="270">
                  <c:v>27.5925925925926</c:v>
                </c:pt>
                <c:pt idx="271">
                  <c:v>27.5925925925926</c:v>
                </c:pt>
                <c:pt idx="272">
                  <c:v>27.5925925925926</c:v>
                </c:pt>
                <c:pt idx="273">
                  <c:v>27.5925925925926</c:v>
                </c:pt>
                <c:pt idx="274">
                  <c:v>27.6666666666667</c:v>
                </c:pt>
                <c:pt idx="275">
                  <c:v>27.6666666666667</c:v>
                </c:pt>
                <c:pt idx="276">
                  <c:v>27.7037037037037</c:v>
                </c:pt>
                <c:pt idx="277">
                  <c:v>27.7037037037037</c:v>
                </c:pt>
                <c:pt idx="278">
                  <c:v>27.7037037037037</c:v>
                </c:pt>
                <c:pt idx="279">
                  <c:v>27.7037037037037</c:v>
                </c:pt>
                <c:pt idx="280">
                  <c:v>27.7037037037037</c:v>
                </c:pt>
                <c:pt idx="281">
                  <c:v>27.7037037037037</c:v>
                </c:pt>
                <c:pt idx="282">
                  <c:v>27.7037037037037</c:v>
                </c:pt>
                <c:pt idx="283">
                  <c:v>27.7037037037037</c:v>
                </c:pt>
                <c:pt idx="284">
                  <c:v>27.7037037037037</c:v>
                </c:pt>
                <c:pt idx="285">
                  <c:v>27.7037037037037</c:v>
                </c:pt>
                <c:pt idx="286">
                  <c:v>27.7037037037037</c:v>
                </c:pt>
                <c:pt idx="287">
                  <c:v>27.7037037037037</c:v>
                </c:pt>
                <c:pt idx="288">
                  <c:v>27.7037037037037</c:v>
                </c:pt>
                <c:pt idx="289">
                  <c:v>27.7037037037037</c:v>
                </c:pt>
                <c:pt idx="290">
                  <c:v>27.7037037037037</c:v>
                </c:pt>
                <c:pt idx="291">
                  <c:v>27.7037037037037</c:v>
                </c:pt>
                <c:pt idx="292">
                  <c:v>27.7037037037037</c:v>
                </c:pt>
                <c:pt idx="293">
                  <c:v>27.7037037037037</c:v>
                </c:pt>
                <c:pt idx="294">
                  <c:v>27.7037037037037</c:v>
                </c:pt>
                <c:pt idx="295">
                  <c:v>27.7037037037037</c:v>
                </c:pt>
                <c:pt idx="296">
                  <c:v>27.7037037037037</c:v>
                </c:pt>
                <c:pt idx="297">
                  <c:v>27.7407407407407</c:v>
                </c:pt>
                <c:pt idx="298">
                  <c:v>27.7407407407407</c:v>
                </c:pt>
                <c:pt idx="299">
                  <c:v>27.7407407407407</c:v>
                </c:pt>
                <c:pt idx="300">
                  <c:v>27.7407407407407</c:v>
                </c:pt>
                <c:pt idx="301">
                  <c:v>27.7407407407407</c:v>
                </c:pt>
                <c:pt idx="302">
                  <c:v>27.8148148148148</c:v>
                </c:pt>
                <c:pt idx="303">
                  <c:v>27.8518518518519</c:v>
                </c:pt>
                <c:pt idx="304">
                  <c:v>27.8518518518519</c:v>
                </c:pt>
                <c:pt idx="305">
                  <c:v>27.8518518518519</c:v>
                </c:pt>
                <c:pt idx="306">
                  <c:v>27.8518518518519</c:v>
                </c:pt>
                <c:pt idx="307">
                  <c:v>27.8518518518519</c:v>
                </c:pt>
                <c:pt idx="308">
                  <c:v>27.8518518518519</c:v>
                </c:pt>
                <c:pt idx="309">
                  <c:v>27.8518518518519</c:v>
                </c:pt>
                <c:pt idx="310">
                  <c:v>27.8518518518519</c:v>
                </c:pt>
                <c:pt idx="311">
                  <c:v>27.8518518518519</c:v>
                </c:pt>
                <c:pt idx="312">
                  <c:v>27.8888888888889</c:v>
                </c:pt>
                <c:pt idx="313">
                  <c:v>27.8888888888889</c:v>
                </c:pt>
                <c:pt idx="314">
                  <c:v>27.8888888888889</c:v>
                </c:pt>
                <c:pt idx="315">
                  <c:v>27.8888888888889</c:v>
                </c:pt>
                <c:pt idx="316">
                  <c:v>27.8888888888889</c:v>
                </c:pt>
                <c:pt idx="317">
                  <c:v>27.8888888888889</c:v>
                </c:pt>
                <c:pt idx="318">
                  <c:v>27.8888888888889</c:v>
                </c:pt>
                <c:pt idx="319">
                  <c:v>27.8888888888889</c:v>
                </c:pt>
                <c:pt idx="320">
                  <c:v>27.8888888888889</c:v>
                </c:pt>
                <c:pt idx="321">
                  <c:v>27.8888888888889</c:v>
                </c:pt>
                <c:pt idx="322">
                  <c:v>27.8888888888889</c:v>
                </c:pt>
                <c:pt idx="323">
                  <c:v>27.8888888888889</c:v>
                </c:pt>
                <c:pt idx="324">
                  <c:v>27.8888888888889</c:v>
                </c:pt>
                <c:pt idx="325">
                  <c:v>27.8888888888889</c:v>
                </c:pt>
                <c:pt idx="326">
                  <c:v>27.8888888888889</c:v>
                </c:pt>
                <c:pt idx="327">
                  <c:v>27.8888888888889</c:v>
                </c:pt>
                <c:pt idx="328">
                  <c:v>27.8888888888889</c:v>
                </c:pt>
                <c:pt idx="329">
                  <c:v>27.8888888888889</c:v>
                </c:pt>
                <c:pt idx="330">
                  <c:v>27.8888888888889</c:v>
                </c:pt>
                <c:pt idx="331">
                  <c:v>27.8888888888889</c:v>
                </c:pt>
                <c:pt idx="332">
                  <c:v>27.8888888888889</c:v>
                </c:pt>
                <c:pt idx="333">
                  <c:v>27.8888888888889</c:v>
                </c:pt>
                <c:pt idx="334">
                  <c:v>27.8888888888889</c:v>
                </c:pt>
                <c:pt idx="335">
                  <c:v>27.8888888888889</c:v>
                </c:pt>
                <c:pt idx="336">
                  <c:v>27.8888888888889</c:v>
                </c:pt>
                <c:pt idx="337">
                  <c:v>27.9259259259259</c:v>
                </c:pt>
                <c:pt idx="338">
                  <c:v>27.9259259259259</c:v>
                </c:pt>
                <c:pt idx="339">
                  <c:v>27.9259259259259</c:v>
                </c:pt>
                <c:pt idx="340">
                  <c:v>27.9259259259259</c:v>
                </c:pt>
                <c:pt idx="341">
                  <c:v>27.9259259259259</c:v>
                </c:pt>
                <c:pt idx="342">
                  <c:v>27.9259259259259</c:v>
                </c:pt>
                <c:pt idx="343">
                  <c:v>27.9259259259259</c:v>
                </c:pt>
                <c:pt idx="344">
                  <c:v>27.9259259259259</c:v>
                </c:pt>
                <c:pt idx="345">
                  <c:v>27.9259259259259</c:v>
                </c:pt>
                <c:pt idx="346">
                  <c:v>27.9259259259259</c:v>
                </c:pt>
                <c:pt idx="347">
                  <c:v>27.9259259259259</c:v>
                </c:pt>
                <c:pt idx="348">
                  <c:v>27.9259259259259</c:v>
                </c:pt>
                <c:pt idx="349">
                  <c:v>27.962962962963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28.037037037037</c:v>
                </c:pt>
                <c:pt idx="356">
                  <c:v>28.0740740740741</c:v>
                </c:pt>
                <c:pt idx="357">
                  <c:v>28.0740740740741</c:v>
                </c:pt>
                <c:pt idx="358">
                  <c:v>28.0740740740741</c:v>
                </c:pt>
                <c:pt idx="359">
                  <c:v>28.0740740740741</c:v>
                </c:pt>
                <c:pt idx="360">
                  <c:v>28.0740740740741</c:v>
                </c:pt>
                <c:pt idx="361">
                  <c:v>28.0740740740741</c:v>
                </c:pt>
                <c:pt idx="362">
                  <c:v>28.0740740740741</c:v>
                </c:pt>
                <c:pt idx="363">
                  <c:v>28.0740740740741</c:v>
                </c:pt>
                <c:pt idx="364">
                  <c:v>28.0740740740741</c:v>
                </c:pt>
                <c:pt idx="365">
                  <c:v>28.0740740740741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List1!$AE$4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cap="rnd" w="28800">
              <a:solidFill>
                <a:srgbClr val="ff0000">
                  <a:alpha val="9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List1!$AE$5:$AE$370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9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15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List1!$AF$4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5983b0">
                <a:alpha val="90000"/>
              </a:srgbClr>
            </a:solidFill>
            <a:ln w="28800">
              <a:solidFill>
                <a:srgbClr val="5983b0">
                  <a:alpha val="9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List1!$AF$5:$AF$370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6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10</c:v>
                </c:pt>
                <c:pt idx="180">
                  <c:v>11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19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List1!$C$4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808080">
                <a:alpha val="60000"/>
              </a:srgbClr>
            </a:solidFill>
            <a:ln cap="rnd" w="28800">
              <a:solidFill>
                <a:srgbClr val="808080">
                  <a:alpha val="6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List1!$C$5:$C$370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9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12</c:v>
                </c:pt>
                <c:pt idx="209">
                  <c:v>12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15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List1!$D$4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808080">
                <a:alpha val="60000"/>
              </a:srgbClr>
            </a:solidFill>
            <a:ln cap="rnd" w="28800">
              <a:solidFill>
                <a:srgbClr val="808080">
                  <a:alpha val="6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List1!$D$5:$D$370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5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7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14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17</c:v>
                </c:pt>
                <c:pt idx="174">
                  <c:v>17</c:v>
                </c:pt>
                <c:pt idx="175">
                  <c:v>17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19</c:v>
                </c:pt>
                <c:pt idx="182">
                  <c:v>19</c:v>
                </c:pt>
                <c:pt idx="183">
                  <c:v>20</c:v>
                </c:pt>
                <c:pt idx="184">
                  <c:v>21</c:v>
                </c:pt>
                <c:pt idx="185">
                  <c:v>21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29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31</c:v>
                </c:pt>
                <c:pt idx="216">
                  <c:v>32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</c:v>
                </c:pt>
                <c:pt idx="240">
                  <c:v>33</c:v>
                </c:pt>
                <c:pt idx="241">
                  <c:v>33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35</c:v>
                </c:pt>
                <c:pt idx="250">
                  <c:v>36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38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844222"/>
        <c:axId val="78135177"/>
      </c:lineChart>
      <c:catAx>
        <c:axId val="518442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78135177"/>
        <c:crosses val="autoZero"/>
        <c:auto val="1"/>
        <c:lblAlgn val="ctr"/>
        <c:lblOffset val="100"/>
        <c:noMultiLvlLbl val="0"/>
      </c:catAx>
      <c:valAx>
        <c:axId val="78135177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0.0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51844222"/>
        <c:crossesAt val="1"/>
        <c:crossBetween val="between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Total storms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List1!$BD$9</c:f>
              <c:strCache>
                <c:ptCount val="1"/>
                <c:pt idx="0">
                  <c:v>TD Amount:</c:v>
                </c:pt>
              </c:strCache>
            </c:strRef>
          </c:tx>
          <c:spPr>
            <a:solidFill>
              <a:srgbClr val="004586"/>
            </a:solidFill>
            <a:ln w="360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TD trend</c:nam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1"/>
            <c:backward val="1"/>
            <c:dispRSqr val="0"/>
            <c:dispEq val="0"/>
          </c:trendline>
          <c:cat>
            <c:strRef>
              <c:f>List1!$BE$10:$BE$40</c:f>
              <c:strCache>
                <c:ptCount val="3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</c:strCache>
            </c:strRef>
          </c:cat>
          <c:val>
            <c:numRef>
              <c:f>List1!$BF$10:$BF$40</c:f>
              <c:numCache>
                <c:formatCode>General</c:formatCode>
                <c:ptCount val="31"/>
                <c:pt idx="0">
                  <c:v>20</c:v>
                </c:pt>
                <c:pt idx="1">
                  <c:v>28</c:v>
                </c:pt>
                <c:pt idx="2">
                  <c:v>22</c:v>
                </c:pt>
                <c:pt idx="3">
                  <c:v>30</c:v>
                </c:pt>
                <c:pt idx="4">
                  <c:v>30</c:v>
                </c:pt>
                <c:pt idx="5">
                  <c:v>34</c:v>
                </c:pt>
                <c:pt idx="6">
                  <c:v>28</c:v>
                </c:pt>
                <c:pt idx="7">
                  <c:v>31</c:v>
                </c:pt>
                <c:pt idx="8">
                  <c:v>33</c:v>
                </c:pt>
                <c:pt idx="9">
                  <c:v>26</c:v>
                </c:pt>
                <c:pt idx="10">
                  <c:v>29</c:v>
                </c:pt>
                <c:pt idx="11">
                  <c:v>20</c:v>
                </c:pt>
                <c:pt idx="12">
                  <c:v>32</c:v>
                </c:pt>
                <c:pt idx="13">
                  <c:v>33</c:v>
                </c:pt>
                <c:pt idx="14">
                  <c:v>20</c:v>
                </c:pt>
                <c:pt idx="15">
                  <c:v>40</c:v>
                </c:pt>
                <c:pt idx="16">
                  <c:v>28</c:v>
                </c:pt>
                <c:pt idx="17">
                  <c:v>33</c:v>
                </c:pt>
                <c:pt idx="18">
                  <c:v>33</c:v>
                </c:pt>
                <c:pt idx="19">
                  <c:v>29</c:v>
                </c:pt>
                <c:pt idx="20">
                  <c:v>25</c:v>
                </c:pt>
                <c:pt idx="21">
                  <c:v>22</c:v>
                </c:pt>
                <c:pt idx="22">
                  <c:v>28</c:v>
                </c:pt>
                <c:pt idx="23">
                  <c:v>26</c:v>
                </c:pt>
                <c:pt idx="24">
                  <c:v>29</c:v>
                </c:pt>
                <c:pt idx="25">
                  <c:v>30</c:v>
                </c:pt>
                <c:pt idx="26">
                  <c:v>19</c:v>
                </c:pt>
                <c:pt idx="27">
                  <c:v>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288095"/>
        <c:axId val="22780330"/>
      </c:lineChart>
      <c:catAx>
        <c:axId val="39288095"/>
        <c:scaling>
          <c:orientation val="minMax"/>
        </c:scaling>
        <c:delete val="0"/>
        <c:axPos val="b"/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22780330"/>
        <c:crosses val="autoZero"/>
        <c:auto val="1"/>
        <c:lblAlgn val="ctr"/>
        <c:lblOffset val="100"/>
        <c:noMultiLvlLbl val="0"/>
      </c:catAx>
      <c:valAx>
        <c:axId val="22780330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39288095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43244910549044"/>
          <c:y val="0.0308814795961653"/>
          <c:w val="0.827069710055521"/>
          <c:h val="0.9236022736913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List1!$BI$9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List1!$BH$10:$BH$40</c:f>
              <c:strCache>
                <c:ptCount val="3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</c:strCache>
            </c:strRef>
          </c:cat>
          <c:val>
            <c:numRef>
              <c:f>List1!$BI$10:$BI$40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</c:ser>
        <c:ser>
          <c:idx val="1"/>
          <c:order val="1"/>
          <c:tx>
            <c:strRef>
              <c:f>List1!$BJ$9</c:f>
              <c:strCache>
                <c:ptCount val="1"/>
                <c:pt idx="0">
                  <c:v>STR TS or SC</c:v>
                </c:pt>
              </c:strCache>
            </c:strRef>
          </c:tx>
          <c:spPr>
            <a:solidFill>
              <a:srgbClr val="ff8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List1!$BH$10:$BH$40</c:f>
              <c:strCache>
                <c:ptCount val="3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</c:strCache>
            </c:strRef>
          </c:cat>
          <c:val>
            <c:numRef>
              <c:f>List1!$BJ$10:$BJ$40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9</c:v>
                </c:pt>
                <c:pt idx="26">
                  <c:v>2</c:v>
                </c:pt>
                <c:pt idx="27">
                  <c:v>3</c:v>
                </c:pt>
              </c:numCache>
            </c:numRef>
          </c:val>
        </c:ser>
        <c:ser>
          <c:idx val="2"/>
          <c:order val="2"/>
          <c:tx>
            <c:strRef>
              <c:f>List1!$BK$9</c:f>
              <c:strCache>
                <c:ptCount val="1"/>
                <c:pt idx="0">
                  <c:v>WF induced</c:v>
                </c:pt>
              </c:strCache>
            </c:strRef>
          </c:tx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List1!$BH$10:$BH$40</c:f>
              <c:strCache>
                <c:ptCount val="3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</c:strCache>
            </c:strRef>
          </c:cat>
          <c:val>
            <c:numRef>
              <c:f>List1!$BK$10:$BK$40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3"/>
          <c:order val="3"/>
          <c:tx>
            <c:strRef>
              <c:f>List1!$BL$9</c:f>
              <c:strCache>
                <c:ptCount val="1"/>
                <c:pt idx="0">
                  <c:v>Far storms</c:v>
                </c:pt>
              </c:strCache>
            </c:strRef>
          </c:tx>
          <c:spPr>
            <a:solidFill>
              <a:srgbClr val="ffff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List1!$BH$10:$BH$40</c:f>
              <c:strCache>
                <c:ptCount val="3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</c:strCache>
            </c:strRef>
          </c:cat>
          <c:val>
            <c:numRef>
              <c:f>List1!$BL$10:$BL$40</c:f>
              <c:numCache>
                <c:formatCode>General</c:formatCode>
                <c:ptCount val="31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15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8</c:v>
                </c:pt>
                <c:pt idx="10">
                  <c:v>11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11</c:v>
                </c:pt>
                <c:pt idx="16">
                  <c:v>9</c:v>
                </c:pt>
                <c:pt idx="17">
                  <c:v>14</c:v>
                </c:pt>
                <c:pt idx="18">
                  <c:v>11</c:v>
                </c:pt>
                <c:pt idx="19">
                  <c:v>12</c:v>
                </c:pt>
                <c:pt idx="20">
                  <c:v>10</c:v>
                </c:pt>
                <c:pt idx="21">
                  <c:v>10</c:v>
                </c:pt>
                <c:pt idx="22">
                  <c:v>9</c:v>
                </c:pt>
                <c:pt idx="23">
                  <c:v>10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10</c:v>
                </c:pt>
              </c:numCache>
            </c:numRef>
          </c:val>
        </c:ser>
        <c:gapWidth val="150"/>
        <c:overlap val="0"/>
        <c:axId val="57071458"/>
        <c:axId val="80187076"/>
      </c:barChart>
      <c:catAx>
        <c:axId val="570714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80187076"/>
        <c:crosses val="autoZero"/>
        <c:auto val="1"/>
        <c:lblAlgn val="ctr"/>
        <c:lblOffset val="100"/>
        <c:noMultiLvlLbl val="0"/>
      </c:catAx>
      <c:valAx>
        <c:axId val="80187076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57071458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List1!$BY$18</c:f>
              <c:strCache>
                <c:ptCount val="1"/>
                <c:pt idx="0">
                  <c:v>Points: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List1!$BS$19:$BS$46</c:f>
              <c:strCache>
                <c:ptCount val="28"/>
                <c:pt idx="0">
                  <c:v>Season 1999:</c:v>
                </c:pt>
                <c:pt idx="1">
                  <c:v>Season 2000:</c:v>
                </c:pt>
                <c:pt idx="2">
                  <c:v>Season 2001:</c:v>
                </c:pt>
                <c:pt idx="3">
                  <c:v>Season 2002:</c:v>
                </c:pt>
                <c:pt idx="4">
                  <c:v>Season 2003:</c:v>
                </c:pt>
                <c:pt idx="5">
                  <c:v>Season 2004:</c:v>
                </c:pt>
                <c:pt idx="6">
                  <c:v>Season 2005:</c:v>
                </c:pt>
                <c:pt idx="7">
                  <c:v>Season 2006:</c:v>
                </c:pt>
                <c:pt idx="8">
                  <c:v>Season 2007:</c:v>
                </c:pt>
                <c:pt idx="9">
                  <c:v>Season 2008:</c:v>
                </c:pt>
                <c:pt idx="10">
                  <c:v>Season 2009:</c:v>
                </c:pt>
                <c:pt idx="11">
                  <c:v>Season 2010:</c:v>
                </c:pt>
                <c:pt idx="12">
                  <c:v>Season 2011:</c:v>
                </c:pt>
                <c:pt idx="13">
                  <c:v>Season 2012:</c:v>
                </c:pt>
                <c:pt idx="14">
                  <c:v>Season 2013:</c:v>
                </c:pt>
                <c:pt idx="15">
                  <c:v>Season 2014:</c:v>
                </c:pt>
                <c:pt idx="16">
                  <c:v>Season 2015:</c:v>
                </c:pt>
                <c:pt idx="17">
                  <c:v>Season 2016:</c:v>
                </c:pt>
                <c:pt idx="18">
                  <c:v>Season 2017:</c:v>
                </c:pt>
                <c:pt idx="19">
                  <c:v>Season 2018:</c:v>
                </c:pt>
                <c:pt idx="20">
                  <c:v>Season 2019:</c:v>
                </c:pt>
                <c:pt idx="21">
                  <c:v>Season 2020:</c:v>
                </c:pt>
                <c:pt idx="22">
                  <c:v>Season 2021:</c:v>
                </c:pt>
                <c:pt idx="23">
                  <c:v>Season 2022:</c:v>
                </c:pt>
                <c:pt idx="24">
                  <c:v>Season 2023:</c:v>
                </c:pt>
                <c:pt idx="25">
                  <c:v>Season 2024:</c:v>
                </c:pt>
                <c:pt idx="26">
                  <c:v>Season 2025:</c:v>
                </c:pt>
                <c:pt idx="27">
                  <c:v>Season 2026:</c:v>
                </c:pt>
              </c:strCache>
            </c:strRef>
          </c:cat>
          <c:val>
            <c:numRef>
              <c:f>List1!$BY$19:$BY$46</c:f>
              <c:numCache>
                <c:formatCode>General</c:formatCode>
                <c:ptCount val="28"/>
                <c:pt idx="0">
                  <c:v>-3</c:v>
                </c:pt>
                <c:pt idx="1">
                  <c:v>0</c:v>
                </c:pt>
                <c:pt idx="2">
                  <c:v>-2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-3</c:v>
                </c:pt>
                <c:pt idx="12">
                  <c:v>1</c:v>
                </c:pt>
                <c:pt idx="13">
                  <c:v>2</c:v>
                </c:pt>
                <c:pt idx="14">
                  <c:v>-3</c:v>
                </c:pt>
                <c:pt idx="15">
                  <c:v>3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-1</c:v>
                </c:pt>
                <c:pt idx="21">
                  <c:v>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-3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09592"/>
        <c:axId val="52140842"/>
      </c:lineChart>
      <c:catAx>
        <c:axId val="8609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2140842"/>
        <c:crosses val="autoZero"/>
        <c:auto val="1"/>
        <c:lblAlgn val="ctr"/>
        <c:lblOffset val="100"/>
        <c:noMultiLvlLbl val="0"/>
      </c:catAx>
      <c:valAx>
        <c:axId val="521408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60959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TOTAL STORMS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54995017010894"/>
          <c:y val="0.0789304537858337"/>
          <c:w val="0.80394515275439"/>
          <c:h val="0.855701246946908"/>
        </c:manualLayout>
      </c:layout>
      <c:lineChart>
        <c:grouping val="standard"/>
        <c:varyColors val="0"/>
        <c:ser>
          <c:idx val="0"/>
          <c:order val="0"/>
          <c:tx>
            <c:strRef>
              <c:f>List1!$CH$7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List1!$CH$8:$CH$35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04080"/>
        <c:axId val="81574228"/>
      </c:lineChart>
      <c:catAx>
        <c:axId val="6804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1574228"/>
        <c:crosses val="autoZero"/>
        <c:auto val="1"/>
        <c:lblAlgn val="ctr"/>
        <c:lblOffset val="100"/>
        <c:noMultiLvlLbl val="0"/>
      </c:catAx>
      <c:valAx>
        <c:axId val="81574228"/>
        <c:scaling>
          <c:orientation val="minMax"/>
          <c:max val="3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04080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70916033160194"/>
          <c:y val="0.0336220725056144"/>
          <c:w val="0.798940524921743"/>
          <c:h val="0.877702919473853"/>
        </c:manualLayout>
      </c:layout>
      <c:lineChart>
        <c:grouping val="standard"/>
        <c:varyColors val="0"/>
        <c:ser>
          <c:idx val="0"/>
          <c:order val="0"/>
          <c:tx>
            <c:strRef>
              <c:f>List1!$CI$7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List1!$CI$8:$CI$35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985265"/>
        <c:axId val="38597701"/>
      </c:lineChart>
      <c:catAx>
        <c:axId val="949852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8597701"/>
        <c:crosses val="autoZero"/>
        <c:auto val="1"/>
        <c:lblAlgn val="ctr"/>
        <c:lblOffset val="100"/>
        <c:noMultiLvlLbl val="0"/>
      </c:catAx>
      <c:valAx>
        <c:axId val="38597701"/>
        <c:scaling>
          <c:orientation val="minMax"/>
          <c:max val="3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4985265"/>
        <c:crossesAt val="1"/>
        <c:crossBetween val="midCat"/>
        <c:majorUnit val="1"/>
        <c:min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5946832383912"/>
          <c:y val="0.0308097143796941"/>
          <c:w val="0.817987225962368"/>
          <c:h val="0.910476399320213"/>
        </c:manualLayout>
      </c:layout>
      <c:lineChart>
        <c:grouping val="standard"/>
        <c:varyColors val="0"/>
        <c:ser>
          <c:idx val="0"/>
          <c:order val="0"/>
          <c:tx>
            <c:strRef>
              <c:f>List1!$CJ$7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List1!$CJ$8:$CJ$35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129349"/>
        <c:axId val="1589853"/>
      </c:lineChart>
      <c:catAx>
        <c:axId val="261293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89853"/>
        <c:crosses val="autoZero"/>
        <c:auto val="1"/>
        <c:lblAlgn val="ctr"/>
        <c:lblOffset val="100"/>
        <c:noMultiLvlLbl val="0"/>
      </c:catAx>
      <c:valAx>
        <c:axId val="1589853"/>
        <c:scaling>
          <c:orientation val="minMax"/>
          <c:max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6129349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48454963839579"/>
          <c:y val="0.0193186665854104"/>
          <c:w val="0.833800477525174"/>
          <c:h val="0.899872021451642"/>
        </c:manualLayout>
      </c:layout>
      <c:lineChart>
        <c:grouping val="standard"/>
        <c:varyColors val="0"/>
        <c:ser>
          <c:idx val="0"/>
          <c:order val="0"/>
          <c:tx>
            <c:strRef>
              <c:f>List1!$CK$7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List1!$CK$8:$CK$35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62182"/>
        <c:axId val="96232974"/>
      </c:lineChart>
      <c:catAx>
        <c:axId val="13621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6232974"/>
        <c:crosses val="autoZero"/>
        <c:auto val="1"/>
        <c:lblAlgn val="ctr"/>
        <c:lblOffset val="100"/>
        <c:noMultiLvlLbl val="0"/>
      </c:catAx>
      <c:valAx>
        <c:axId val="962329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6218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46174087667059"/>
          <c:y val="0.031514394412583"/>
          <c:w val="0.850633612630704"/>
          <c:h val="0.888138095508489"/>
        </c:manualLayout>
      </c:layout>
      <c:lineChart>
        <c:grouping val="standard"/>
        <c:varyColors val="0"/>
        <c:ser>
          <c:idx val="0"/>
          <c:order val="0"/>
          <c:tx>
            <c:strRef>
              <c:f>List1!$CL$7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List1!$CL$8:$CL$35</c:f>
              <c:numCache>
                <c:formatCode>General</c:formatCode>
                <c:ptCount val="28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2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1</c:v>
                </c:pt>
                <c:pt idx="21">
                  <c:v>0</c:v>
                </c:pt>
                <c:pt idx="22">
                  <c:v>5</c:v>
                </c:pt>
                <c:pt idx="23">
                  <c:v>4</c:v>
                </c:pt>
                <c:pt idx="24">
                  <c:v>1</c:v>
                </c:pt>
                <c:pt idx="25">
                  <c:v>7</c:v>
                </c:pt>
                <c:pt idx="26">
                  <c:v>4</c:v>
                </c:pt>
                <c:pt idx="27">
                  <c:v>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318201"/>
        <c:axId val="12462819"/>
      </c:lineChart>
      <c:catAx>
        <c:axId val="513182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2462819"/>
        <c:crosses val="autoZero"/>
        <c:auto val="1"/>
        <c:lblAlgn val="ctr"/>
        <c:lblOffset val="100"/>
        <c:noMultiLvlLbl val="0"/>
      </c:catAx>
      <c:valAx>
        <c:axId val="12462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3182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73664557618504"/>
          <c:y val="0.469449820293061"/>
          <c:w val="0.126270659013899"/>
          <c:h val="0.060993143109931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26867627785059"/>
          <c:y val="0.0299373990306947"/>
          <c:w val="0.845347313237222"/>
          <c:h val="0.914428513731826"/>
        </c:manualLayout>
      </c:layout>
      <c:lineChart>
        <c:grouping val="standard"/>
        <c:varyColors val="0"/>
        <c:ser>
          <c:idx val="0"/>
          <c:order val="0"/>
          <c:tx>
            <c:strRef>
              <c:f>List1!$CM$7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-1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List1!$CM$8:$CM$35</c:f>
              <c:numCache>
                <c:formatCode>General</c:formatCode>
                <c:ptCount val="28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3</c:v>
                </c:pt>
                <c:pt idx="12">
                  <c:v>8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7</c:v>
                </c:pt>
                <c:pt idx="17">
                  <c:v>13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8</c:v>
                </c:pt>
                <c:pt idx="22">
                  <c:v>8</c:v>
                </c:pt>
                <c:pt idx="23">
                  <c:v>5</c:v>
                </c:pt>
                <c:pt idx="24">
                  <c:v>10</c:v>
                </c:pt>
                <c:pt idx="25">
                  <c:v>6</c:v>
                </c:pt>
                <c:pt idx="26">
                  <c:v>3</c:v>
                </c:pt>
                <c:pt idx="27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37619"/>
        <c:axId val="48675492"/>
      </c:lineChart>
      <c:catAx>
        <c:axId val="34376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8675492"/>
        <c:crosses val="autoZero"/>
        <c:auto val="1"/>
        <c:lblAlgn val="ctr"/>
        <c:lblOffset val="100"/>
        <c:noMultiLvlLbl val="0"/>
      </c:catAx>
      <c:valAx>
        <c:axId val="486754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437619"/>
        <c:crossesAt val="1"/>
        <c:crossBetween val="midCat"/>
        <c:majorUnit val="1"/>
        <c:min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7656276907181"/>
          <c:y val="0.472793466496113"/>
          <c:w val="0.120479437900393"/>
          <c:h val="0.054317343173431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15983389015518"/>
          <c:y val="0.032258064516129"/>
          <c:w val="0.8514066256596"/>
          <c:h val="0.903913273400317"/>
        </c:manualLayout>
      </c:layout>
      <c:lineChart>
        <c:grouping val="standard"/>
        <c:varyColors val="0"/>
        <c:ser>
          <c:idx val="0"/>
          <c:order val="0"/>
          <c:tx>
            <c:strRef>
              <c:f>List1!$CN$7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List1!$CN$8:$CN$35</c:f>
              <c:numCache>
                <c:formatCode>General</c:formatCode>
                <c:ptCount val="28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7</c:v>
                </c:pt>
                <c:pt idx="9">
                  <c:v>3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13</c:v>
                </c:pt>
                <c:pt idx="16">
                  <c:v>9</c:v>
                </c:pt>
                <c:pt idx="17">
                  <c:v>11</c:v>
                </c:pt>
                <c:pt idx="18">
                  <c:v>10</c:v>
                </c:pt>
                <c:pt idx="19">
                  <c:v>4</c:v>
                </c:pt>
                <c:pt idx="20">
                  <c:v>6</c:v>
                </c:pt>
                <c:pt idx="21">
                  <c:v>4</c:v>
                </c:pt>
                <c:pt idx="22">
                  <c:v>7</c:v>
                </c:pt>
                <c:pt idx="23">
                  <c:v>4</c:v>
                </c:pt>
                <c:pt idx="24">
                  <c:v>6</c:v>
                </c:pt>
                <c:pt idx="25">
                  <c:v>6</c:v>
                </c:pt>
                <c:pt idx="26">
                  <c:v>7</c:v>
                </c:pt>
                <c:pt idx="27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286519"/>
        <c:axId val="81664622"/>
      </c:lineChart>
      <c:catAx>
        <c:axId val="772865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1664622"/>
        <c:crosses val="autoZero"/>
        <c:auto val="1"/>
        <c:lblAlgn val="ctr"/>
        <c:lblOffset val="100"/>
        <c:noMultiLvlLbl val="0"/>
      </c:catAx>
      <c:valAx>
        <c:axId val="816646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7286519"/>
        <c:crossesAt val="1"/>
        <c:crossBetween val="midCat"/>
        <c:majorUnit val="1"/>
        <c:min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97915045900109"/>
          <c:y val="0.032938296333389"/>
          <c:w val="0.854022094289715"/>
          <c:h val="0.901296389027987"/>
        </c:manualLayout>
      </c:layout>
      <c:lineChart>
        <c:grouping val="standard"/>
        <c:varyColors val="0"/>
        <c:ser>
          <c:idx val="0"/>
          <c:order val="0"/>
          <c:tx>
            <c:strRef>
              <c:f>List1!$CO$7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List1!$CO$8:$CO$35</c:f>
              <c:numCache>
                <c:formatCode>General</c:formatCode>
                <c:ptCount val="2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9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  <c:pt idx="19">
                  <c:v>9</c:v>
                </c:pt>
                <c:pt idx="20">
                  <c:v>9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2</c:v>
                </c:pt>
                <c:pt idx="27">
                  <c:v>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375551"/>
        <c:axId val="85298504"/>
      </c:lineChart>
      <c:catAx>
        <c:axId val="193755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5298504"/>
        <c:crosses val="autoZero"/>
        <c:auto val="1"/>
        <c:lblAlgn val="ctr"/>
        <c:lblOffset val="100"/>
        <c:noMultiLvlLbl val="0"/>
      </c:catAx>
      <c:valAx>
        <c:axId val="852985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93755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76177112566261"/>
          <c:y val="0.466471512983141"/>
          <c:w val="0.12376438304905"/>
          <c:h val="0.0668979724601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42318813543513"/>
          <c:y val="0.0313813554442333"/>
          <c:w val="0.797344775052079"/>
          <c:h val="0.907986411009386"/>
        </c:manualLayout>
      </c:layout>
      <c:lineChart>
        <c:grouping val="standard"/>
        <c:varyColors val="0"/>
        <c:ser>
          <c:idx val="0"/>
          <c:order val="0"/>
          <c:tx>
            <c:strRef>
              <c:f>List1!$CP$7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List1!$CP$8:$CP$35</c:f>
              <c:numCache>
                <c:formatCode>General</c:formatCode>
                <c:ptCount val="2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2</c:v>
                </c:pt>
                <c:pt idx="25">
                  <c:v>1</c:v>
                </c:pt>
                <c:pt idx="26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173217"/>
        <c:axId val="74329208"/>
      </c:lineChart>
      <c:catAx>
        <c:axId val="881732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4329208"/>
        <c:crosses val="autoZero"/>
        <c:auto val="1"/>
        <c:lblAlgn val="ctr"/>
        <c:lblOffset val="100"/>
        <c:noMultiLvlLbl val="0"/>
      </c:catAx>
      <c:valAx>
        <c:axId val="743292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17321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List1!$CQ$7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List1!$CQ$8:$CQ$35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199910"/>
        <c:axId val="36809480"/>
      </c:lineChart>
      <c:catAx>
        <c:axId val="291999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6809480"/>
        <c:crosses val="autoZero"/>
        <c:auto val="1"/>
        <c:lblAlgn val="ctr"/>
        <c:lblOffset val="100"/>
        <c:noMultiLvlLbl val="0"/>
      </c:catAx>
      <c:valAx>
        <c:axId val="368094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9199910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List1!$CR$7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List1!$CR$8:$CR$35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405265"/>
        <c:axId val="91676184"/>
      </c:lineChart>
      <c:catAx>
        <c:axId val="344052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1676184"/>
        <c:crosses val="autoZero"/>
        <c:auto val="1"/>
        <c:lblAlgn val="ctr"/>
        <c:lblOffset val="100"/>
        <c:noMultiLvlLbl val="0"/>
      </c:catAx>
      <c:valAx>
        <c:axId val="916761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440526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44104134762634"/>
          <c:y val="0.0310427464749484"/>
          <c:w val="0.840891333562521"/>
          <c:h val="0.909769826673355"/>
        </c:manualLayout>
      </c:layout>
      <c:lineChart>
        <c:grouping val="standard"/>
        <c:varyColors val="0"/>
        <c:ser>
          <c:idx val="0"/>
          <c:order val="0"/>
          <c:tx>
            <c:strRef>
              <c:f>List1!$CS$7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000">
                <a:solidFill>
                  <a:srgbClr val="83caff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List1!$CG$8:$CG$35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List1!$CS$8:$CS$35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468497"/>
        <c:axId val="88418574"/>
      </c:lineChart>
      <c:catAx>
        <c:axId val="574684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418574"/>
        <c:crosses val="autoZero"/>
        <c:auto val="1"/>
        <c:lblAlgn val="ctr"/>
        <c:lblOffset val="100"/>
        <c:noMultiLvlLbl val="0"/>
      </c:catAx>
      <c:valAx>
        <c:axId val="884185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46849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23604121734963"/>
          <c:y val="0.0343416630132983"/>
          <c:w val="0.837806534068216"/>
          <c:h val="0.894856057284817"/>
        </c:manualLayout>
      </c:layout>
      <c:lineChart>
        <c:grouping val="standard"/>
        <c:varyColors val="0"/>
        <c:ser>
          <c:idx val="0"/>
          <c:order val="0"/>
          <c:tx>
            <c:strRef>
              <c:f>List1!$CG$36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numFmt formatCode="0.00" sourceLinked="1"/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List1!$CH$7:$CS$7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List1!$CH$36:$CS$36</c:f>
              <c:numCache>
                <c:formatCode>0.00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0.357142857142857</c:v>
                </c:pt>
                <c:pt idx="3">
                  <c:v>1.46428571428571</c:v>
                </c:pt>
                <c:pt idx="4">
                  <c:v>4.96428571428571</c:v>
                </c:pt>
                <c:pt idx="5">
                  <c:v>6.10714285714286</c:v>
                </c:pt>
                <c:pt idx="6">
                  <c:v>7</c:v>
                </c:pt>
                <c:pt idx="7">
                  <c:v>5.46428571428571</c:v>
                </c:pt>
                <c:pt idx="8">
                  <c:v>1.62962962962963</c:v>
                </c:pt>
                <c:pt idx="9">
                  <c:v>0.259259259259259</c:v>
                </c:pt>
                <c:pt idx="10">
                  <c:v>0.037037037037037</c:v>
                </c:pt>
                <c:pt idx="11">
                  <c:v>0.185185185185185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755333"/>
        <c:axId val="58941472"/>
      </c:lineChart>
      <c:catAx>
        <c:axId val="817553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8941472"/>
        <c:crosses val="autoZero"/>
        <c:auto val="1"/>
        <c:lblAlgn val="ctr"/>
        <c:lblOffset val="100"/>
        <c:noMultiLvlLbl val="0"/>
      </c:catAx>
      <c:valAx>
        <c:axId val="589414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175533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75903803835272"/>
          <c:y val="0.03921143847487"/>
          <c:w val="0.80603583778686"/>
          <c:h val="0.89550837666089"/>
        </c:manualLayout>
      </c:layout>
      <c:lineChart>
        <c:grouping val="standard"/>
        <c:varyColors val="0"/>
        <c:ser>
          <c:idx val="0"/>
          <c:order val="0"/>
          <c:tx>
            <c:strRef>
              <c:f>List1!$CG$37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numFmt formatCode="General" sourceLinked="1"/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List1!$CH$7:$CS$7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List1!$CH$37:$CS$37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40</c:v>
                </c:pt>
                <c:pt idx="4">
                  <c:v>135</c:v>
                </c:pt>
                <c:pt idx="5">
                  <c:v>165</c:v>
                </c:pt>
                <c:pt idx="6">
                  <c:v>193</c:v>
                </c:pt>
                <c:pt idx="7">
                  <c:v>145</c:v>
                </c:pt>
                <c:pt idx="8">
                  <c:v>44</c:v>
                </c:pt>
                <c:pt idx="9">
                  <c:v>7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569896"/>
        <c:axId val="47219471"/>
      </c:lineChart>
      <c:catAx>
        <c:axId val="72569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7219471"/>
        <c:crosses val="autoZero"/>
        <c:auto val="1"/>
        <c:lblAlgn val="ctr"/>
        <c:lblOffset val="100"/>
        <c:noMultiLvlLbl val="0"/>
      </c:catAx>
      <c:valAx>
        <c:axId val="472194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256989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Direct/near storms (0-6km)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74206391907888"/>
          <c:y val="0.0875053304904051"/>
          <c:w val="0.843457441084688"/>
          <c:h val="0.863710021321962"/>
        </c:manualLayout>
      </c:layout>
      <c:lineChart>
        <c:grouping val="standard"/>
        <c:varyColors val="0"/>
        <c:ser>
          <c:idx val="0"/>
          <c:order val="0"/>
          <c:tx>
            <c:strRef>
              <c:f>List1!$BN$9</c:f>
              <c:strCache>
                <c:ptCount val="1"/>
                <c:pt idx="0">
                  <c:v>Direct TS to 6km: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List1!$BO$10:$BO$40</c:f>
              <c:strCache>
                <c:ptCount val="3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</c:strCache>
            </c:strRef>
          </c:cat>
          <c:val>
            <c:numRef>
              <c:f>List1!$BP$10:$BP$40</c:f>
              <c:numCache>
                <c:formatCode>General</c:formatCode>
                <c:ptCount val="31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20</c:v>
                </c:pt>
                <c:pt idx="7">
                  <c:v>22</c:v>
                </c:pt>
                <c:pt idx="8">
                  <c:v>21</c:v>
                </c:pt>
                <c:pt idx="9">
                  <c:v>18</c:v>
                </c:pt>
                <c:pt idx="10">
                  <c:v>18</c:v>
                </c:pt>
                <c:pt idx="11">
                  <c:v>12</c:v>
                </c:pt>
                <c:pt idx="12">
                  <c:v>24</c:v>
                </c:pt>
                <c:pt idx="13">
                  <c:v>25</c:v>
                </c:pt>
                <c:pt idx="14">
                  <c:v>12</c:v>
                </c:pt>
                <c:pt idx="15">
                  <c:v>29</c:v>
                </c:pt>
                <c:pt idx="16">
                  <c:v>19</c:v>
                </c:pt>
                <c:pt idx="17">
                  <c:v>19</c:v>
                </c:pt>
                <c:pt idx="18">
                  <c:v>22</c:v>
                </c:pt>
                <c:pt idx="19">
                  <c:v>17</c:v>
                </c:pt>
                <c:pt idx="20">
                  <c:v>15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16</c:v>
                </c:pt>
                <c:pt idx="25">
                  <c:v>19</c:v>
                </c:pt>
                <c:pt idx="26">
                  <c:v>11</c:v>
                </c:pt>
                <c:pt idx="27">
                  <c:v>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059125"/>
        <c:axId val="46034601"/>
      </c:lineChart>
      <c:catAx>
        <c:axId val="510591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6034601"/>
        <c:crosses val="autoZero"/>
        <c:auto val="1"/>
        <c:lblAlgn val="ctr"/>
        <c:lblOffset val="100"/>
        <c:noMultiLvlLbl val="0"/>
      </c:catAx>
      <c:valAx>
        <c:axId val="460346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059125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January</a:t>
            </a:r>
          </a:p>
        </c:rich>
      </c:tx>
      <c:layout>
        <c:manualLayout>
          <c:xMode val="edge"/>
          <c:yMode val="edge"/>
          <c:x val="0.469769069279216"/>
          <c:y val="0.012572254335260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5010496850945"/>
          <c:y val="0.080635838150289"/>
          <c:w val="0.862806158152554"/>
          <c:h val="0.847109826589595"/>
        </c:manualLayout>
      </c:layout>
      <c:lineChart>
        <c:grouping val="standard"/>
        <c:varyColors val="0"/>
        <c:ser>
          <c:idx val="0"/>
          <c:order val="0"/>
          <c:tx>
            <c:strRef>
              <c:f>List1!$FA$73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List1!$FA$43:$FA$70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List1!$FB$73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List1!$FB$43:$FB$70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List1!$FC$73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List1!$FC$43:$FC$70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List1!$FD$73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List1!$FD$43:$FD$70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564691"/>
        <c:axId val="95730849"/>
      </c:lineChart>
      <c:catAx>
        <c:axId val="8656469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5730849"/>
        <c:crosses val="autoZero"/>
        <c:auto val="1"/>
        <c:lblAlgn val="ctr"/>
        <c:lblOffset val="100"/>
        <c:noMultiLvlLbl val="0"/>
      </c:catAx>
      <c:valAx>
        <c:axId val="95730849"/>
        <c:scaling>
          <c:orientation val="minMax"/>
          <c:max val="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6564691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c1c1c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February</a:t>
            </a:r>
          </a:p>
        </c:rich>
      </c:tx>
      <c:layout>
        <c:manualLayout>
          <c:xMode val="edge"/>
          <c:yMode val="edge"/>
          <c:x val="0.432670507340643"/>
          <c:y val="0.022660818713450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217989221334"/>
          <c:y val="0.077266081871345"/>
          <c:w val="0.871213529083813"/>
          <c:h val="0.853216374269006"/>
        </c:manualLayout>
      </c:layout>
      <c:lineChart>
        <c:grouping val="standard"/>
        <c:varyColors val="0"/>
        <c:ser>
          <c:idx val="0"/>
          <c:order val="0"/>
          <c:tx>
            <c:strRef>
              <c:f>List1!$FE$73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List1!$FE$43:$FE$70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List1!$FF$73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diamond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List1!$FF$43:$FF$70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List1!$FG$73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triangle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List1!$FG$43:$FG$70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List1!$FH$73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List1!$FH$43:$FH$70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618291"/>
        <c:axId val="68187301"/>
      </c:lineChart>
      <c:catAx>
        <c:axId val="5561829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187301"/>
        <c:crosses val="autoZero"/>
        <c:auto val="1"/>
        <c:lblAlgn val="ctr"/>
        <c:lblOffset val="100"/>
        <c:noMultiLvlLbl val="0"/>
      </c:catAx>
      <c:valAx>
        <c:axId val="68187301"/>
        <c:scaling>
          <c:orientation val="minMax"/>
          <c:max val="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5618291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March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6429617234888"/>
          <c:y val="0.0870421713118342"/>
          <c:w val="0.855818169141742"/>
          <c:h val="0.842988472201955"/>
        </c:manualLayout>
      </c:layout>
      <c:lineChart>
        <c:grouping val="standard"/>
        <c:varyColors val="0"/>
        <c:ser>
          <c:idx val="0"/>
          <c:order val="0"/>
          <c:tx>
            <c:strRef>
              <c:f>List1!$FI$73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List1!$FI$43:$FI$70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List1!$FJ$73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List1!$FJ$43:$FJ$70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List1!$FK$73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List1!$FK$43:$FK$70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List1!$FL$73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List1!$FL$43:$FL$70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645737"/>
        <c:axId val="74734990"/>
      </c:lineChart>
      <c:catAx>
        <c:axId val="1364573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4734990"/>
        <c:crosses val="autoZero"/>
        <c:auto val="1"/>
        <c:lblAlgn val="ctr"/>
        <c:lblOffset val="100"/>
        <c:noMultiLvlLbl val="0"/>
      </c:catAx>
      <c:valAx>
        <c:axId val="74734990"/>
        <c:scaling>
          <c:orientation val="minMax"/>
          <c:max val="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645737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April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50185587226"/>
          <c:y val="0.0888546481766821"/>
          <c:w val="0.842250857903215"/>
          <c:h val="0.841514417785604"/>
        </c:manualLayout>
      </c:layout>
      <c:lineChart>
        <c:grouping val="standard"/>
        <c:varyColors val="0"/>
        <c:ser>
          <c:idx val="0"/>
          <c:order val="0"/>
          <c:tx>
            <c:strRef>
              <c:f>List1!$FM$73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List1!$FM$43:$FM$70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List1!$FN$73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List1!$FN$43:$FN$70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List1!$FO$73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List1!$FO$43:$FO$70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List1!$FP$73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List1!$FP$43:$FP$70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918154"/>
        <c:axId val="31740022"/>
      </c:lineChart>
      <c:catAx>
        <c:axId val="2891815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1740022"/>
        <c:crosses val="autoZero"/>
        <c:auto val="1"/>
        <c:lblAlgn val="ctr"/>
        <c:lblOffset val="100"/>
        <c:noMultiLvlLbl val="0"/>
      </c:catAx>
      <c:valAx>
        <c:axId val="31740022"/>
        <c:scaling>
          <c:orientation val="minMax"/>
          <c:max val="3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8918154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May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5766120671781"/>
          <c:y val="0.0975211518480036"/>
          <c:w val="0.871172852304928"/>
          <c:h val="0.832121122161199"/>
        </c:manualLayout>
      </c:layout>
      <c:lineChart>
        <c:grouping val="standard"/>
        <c:varyColors val="0"/>
        <c:ser>
          <c:idx val="0"/>
          <c:order val="0"/>
          <c:tx>
            <c:strRef>
              <c:f>List1!$FQ$73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List1!$FQ$43:$FQ$70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List1!$FR$73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List1!$FR$43:$FR$70</c:f>
              <c:numCache>
                <c:formatCode>General</c:formatCode>
                <c:ptCount val="28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5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List1!$FS$73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List1!$FS$43:$FS$70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List1!$FT$73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List1!$FT$43:$FT$70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123875"/>
        <c:axId val="84260030"/>
      </c:lineChart>
      <c:catAx>
        <c:axId val="1912387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260030"/>
        <c:crosses val="autoZero"/>
        <c:auto val="1"/>
        <c:lblAlgn val="ctr"/>
        <c:lblOffset val="100"/>
        <c:noMultiLvlLbl val="0"/>
      </c:catAx>
      <c:valAx>
        <c:axId val="842600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91238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June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668949091992"/>
          <c:y val="0.0960538838860824"/>
          <c:w val="0.867408454897291"/>
          <c:h val="0.834394904458599"/>
        </c:manualLayout>
      </c:layout>
      <c:lineChart>
        <c:grouping val="standard"/>
        <c:varyColors val="0"/>
        <c:ser>
          <c:idx val="0"/>
          <c:order val="0"/>
          <c:tx>
            <c:strRef>
              <c:f>List1!$FU$73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List1!$FU$43:$FU$70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List1!$FV$73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List1!$FV$43:$FV$70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List1!$FW$73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List1!$FW$43:$FW$70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List1!$FX$73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List1!$FX$43:$FX$70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557089"/>
        <c:axId val="77161058"/>
      </c:lineChart>
      <c:catAx>
        <c:axId val="2455708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7161058"/>
        <c:crosses val="autoZero"/>
        <c:auto val="1"/>
        <c:lblAlgn val="ctr"/>
        <c:lblOffset val="100"/>
        <c:noMultiLvlLbl val="0"/>
      </c:catAx>
      <c:valAx>
        <c:axId val="771610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45570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July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56645789839944"/>
          <c:y val="0.0968047855266997"/>
          <c:w val="0.876443980514962"/>
          <c:h val="0.834184417858185"/>
        </c:manualLayout>
      </c:layout>
      <c:lineChart>
        <c:grouping val="standard"/>
        <c:varyColors val="0"/>
        <c:ser>
          <c:idx val="0"/>
          <c:order val="0"/>
          <c:tx>
            <c:strRef>
              <c:f>List1!$FY$73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List1!$FY$43:$FY$70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List1!$FZ$73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List1!$FZ$43:$FZ$70</c:f>
              <c:numCache>
                <c:formatCode>General</c:formatCode>
                <c:ptCount val="28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List1!$GA$73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List1!$GA$43:$GA$70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List1!$GB$73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List1!$GB$43:$GB$70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238531"/>
        <c:axId val="69738073"/>
      </c:lineChart>
      <c:catAx>
        <c:axId val="1423853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9738073"/>
        <c:crosses val="autoZero"/>
        <c:auto val="1"/>
        <c:lblAlgn val="ctr"/>
        <c:lblOffset val="100"/>
        <c:noMultiLvlLbl val="0"/>
      </c:catAx>
      <c:valAx>
        <c:axId val="697380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42385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5711797087311"/>
          <c:y val="0.0943650377909152"/>
          <c:w val="0.875130652916173"/>
          <c:h val="0.834992142482975"/>
        </c:manualLayout>
      </c:layout>
      <c:lineChart>
        <c:grouping val="standard"/>
        <c:varyColors val="0"/>
        <c:ser>
          <c:idx val="0"/>
          <c:order val="0"/>
          <c:tx>
            <c:strRef>
              <c:f>List1!$GC$73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List1!$GC$43:$GC$70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List1!$GD$73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List1!$GD$43:$GD$70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List1!$GE$73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List1!$GE$43:$GE$70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List1!$GF$73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List1!$GF$43:$GF$70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768092"/>
        <c:axId val="424614"/>
      </c:lineChart>
      <c:catAx>
        <c:axId val="1376809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24614"/>
        <c:crosses val="autoZero"/>
        <c:auto val="1"/>
        <c:lblAlgn val="ctr"/>
        <c:lblOffset val="100"/>
        <c:noMultiLvlLbl val="0"/>
      </c:catAx>
      <c:valAx>
        <c:axId val="424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76809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September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254295532646"/>
          <c:y val="0.0873324053044179"/>
          <c:w val="0.863573883161512"/>
          <c:h val="0.843138691479229"/>
        </c:manualLayout>
      </c:layout>
      <c:lineChart>
        <c:grouping val="standard"/>
        <c:varyColors val="0"/>
        <c:ser>
          <c:idx val="0"/>
          <c:order val="0"/>
          <c:tx>
            <c:strRef>
              <c:f>List1!$GG$73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List1!$GG$43:$GG$70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List1!$GH$73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List1!$GH$43:$GH$70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List1!$GI$73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List1!$GI$43:$GI$70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List1!$GJ$73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List1!$GJ$43:$GJ$70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373810"/>
        <c:axId val="30526157"/>
      </c:lineChart>
      <c:catAx>
        <c:axId val="9437381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0526157"/>
        <c:crosses val="autoZero"/>
        <c:auto val="1"/>
        <c:lblAlgn val="ctr"/>
        <c:lblOffset val="100"/>
        <c:noMultiLvlLbl val="0"/>
      </c:catAx>
      <c:valAx>
        <c:axId val="30526157"/>
        <c:scaling>
          <c:orientation val="minMax"/>
          <c:max val="3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4373810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October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4613809245173"/>
          <c:y val="0.0779575851621961"/>
          <c:w val="0.848997952018724"/>
          <c:h val="0.852065321805956"/>
        </c:manualLayout>
      </c:layout>
      <c:lineChart>
        <c:grouping val="standard"/>
        <c:varyColors val="0"/>
        <c:ser>
          <c:idx val="0"/>
          <c:order val="0"/>
          <c:tx>
            <c:strRef>
              <c:f>List1!$GK$73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List1!$GK$43:$GK$70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List1!$GL$73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List1!$GL$43:$GL$70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List1!$GM$73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List1!$GM$43:$GM$70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List1!$GN$73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List1!$GN$43:$GN$70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582783"/>
        <c:axId val="98890953"/>
      </c:lineChart>
      <c:catAx>
        <c:axId val="5658278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8890953"/>
        <c:crosses val="autoZero"/>
        <c:auto val="1"/>
        <c:lblAlgn val="ctr"/>
        <c:lblOffset val="100"/>
        <c:noMultiLvlLbl val="0"/>
      </c:catAx>
      <c:valAx>
        <c:axId val="98890953"/>
        <c:scaling>
          <c:orientation val="minMax"/>
          <c:max val="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6582783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November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3736572351331"/>
          <c:y val="0.0873516048658948"/>
          <c:w val="0.86551288352173"/>
          <c:h val="0.843177487908545"/>
        </c:manualLayout>
      </c:layout>
      <c:lineChart>
        <c:grouping val="standard"/>
        <c:varyColors val="0"/>
        <c:ser>
          <c:idx val="0"/>
          <c:order val="0"/>
          <c:tx>
            <c:strRef>
              <c:f>List1!$GO$73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List1!$GO$43:$GO$70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List1!$GP$73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List1!$GP$43:$GP$70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List1!$GQ$73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List1!$GQ$43:$GQ$70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List1!$GR$73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List1!$GR$43:$GR$70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243335"/>
        <c:axId val="26388334"/>
      </c:lineChart>
      <c:catAx>
        <c:axId val="1424333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6388334"/>
        <c:crosses val="autoZero"/>
        <c:auto val="1"/>
        <c:lblAlgn val="ctr"/>
        <c:lblOffset val="100"/>
        <c:noMultiLvlLbl val="0"/>
      </c:catAx>
      <c:valAx>
        <c:axId val="263883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424333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December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5478211658178"/>
          <c:y val="0.0982378854625551"/>
          <c:w val="0.841999151103565"/>
          <c:h val="0.83223201174743"/>
        </c:manualLayout>
      </c:layout>
      <c:lineChart>
        <c:grouping val="standard"/>
        <c:varyColors val="0"/>
        <c:ser>
          <c:idx val="0"/>
          <c:order val="0"/>
          <c:tx>
            <c:strRef>
              <c:f>List1!$GS$73</c:f>
              <c:strCache>
                <c:ptCount val="1"/>
                <c:pt idx="0">
                  <c:v>WF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List1!$GS$43:$GS$70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List1!$GT$73</c:f>
              <c:strCache>
                <c:ptCount val="1"/>
                <c:pt idx="0">
                  <c:v>Far</c:v>
                </c:pt>
              </c:strCache>
            </c:strRef>
          </c:tx>
          <c:spPr>
            <a:solidFill>
              <a:srgbClr val="ffff00"/>
            </a:solidFill>
            <a:ln w="28800">
              <a:solidFill>
                <a:srgbClr val="ffff00"/>
              </a:solidFill>
              <a:round/>
            </a:ln>
          </c:spPr>
          <c:marker>
            <c:symbol val="diamond"/>
            <c:size val="8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List1!$GT$43:$GT$70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List1!$GU$73</c:f>
              <c:strCache>
                <c:ptCount val="1"/>
                <c:pt idx="0">
                  <c:v>STS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triangl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List1!$GU$43:$GU$70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List1!$GV$73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triangl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List1!$EZ$43:$EZ$70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List1!$GV$43:$GV$70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662373"/>
        <c:axId val="10704896"/>
      </c:lineChart>
      <c:catAx>
        <c:axId val="7166237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0704896"/>
        <c:crosses val="autoZero"/>
        <c:auto val="1"/>
        <c:lblAlgn val="ctr"/>
        <c:lblOffset val="100"/>
        <c:noMultiLvlLbl val="0"/>
      </c:catAx>
      <c:valAx>
        <c:axId val="10704896"/>
        <c:scaling>
          <c:orientation val="minMax"/>
          <c:max val="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1662373"/>
        <c:crossesAt val="1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WF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59503024889358"/>
          <c:y val="0.0864831233473324"/>
          <c:w val="0.842908766088757"/>
          <c:h val="0.844221496344688"/>
        </c:manualLayout>
      </c:layout>
      <c:lineChart>
        <c:grouping val="standard"/>
        <c:varyColors val="0"/>
        <c:ser>
          <c:idx val="0"/>
          <c:order val="0"/>
          <c:tx>
            <c:strRef>
              <c:f>List1!$EZ$72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List1!$FA$42,List1!$FE$42,List1!$FI$42,List1!$FM$42,List1!$FQ$42,List1!$FU$42,List1!$FY$42,List1!$GC$42,List1!$GG$42,List1!$GK$42,List1!$GO$42,List1!$GS$42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List1!$FA$72,List1!$FE$72,List1!$FI$72,List1!$FM$72,List1!$FQ$72,List1!$FU$72,List1!$FY$72,List1!$GC$72,List1!$GG$72,List1!$GK$72,List1!$GO$72,List1!$GS$72</c:f>
              <c:numCache>
                <c:formatCode>#,##0.00</c:formatCode>
                <c:ptCount val="12"/>
                <c:pt idx="0">
                  <c:v>0.25</c:v>
                </c:pt>
                <c:pt idx="1">
                  <c:v>0.142857142857143</c:v>
                </c:pt>
                <c:pt idx="2">
                  <c:v>0.214285714285714</c:v>
                </c:pt>
                <c:pt idx="3">
                  <c:v>0.0714285714285714</c:v>
                </c:pt>
                <c:pt idx="4">
                  <c:v>0.0357142857142857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216772"/>
        <c:axId val="31387637"/>
      </c:lineChart>
      <c:catAx>
        <c:axId val="592167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1387637"/>
        <c:crosses val="autoZero"/>
        <c:auto val="1"/>
        <c:lblAlgn val="ctr"/>
        <c:lblOffset val="100"/>
        <c:noMultiLvlLbl val="0"/>
      </c:catAx>
      <c:valAx>
        <c:axId val="313876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92167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FAR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59417946645109"/>
          <c:y val="0.0864763978536434"/>
          <c:w val="0.842886014551334"/>
          <c:h val="0.844155844155844"/>
        </c:manualLayout>
      </c:layout>
      <c:lineChart>
        <c:grouping val="standard"/>
        <c:varyColors val="0"/>
        <c:ser>
          <c:idx val="0"/>
          <c:order val="0"/>
          <c:tx>
            <c:strRef>
              <c:f>List1!$EZ$72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e6e905"/>
            </a:solidFill>
            <a:ln w="28800">
              <a:solidFill>
                <a:srgbClr val="e6e905"/>
              </a:solidFill>
              <a:round/>
            </a:ln>
          </c:spPr>
          <c:marker>
            <c:symbol val="square"/>
            <c:size val="8"/>
            <c:spPr>
              <a:solidFill>
                <a:srgbClr val="e6e905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List1!$FA$42,List1!$FE$42,List1!$FI$42,List1!$FM$42,List1!$FQ$42,List1!$FU$42,List1!$FY$42,List1!$GC$42,List1!$GG$42,List1!$GK$42,List1!$GO$42,List1!$GS$42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List1!$FB$72,List1!$FF$72,List1!$FJ$72,List1!$FN$72,List1!$FR$72,List1!$FV$72,List1!$FZ$72,List1!$GD$72,List1!$GH$72,List1!$GL$72,List1!$GP$72,List1!$GT$72</c:f>
              <c:numCache>
                <c:formatCode>#,##0.00</c:formatCode>
                <c:ptCount val="12"/>
                <c:pt idx="0">
                  <c:v>0.142857142857143</c:v>
                </c:pt>
                <c:pt idx="1">
                  <c:v>0.178571428571429</c:v>
                </c:pt>
                <c:pt idx="2">
                  <c:v>0.178571428571429</c:v>
                </c:pt>
                <c:pt idx="3">
                  <c:v>0.892857142857143</c:v>
                </c:pt>
                <c:pt idx="4">
                  <c:v>1.75</c:v>
                </c:pt>
                <c:pt idx="5">
                  <c:v>1.82142857142857</c:v>
                </c:pt>
                <c:pt idx="6">
                  <c:v>2.32142857142857</c:v>
                </c:pt>
                <c:pt idx="7">
                  <c:v>1.92857142857143</c:v>
                </c:pt>
                <c:pt idx="8">
                  <c:v>0.703703703703704</c:v>
                </c:pt>
                <c:pt idx="9">
                  <c:v>0.111111111111111</c:v>
                </c:pt>
                <c:pt idx="10">
                  <c:v>0</c:v>
                </c:pt>
                <c:pt idx="11">
                  <c:v>0.111111111111111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372393"/>
        <c:axId val="35456660"/>
      </c:lineChart>
      <c:catAx>
        <c:axId val="323723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5456660"/>
        <c:crosses val="autoZero"/>
        <c:auto val="1"/>
        <c:lblAlgn val="ctr"/>
        <c:lblOffset val="100"/>
        <c:noMultiLvlLbl val="0"/>
      </c:catAx>
      <c:valAx>
        <c:axId val="354566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237239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STS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59446188521291"/>
          <c:y val="0.0864801864801865"/>
          <c:w val="0.842912340014489"/>
          <c:h val="0.844211344211344"/>
        </c:manualLayout>
      </c:layout>
      <c:lineChart>
        <c:grouping val="standard"/>
        <c:varyColors val="0"/>
        <c:ser>
          <c:idx val="0"/>
          <c:order val="0"/>
          <c:tx>
            <c:strRef>
              <c:f>List1!$EZ$72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square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List1!$FA$42,List1!$FE$42,List1!$FI$42,List1!$FM$42,List1!$FQ$42,List1!$FU$42,List1!$FY$42,List1!$GC$42,List1!$GG$42,List1!$GK$42,List1!$GO$42,List1!$GS$42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List1!$FC$72,List1!$FG$72,List1!$FK$72,List1!$FO$72,List1!$FS$72,List1!$FW$72,List1!$GA$72,List1!$GE$72,List1!$GI$72,List1!$GM$72,List1!$GQ$72,List1!$GU$72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0.0714285714285714</c:v>
                </c:pt>
                <c:pt idx="4">
                  <c:v>0.178571428571429</c:v>
                </c:pt>
                <c:pt idx="5">
                  <c:v>0.607142857142857</c:v>
                </c:pt>
                <c:pt idx="6">
                  <c:v>0.535714285714286</c:v>
                </c:pt>
                <c:pt idx="7">
                  <c:v>0.607142857142857</c:v>
                </c:pt>
                <c:pt idx="8">
                  <c:v>0.0740740740740741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722556"/>
        <c:axId val="6804603"/>
      </c:lineChart>
      <c:catAx>
        <c:axId val="647225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04603"/>
        <c:crosses val="autoZero"/>
        <c:auto val="1"/>
        <c:lblAlgn val="ctr"/>
        <c:lblOffset val="100"/>
        <c:noMultiLvlLbl val="0"/>
      </c:catAx>
      <c:valAx>
        <c:axId val="68046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472255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MCS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59446188521291"/>
          <c:y val="0.0864801864801865"/>
          <c:w val="0.842872092087258"/>
          <c:h val="0.844211344211344"/>
        </c:manualLayout>
      </c:layout>
      <c:lineChart>
        <c:grouping val="standard"/>
        <c:varyColors val="0"/>
        <c:ser>
          <c:idx val="0"/>
          <c:order val="0"/>
          <c:tx>
            <c:strRef>
              <c:f>List1!$EZ$72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List1!$FA$42,List1!$FE$42,List1!$FI$42,List1!$FM$42,List1!$FQ$42,List1!$FU$42,List1!$FY$42,List1!$GC$42,List1!$GG$42,List1!$GK$42,List1!$GO$42,List1!$GS$42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List1!$FD$72,List1!$FH$72,List1!$FL$72,List1!$FP$72,List1!$FT$72,List1!$FX$72,List1!$GB$72,List1!$GF$72,List1!$GJ$72,List1!$GN$72,List1!$GR$72,List1!$GV$72</c:f>
              <c:numCache>
                <c:formatCode>#,##0.00</c:formatCode>
                <c:ptCount val="12"/>
                <c:pt idx="0">
                  <c:v>0.0357142857142857</c:v>
                </c:pt>
                <c:pt idx="1">
                  <c:v>0</c:v>
                </c:pt>
                <c:pt idx="2">
                  <c:v>0.0714285714285714</c:v>
                </c:pt>
                <c:pt idx="3">
                  <c:v>0</c:v>
                </c:pt>
                <c:pt idx="4">
                  <c:v>0.107142857142857</c:v>
                </c:pt>
                <c:pt idx="5">
                  <c:v>0.392857142857143</c:v>
                </c:pt>
                <c:pt idx="6">
                  <c:v>0.428571428571429</c:v>
                </c:pt>
                <c:pt idx="7">
                  <c:v>0.25</c:v>
                </c:pt>
                <c:pt idx="8">
                  <c:v>0.111111111111111</c:v>
                </c:pt>
                <c:pt idx="9">
                  <c:v>0</c:v>
                </c:pt>
                <c:pt idx="10">
                  <c:v>0</c:v>
                </c:pt>
                <c:pt idx="11">
                  <c:v>0.037037037037037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611114"/>
        <c:axId val="58520159"/>
      </c:lineChart>
      <c:catAx>
        <c:axId val="106111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8520159"/>
        <c:crosses val="autoZero"/>
        <c:auto val="1"/>
        <c:lblAlgn val="ctr"/>
        <c:lblOffset val="100"/>
        <c:noMultiLvlLbl val="0"/>
      </c:catAx>
      <c:valAx>
        <c:axId val="585201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061111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DIRECT STORMS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List1!$GY$42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List1!$GY$43:$GY$70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800730"/>
        <c:axId val="97218115"/>
      </c:lineChart>
      <c:catAx>
        <c:axId val="808007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7218115"/>
        <c:crosses val="autoZero"/>
        <c:auto val="1"/>
        <c:lblAlgn val="ctr"/>
        <c:lblOffset val="100"/>
        <c:noMultiLvlLbl val="0"/>
      </c:catAx>
      <c:valAx>
        <c:axId val="972181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080073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List1!$HE$42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List1!$HE$43:$HE$70</c:f>
              <c:numCache>
                <c:formatCode>General</c:formatCode>
                <c:ptCount val="28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8</c:v>
                </c:pt>
                <c:pt idx="14">
                  <c:v>2</c:v>
                </c:pt>
                <c:pt idx="15">
                  <c:v>10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7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069427"/>
        <c:axId val="12922001"/>
      </c:lineChart>
      <c:catAx>
        <c:axId val="150694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2922001"/>
        <c:crosses val="autoZero"/>
        <c:auto val="1"/>
        <c:lblAlgn val="ctr"/>
        <c:lblOffset val="100"/>
        <c:noMultiLvlLbl val="0"/>
      </c:catAx>
      <c:valAx>
        <c:axId val="129220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06942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60060840140821"/>
          <c:y val="0.0346982283319856"/>
          <c:w val="0.826810677786513"/>
          <c:h val="0.895684775417187"/>
        </c:manualLayout>
      </c:layout>
      <c:lineChart>
        <c:grouping val="standard"/>
        <c:varyColors val="0"/>
        <c:ser>
          <c:idx val="0"/>
          <c:order val="0"/>
          <c:tx>
            <c:strRef>
              <c:f>List1!$GZ$42</c:f>
              <c:strCache>
                <c:ptCount val="1"/>
                <c:pt idx="0">
                  <c:v>FEB 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List1!$GZ$43:$GZ$70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862456"/>
        <c:axId val="95099692"/>
      </c:lineChart>
      <c:catAx>
        <c:axId val="48862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5099692"/>
        <c:crosses val="autoZero"/>
        <c:auto val="1"/>
        <c:lblAlgn val="ctr"/>
        <c:lblOffset val="100"/>
        <c:noMultiLvlLbl val="0"/>
      </c:catAx>
      <c:valAx>
        <c:axId val="950996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886245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List1!$HA$42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List1!$HA$43:$HA$70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459498"/>
        <c:axId val="67009786"/>
      </c:lineChart>
      <c:catAx>
        <c:axId val="444594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7009786"/>
        <c:crosses val="autoZero"/>
        <c:auto val="1"/>
        <c:lblAlgn val="ctr"/>
        <c:lblOffset val="100"/>
        <c:noMultiLvlLbl val="0"/>
      </c:catAx>
      <c:valAx>
        <c:axId val="670097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445949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List1!$HB$42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List1!$HB$43:$HB$70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68167"/>
        <c:axId val="36776999"/>
      </c:lineChart>
      <c:catAx>
        <c:axId val="976816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6776999"/>
        <c:crosses val="autoZero"/>
        <c:auto val="1"/>
        <c:lblAlgn val="ctr"/>
        <c:lblOffset val="100"/>
        <c:noMultiLvlLbl val="0"/>
      </c:catAx>
      <c:valAx>
        <c:axId val="367769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76816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List1!$HC$42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List1!$HC$43:$HC$70</c:f>
              <c:numCache>
                <c:formatCode>General</c:formatCode>
                <c:ptCount val="28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6</c:v>
                </c:pt>
                <c:pt idx="14">
                  <c:v>3</c:v>
                </c:pt>
                <c:pt idx="15">
                  <c:v>6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0</c:v>
                </c:pt>
                <c:pt idx="22">
                  <c:v>3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038787"/>
        <c:axId val="35558583"/>
      </c:lineChart>
      <c:catAx>
        <c:axId val="160387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5558583"/>
        <c:crosses val="autoZero"/>
        <c:auto val="1"/>
        <c:lblAlgn val="ctr"/>
        <c:lblOffset val="100"/>
        <c:noMultiLvlLbl val="0"/>
      </c:catAx>
      <c:valAx>
        <c:axId val="355585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03878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List1!$HD$42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List1!$HD$43:$HD$70</c:f>
              <c:numCache>
                <c:formatCode>General</c:formatCode>
                <c:ptCount val="28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2</c:v>
                </c:pt>
                <c:pt idx="27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990248"/>
        <c:axId val="3718504"/>
      </c:lineChart>
      <c:catAx>
        <c:axId val="57990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718504"/>
        <c:crosses val="autoZero"/>
        <c:auto val="1"/>
        <c:lblAlgn val="ctr"/>
        <c:lblOffset val="100"/>
        <c:noMultiLvlLbl val="0"/>
      </c:catAx>
      <c:valAx>
        <c:axId val="37185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99024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List1!$HF$42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List1!$HF$43:$HF$70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8</c:v>
                </c:pt>
                <c:pt idx="26">
                  <c:v>2</c:v>
                </c:pt>
                <c:pt idx="27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592703"/>
        <c:axId val="38955231"/>
      </c:lineChart>
      <c:catAx>
        <c:axId val="855927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8955231"/>
        <c:crosses val="autoZero"/>
        <c:auto val="1"/>
        <c:lblAlgn val="ctr"/>
        <c:lblOffset val="100"/>
        <c:noMultiLvlLbl val="0"/>
      </c:catAx>
      <c:valAx>
        <c:axId val="389552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559270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12442215009344"/>
          <c:y val="0.0893478106592861"/>
          <c:w val="0.861020950132783"/>
          <c:h val="0.812433468171173"/>
        </c:manualLayout>
      </c:layout>
      <c:lineChart>
        <c:grouping val="standard"/>
        <c:varyColors val="0"/>
        <c:ser>
          <c:idx val="0"/>
          <c:order val="0"/>
          <c:tx>
            <c:strRef>
              <c:f>List1!$HG$42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List1!$HG$43:$HG$70</c:f>
              <c:numCache>
                <c:formatCode>General</c:formatCode>
                <c:ptCount val="2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3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72859"/>
        <c:axId val="71034756"/>
      </c:lineChart>
      <c:catAx>
        <c:axId val="21728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1034756"/>
        <c:crosses val="autoZero"/>
        <c:auto val="1"/>
        <c:lblAlgn val="ctr"/>
        <c:lblOffset val="100"/>
        <c:noMultiLvlLbl val="0"/>
      </c:catAx>
      <c:valAx>
        <c:axId val="710347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1728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List1!$HH$42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List1!$HH$43:$HH$70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438374"/>
        <c:axId val="91972301"/>
      </c:lineChart>
      <c:catAx>
        <c:axId val="334383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1972301"/>
        <c:crosses val="autoZero"/>
        <c:auto val="1"/>
        <c:lblAlgn val="ctr"/>
        <c:lblOffset val="100"/>
        <c:noMultiLvlLbl val="0"/>
      </c:catAx>
      <c:valAx>
        <c:axId val="919723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343837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List1!$HI$42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List1!$HI$43:$HI$70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497826"/>
        <c:axId val="93635873"/>
      </c:lineChart>
      <c:catAx>
        <c:axId val="2049782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3635873"/>
        <c:crosses val="autoZero"/>
        <c:auto val="1"/>
        <c:lblAlgn val="ctr"/>
        <c:lblOffset val="100"/>
        <c:noMultiLvlLbl val="0"/>
      </c:catAx>
      <c:valAx>
        <c:axId val="93635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049782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List1!$HJ$42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List1!$GX$43:$GX$70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List1!$HJ$43:$HJ$70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228925"/>
        <c:axId val="60004554"/>
      </c:lineChart>
      <c:catAx>
        <c:axId val="602289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0004554"/>
        <c:crosses val="autoZero"/>
        <c:auto val="1"/>
        <c:lblAlgn val="ctr"/>
        <c:lblOffset val="100"/>
        <c:noMultiLvlLbl val="0"/>
      </c:catAx>
      <c:valAx>
        <c:axId val="600045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022892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List1!$GX$72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List1!$GY$42:$HJ$42</c:f>
              <c:strCache>
                <c:ptCount val="12"/>
                <c:pt idx="0">
                  <c:v>JAN</c:v>
                </c:pt>
                <c:pt idx="1">
                  <c:v>FEB 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List1!$GY$72:$HJ$72</c:f>
              <c:numCache>
                <c:formatCode>#,##0.00</c:formatCode>
                <c:ptCount val="12"/>
                <c:pt idx="0">
                  <c:v>0.107142857142857</c:v>
                </c:pt>
                <c:pt idx="1">
                  <c:v>0.0357142857142857</c:v>
                </c:pt>
                <c:pt idx="2">
                  <c:v>0.107142857142857</c:v>
                </c:pt>
                <c:pt idx="3">
                  <c:v>0.571428571428571</c:v>
                </c:pt>
                <c:pt idx="4">
                  <c:v>3.21428571428571</c:v>
                </c:pt>
                <c:pt idx="5">
                  <c:v>4.25</c:v>
                </c:pt>
                <c:pt idx="6">
                  <c:v>4.67857142857143</c:v>
                </c:pt>
                <c:pt idx="7">
                  <c:v>3.53571428571429</c:v>
                </c:pt>
                <c:pt idx="8">
                  <c:v>0.925925925925926</c:v>
                </c:pt>
                <c:pt idx="9">
                  <c:v>0.148148148148148</c:v>
                </c:pt>
                <c:pt idx="10">
                  <c:v>0.037037037037037</c:v>
                </c:pt>
                <c:pt idx="11">
                  <c:v>0.0740740740740741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583061"/>
        <c:axId val="88104570"/>
      </c:lineChart>
      <c:catAx>
        <c:axId val="515830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104570"/>
        <c:crosses val="autoZero"/>
        <c:auto val="1"/>
        <c:lblAlgn val="ctr"/>
        <c:lblOffset val="100"/>
        <c:noMultiLvlLbl val="0"/>
      </c:catAx>
      <c:valAx>
        <c:axId val="881045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58306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3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Number of thunderstorm days throughout the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26375046546777"/>
          <c:y val="0.0849724302526541"/>
          <c:w val="0.870172825444111"/>
          <c:h val="0.869352316681755"/>
        </c:manualLayout>
      </c:layout>
      <c:lineChart>
        <c:grouping val="standard"/>
        <c:varyColors val="0"/>
        <c:ser>
          <c:idx val="0"/>
          <c:order val="0"/>
          <c:tx>
            <c:strRef>
              <c:f>List1!$B$4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0000"/>
            </a:solidFill>
            <a:ln w="288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List1!$B$5:$B$370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0.037037037037037</c:v>
                </c:pt>
                <c:pt idx="3">
                  <c:v>0.0740740740740741</c:v>
                </c:pt>
                <c:pt idx="4">
                  <c:v>0.111111111111111</c:v>
                </c:pt>
                <c:pt idx="5">
                  <c:v>0.111111111111111</c:v>
                </c:pt>
                <c:pt idx="6">
                  <c:v>0.111111111111111</c:v>
                </c:pt>
                <c:pt idx="7">
                  <c:v>0.111111111111111</c:v>
                </c:pt>
                <c:pt idx="8">
                  <c:v>0.111111111111111</c:v>
                </c:pt>
                <c:pt idx="9">
                  <c:v>0.111111111111111</c:v>
                </c:pt>
                <c:pt idx="10">
                  <c:v>0.111111111111111</c:v>
                </c:pt>
                <c:pt idx="11">
                  <c:v>0.148148148148148</c:v>
                </c:pt>
                <c:pt idx="12">
                  <c:v>0.148148148148148</c:v>
                </c:pt>
                <c:pt idx="13">
                  <c:v>0.185185185185185</c:v>
                </c:pt>
                <c:pt idx="14">
                  <c:v>0.185185185185185</c:v>
                </c:pt>
                <c:pt idx="15">
                  <c:v>0.222222222222222</c:v>
                </c:pt>
                <c:pt idx="16">
                  <c:v>0.222222222222222</c:v>
                </c:pt>
                <c:pt idx="17">
                  <c:v>0.259259259259259</c:v>
                </c:pt>
                <c:pt idx="18">
                  <c:v>0.259259259259259</c:v>
                </c:pt>
                <c:pt idx="19">
                  <c:v>0.259259259259259</c:v>
                </c:pt>
                <c:pt idx="20">
                  <c:v>0.259259259259259</c:v>
                </c:pt>
                <c:pt idx="21">
                  <c:v>0.259259259259259</c:v>
                </c:pt>
                <c:pt idx="22">
                  <c:v>0.259259259259259</c:v>
                </c:pt>
                <c:pt idx="23">
                  <c:v>0.259259259259259</c:v>
                </c:pt>
                <c:pt idx="24">
                  <c:v>0.259259259259259</c:v>
                </c:pt>
                <c:pt idx="25">
                  <c:v>0.259259259259259</c:v>
                </c:pt>
                <c:pt idx="26">
                  <c:v>0.259259259259259</c:v>
                </c:pt>
                <c:pt idx="27">
                  <c:v>0.259259259259259</c:v>
                </c:pt>
                <c:pt idx="28">
                  <c:v>0.259259259259259</c:v>
                </c:pt>
                <c:pt idx="29">
                  <c:v>0.259259259259259</c:v>
                </c:pt>
                <c:pt idx="30">
                  <c:v>0.259259259259259</c:v>
                </c:pt>
                <c:pt idx="31">
                  <c:v>0.296296296296296</c:v>
                </c:pt>
                <c:pt idx="32">
                  <c:v>0.296296296296296</c:v>
                </c:pt>
                <c:pt idx="33">
                  <c:v>0.296296296296296</c:v>
                </c:pt>
                <c:pt idx="34">
                  <c:v>0.333333333333333</c:v>
                </c:pt>
                <c:pt idx="35">
                  <c:v>0.333333333333333</c:v>
                </c:pt>
                <c:pt idx="36">
                  <c:v>0.333333333333333</c:v>
                </c:pt>
                <c:pt idx="37">
                  <c:v>0.333333333333333</c:v>
                </c:pt>
                <c:pt idx="38">
                  <c:v>0.333333333333333</c:v>
                </c:pt>
                <c:pt idx="39">
                  <c:v>0.333333333333333</c:v>
                </c:pt>
                <c:pt idx="40">
                  <c:v>0.37037037037037</c:v>
                </c:pt>
                <c:pt idx="41">
                  <c:v>0.407407407407407</c:v>
                </c:pt>
                <c:pt idx="42">
                  <c:v>0.407407407407407</c:v>
                </c:pt>
                <c:pt idx="43">
                  <c:v>0.407407407407407</c:v>
                </c:pt>
                <c:pt idx="44">
                  <c:v>0.407407407407407</c:v>
                </c:pt>
                <c:pt idx="45">
                  <c:v>0.407407407407407</c:v>
                </c:pt>
                <c:pt idx="46">
                  <c:v>0.407407407407407</c:v>
                </c:pt>
                <c:pt idx="47">
                  <c:v>0.407407407407407</c:v>
                </c:pt>
                <c:pt idx="48">
                  <c:v>0.407407407407407</c:v>
                </c:pt>
                <c:pt idx="49">
                  <c:v>0.407407407407407</c:v>
                </c:pt>
                <c:pt idx="50">
                  <c:v>0.407407407407407</c:v>
                </c:pt>
                <c:pt idx="51">
                  <c:v>0.407407407407407</c:v>
                </c:pt>
                <c:pt idx="52">
                  <c:v>0.407407407407407</c:v>
                </c:pt>
                <c:pt idx="53">
                  <c:v>0.444444444444444</c:v>
                </c:pt>
                <c:pt idx="54">
                  <c:v>0.444444444444444</c:v>
                </c:pt>
                <c:pt idx="55">
                  <c:v>0.444444444444444</c:v>
                </c:pt>
                <c:pt idx="56">
                  <c:v>0.444444444444444</c:v>
                </c:pt>
                <c:pt idx="57">
                  <c:v>0.481481481481481</c:v>
                </c:pt>
                <c:pt idx="58">
                  <c:v>0.518518518518519</c:v>
                </c:pt>
                <c:pt idx="59">
                  <c:v>0.518518518518519</c:v>
                </c:pt>
                <c:pt idx="60">
                  <c:v>0.555555555555556</c:v>
                </c:pt>
                <c:pt idx="61">
                  <c:v>0.555555555555556</c:v>
                </c:pt>
                <c:pt idx="62">
                  <c:v>0.555555555555556</c:v>
                </c:pt>
                <c:pt idx="63">
                  <c:v>0.555555555555556</c:v>
                </c:pt>
                <c:pt idx="64">
                  <c:v>0.592592592592593</c:v>
                </c:pt>
                <c:pt idx="65">
                  <c:v>0.592592592592593</c:v>
                </c:pt>
                <c:pt idx="66">
                  <c:v>0.592592592592593</c:v>
                </c:pt>
                <c:pt idx="67">
                  <c:v>0.592592592592593</c:v>
                </c:pt>
                <c:pt idx="68">
                  <c:v>0.592592592592593</c:v>
                </c:pt>
                <c:pt idx="69">
                  <c:v>0.666666666666667</c:v>
                </c:pt>
                <c:pt idx="70">
                  <c:v>0.666666666666667</c:v>
                </c:pt>
                <c:pt idx="71">
                  <c:v>0.666666666666667</c:v>
                </c:pt>
                <c:pt idx="72">
                  <c:v>0.666666666666667</c:v>
                </c:pt>
                <c:pt idx="73">
                  <c:v>0.703703703703704</c:v>
                </c:pt>
                <c:pt idx="74">
                  <c:v>0.740740740740741</c:v>
                </c:pt>
                <c:pt idx="75">
                  <c:v>0.740740740740741</c:v>
                </c:pt>
                <c:pt idx="76">
                  <c:v>0.740740740740741</c:v>
                </c:pt>
                <c:pt idx="77">
                  <c:v>0.740740740740741</c:v>
                </c:pt>
                <c:pt idx="78">
                  <c:v>0.740740740740741</c:v>
                </c:pt>
                <c:pt idx="79">
                  <c:v>0.740740740740741</c:v>
                </c:pt>
                <c:pt idx="80">
                  <c:v>0.740740740740741</c:v>
                </c:pt>
                <c:pt idx="81">
                  <c:v>0.740740740740741</c:v>
                </c:pt>
                <c:pt idx="82">
                  <c:v>0.777777777777778</c:v>
                </c:pt>
                <c:pt idx="83">
                  <c:v>0.777777777777778</c:v>
                </c:pt>
                <c:pt idx="84">
                  <c:v>0.777777777777778</c:v>
                </c:pt>
                <c:pt idx="85">
                  <c:v>0.814814814814815</c:v>
                </c:pt>
                <c:pt idx="86">
                  <c:v>0.814814814814815</c:v>
                </c:pt>
                <c:pt idx="87">
                  <c:v>0.814814814814815</c:v>
                </c:pt>
                <c:pt idx="88">
                  <c:v>0.814814814814815</c:v>
                </c:pt>
                <c:pt idx="89">
                  <c:v>0.851851851851852</c:v>
                </c:pt>
                <c:pt idx="90">
                  <c:v>0.888888888888889</c:v>
                </c:pt>
                <c:pt idx="91">
                  <c:v>0.888888888888889</c:v>
                </c:pt>
                <c:pt idx="92">
                  <c:v>0.888888888888889</c:v>
                </c:pt>
                <c:pt idx="93">
                  <c:v>0.962962962962963</c:v>
                </c:pt>
                <c:pt idx="94">
                  <c:v>1.03703703703704</c:v>
                </c:pt>
                <c:pt idx="95">
                  <c:v>1.11111111111111</c:v>
                </c:pt>
                <c:pt idx="96">
                  <c:v>1.14814814814815</c:v>
                </c:pt>
                <c:pt idx="97">
                  <c:v>1.14814814814815</c:v>
                </c:pt>
                <c:pt idx="98">
                  <c:v>1.18518518518519</c:v>
                </c:pt>
                <c:pt idx="99">
                  <c:v>1.22222222222222</c:v>
                </c:pt>
                <c:pt idx="100">
                  <c:v>1.22222222222222</c:v>
                </c:pt>
                <c:pt idx="101">
                  <c:v>1.25925925925926</c:v>
                </c:pt>
                <c:pt idx="102">
                  <c:v>1.2962962962963</c:v>
                </c:pt>
                <c:pt idx="103">
                  <c:v>1.2962962962963</c:v>
                </c:pt>
                <c:pt idx="104">
                  <c:v>1.37037037037037</c:v>
                </c:pt>
                <c:pt idx="105">
                  <c:v>1.40740740740741</c:v>
                </c:pt>
                <c:pt idx="106">
                  <c:v>1.40740740740741</c:v>
                </c:pt>
                <c:pt idx="107">
                  <c:v>1.44444444444444</c:v>
                </c:pt>
                <c:pt idx="108">
                  <c:v>1.51851851851852</c:v>
                </c:pt>
                <c:pt idx="109">
                  <c:v>1.59259259259259</c:v>
                </c:pt>
                <c:pt idx="110">
                  <c:v>1.59259259259259</c:v>
                </c:pt>
                <c:pt idx="111">
                  <c:v>1.59259259259259</c:v>
                </c:pt>
                <c:pt idx="112">
                  <c:v>1.66666666666667</c:v>
                </c:pt>
                <c:pt idx="113">
                  <c:v>1.74074074074074</c:v>
                </c:pt>
                <c:pt idx="114">
                  <c:v>1.81481481481481</c:v>
                </c:pt>
                <c:pt idx="115">
                  <c:v>1.85185185185185</c:v>
                </c:pt>
                <c:pt idx="116">
                  <c:v>2</c:v>
                </c:pt>
                <c:pt idx="117">
                  <c:v>2.14814814814815</c:v>
                </c:pt>
                <c:pt idx="118">
                  <c:v>2.22222222222222</c:v>
                </c:pt>
                <c:pt idx="119">
                  <c:v>2.25925925925926</c:v>
                </c:pt>
                <c:pt idx="120">
                  <c:v>2.37037037037037</c:v>
                </c:pt>
                <c:pt idx="121">
                  <c:v>2.48148148148148</c:v>
                </c:pt>
                <c:pt idx="122">
                  <c:v>2.7037037037037</c:v>
                </c:pt>
                <c:pt idx="123">
                  <c:v>2.81481481481482</c:v>
                </c:pt>
                <c:pt idx="124">
                  <c:v>2.85185185185185</c:v>
                </c:pt>
                <c:pt idx="125">
                  <c:v>3</c:v>
                </c:pt>
                <c:pt idx="126">
                  <c:v>3.14814814814815</c:v>
                </c:pt>
                <c:pt idx="127">
                  <c:v>3.18518518518519</c:v>
                </c:pt>
                <c:pt idx="128">
                  <c:v>3.33333333333333</c:v>
                </c:pt>
                <c:pt idx="129">
                  <c:v>3.59259259259259</c:v>
                </c:pt>
                <c:pt idx="130">
                  <c:v>3.7037037037037</c:v>
                </c:pt>
                <c:pt idx="131">
                  <c:v>3.88888888888889</c:v>
                </c:pt>
                <c:pt idx="132">
                  <c:v>4.07407407407407</c:v>
                </c:pt>
                <c:pt idx="133">
                  <c:v>4.18518518518519</c:v>
                </c:pt>
                <c:pt idx="134">
                  <c:v>4.33333333333333</c:v>
                </c:pt>
                <c:pt idx="135">
                  <c:v>4.48148148148148</c:v>
                </c:pt>
                <c:pt idx="136">
                  <c:v>4.66666666666667</c:v>
                </c:pt>
                <c:pt idx="137">
                  <c:v>4.81481481481482</c:v>
                </c:pt>
                <c:pt idx="138">
                  <c:v>4.92592592592593</c:v>
                </c:pt>
                <c:pt idx="139">
                  <c:v>5.11111111111111</c:v>
                </c:pt>
                <c:pt idx="140">
                  <c:v>5.33333333333333</c:v>
                </c:pt>
                <c:pt idx="141">
                  <c:v>5.51851851851852</c:v>
                </c:pt>
                <c:pt idx="142">
                  <c:v>5.62962962962963</c:v>
                </c:pt>
                <c:pt idx="143">
                  <c:v>5.92592592592593</c:v>
                </c:pt>
                <c:pt idx="144">
                  <c:v>6.07407407407407</c:v>
                </c:pt>
                <c:pt idx="145">
                  <c:v>6.2962962962963</c:v>
                </c:pt>
                <c:pt idx="146">
                  <c:v>6.48148148148148</c:v>
                </c:pt>
                <c:pt idx="147">
                  <c:v>6.59259259259259</c:v>
                </c:pt>
                <c:pt idx="148">
                  <c:v>6.77777777777778</c:v>
                </c:pt>
                <c:pt idx="149">
                  <c:v>6.92592592592593</c:v>
                </c:pt>
                <c:pt idx="150">
                  <c:v>7.11111111111111</c:v>
                </c:pt>
                <c:pt idx="151">
                  <c:v>7.37037037037037</c:v>
                </c:pt>
                <c:pt idx="152">
                  <c:v>7.62962962962963</c:v>
                </c:pt>
                <c:pt idx="153">
                  <c:v>7.74074074074074</c:v>
                </c:pt>
                <c:pt idx="154">
                  <c:v>7.81481481481482</c:v>
                </c:pt>
                <c:pt idx="155">
                  <c:v>7.96296296296296</c:v>
                </c:pt>
                <c:pt idx="156">
                  <c:v>8.14814814814815</c:v>
                </c:pt>
                <c:pt idx="157">
                  <c:v>8.40740740740741</c:v>
                </c:pt>
                <c:pt idx="158">
                  <c:v>8.66666666666667</c:v>
                </c:pt>
                <c:pt idx="159">
                  <c:v>8.88888888888889</c:v>
                </c:pt>
                <c:pt idx="160">
                  <c:v>9.22222222222222</c:v>
                </c:pt>
                <c:pt idx="161">
                  <c:v>9.44444444444445</c:v>
                </c:pt>
                <c:pt idx="162">
                  <c:v>9.62962962962963</c:v>
                </c:pt>
                <c:pt idx="163">
                  <c:v>9.85185185185185</c:v>
                </c:pt>
                <c:pt idx="164">
                  <c:v>10.0740740740741</c:v>
                </c:pt>
                <c:pt idx="165">
                  <c:v>10.3333333333333</c:v>
                </c:pt>
                <c:pt idx="166">
                  <c:v>10.5925925925926</c:v>
                </c:pt>
                <c:pt idx="167">
                  <c:v>10.8518518518519</c:v>
                </c:pt>
                <c:pt idx="168">
                  <c:v>11</c:v>
                </c:pt>
                <c:pt idx="169">
                  <c:v>11.1481481481481</c:v>
                </c:pt>
                <c:pt idx="170">
                  <c:v>11.1851851851852</c:v>
                </c:pt>
                <c:pt idx="171">
                  <c:v>11.3703703703704</c:v>
                </c:pt>
                <c:pt idx="172">
                  <c:v>11.7037037037037</c:v>
                </c:pt>
                <c:pt idx="173">
                  <c:v>11.962962962963</c:v>
                </c:pt>
                <c:pt idx="174">
                  <c:v>12.2222222222222</c:v>
                </c:pt>
                <c:pt idx="175">
                  <c:v>12.3703703703704</c:v>
                </c:pt>
                <c:pt idx="176">
                  <c:v>12.5555555555556</c:v>
                </c:pt>
                <c:pt idx="177">
                  <c:v>12.6296296296296</c:v>
                </c:pt>
                <c:pt idx="178">
                  <c:v>12.8518518518519</c:v>
                </c:pt>
                <c:pt idx="179">
                  <c:v>13.037037037037</c:v>
                </c:pt>
                <c:pt idx="180">
                  <c:v>13.0740740740741</c:v>
                </c:pt>
                <c:pt idx="181">
                  <c:v>13.4814814814815</c:v>
                </c:pt>
                <c:pt idx="182">
                  <c:v>13.8518518518519</c:v>
                </c:pt>
                <c:pt idx="183">
                  <c:v>14.1111111111111</c:v>
                </c:pt>
                <c:pt idx="184">
                  <c:v>14.2962962962963</c:v>
                </c:pt>
                <c:pt idx="185">
                  <c:v>14.4444444444444</c:v>
                </c:pt>
                <c:pt idx="186">
                  <c:v>14.7777777777778</c:v>
                </c:pt>
                <c:pt idx="187">
                  <c:v>15.1111111111111</c:v>
                </c:pt>
                <c:pt idx="188">
                  <c:v>15.3703703703704</c:v>
                </c:pt>
                <c:pt idx="189">
                  <c:v>15.6296296296296</c:v>
                </c:pt>
                <c:pt idx="190">
                  <c:v>15.7407407407407</c:v>
                </c:pt>
                <c:pt idx="191">
                  <c:v>15.962962962963</c:v>
                </c:pt>
                <c:pt idx="192">
                  <c:v>16.3333333333333</c:v>
                </c:pt>
                <c:pt idx="193">
                  <c:v>16.5185185185185</c:v>
                </c:pt>
                <c:pt idx="194">
                  <c:v>16.7407407407407</c:v>
                </c:pt>
                <c:pt idx="195">
                  <c:v>16.962962962963</c:v>
                </c:pt>
                <c:pt idx="196">
                  <c:v>17.2222222222222</c:v>
                </c:pt>
                <c:pt idx="197">
                  <c:v>17.3703703703704</c:v>
                </c:pt>
                <c:pt idx="198">
                  <c:v>17.5925925925926</c:v>
                </c:pt>
                <c:pt idx="199">
                  <c:v>17.6666666666667</c:v>
                </c:pt>
                <c:pt idx="200">
                  <c:v>17.8148148148148</c:v>
                </c:pt>
                <c:pt idx="201">
                  <c:v>18</c:v>
                </c:pt>
                <c:pt idx="202">
                  <c:v>18.2962962962963</c:v>
                </c:pt>
                <c:pt idx="203">
                  <c:v>18.5555555555556</c:v>
                </c:pt>
                <c:pt idx="204">
                  <c:v>18.8148148148148</c:v>
                </c:pt>
                <c:pt idx="205">
                  <c:v>18.962962962963</c:v>
                </c:pt>
                <c:pt idx="206">
                  <c:v>19.1851851851852</c:v>
                </c:pt>
                <c:pt idx="207">
                  <c:v>19.4074074074074</c:v>
                </c:pt>
                <c:pt idx="208">
                  <c:v>19.6296296296296</c:v>
                </c:pt>
                <c:pt idx="209">
                  <c:v>19.9259259259259</c:v>
                </c:pt>
                <c:pt idx="210">
                  <c:v>20.2962962962963</c:v>
                </c:pt>
                <c:pt idx="211">
                  <c:v>20.4814814814815</c:v>
                </c:pt>
                <c:pt idx="212">
                  <c:v>20.6296296296296</c:v>
                </c:pt>
                <c:pt idx="213">
                  <c:v>20.8888888888889</c:v>
                </c:pt>
                <c:pt idx="214">
                  <c:v>21.1851851851852</c:v>
                </c:pt>
                <c:pt idx="215">
                  <c:v>21.4074074074074</c:v>
                </c:pt>
                <c:pt idx="216">
                  <c:v>21.6296296296296</c:v>
                </c:pt>
                <c:pt idx="217">
                  <c:v>21.8148148148148</c:v>
                </c:pt>
                <c:pt idx="218">
                  <c:v>21.9259259259259</c:v>
                </c:pt>
                <c:pt idx="219">
                  <c:v>22.0740740740741</c:v>
                </c:pt>
                <c:pt idx="220">
                  <c:v>22.3333333333333</c:v>
                </c:pt>
                <c:pt idx="221">
                  <c:v>22.4444444444444</c:v>
                </c:pt>
                <c:pt idx="222">
                  <c:v>22.7407407407407</c:v>
                </c:pt>
                <c:pt idx="223">
                  <c:v>22.8888888888889</c:v>
                </c:pt>
                <c:pt idx="224">
                  <c:v>22.962962962963</c:v>
                </c:pt>
                <c:pt idx="225">
                  <c:v>23.1111111111111</c:v>
                </c:pt>
                <c:pt idx="226">
                  <c:v>23.3333333333333</c:v>
                </c:pt>
                <c:pt idx="227">
                  <c:v>23.4814814814815</c:v>
                </c:pt>
                <c:pt idx="228">
                  <c:v>23.6296296296296</c:v>
                </c:pt>
                <c:pt idx="229">
                  <c:v>23.9259259259259</c:v>
                </c:pt>
                <c:pt idx="230">
                  <c:v>24.1851851851852</c:v>
                </c:pt>
                <c:pt idx="231">
                  <c:v>24.3703703703704</c:v>
                </c:pt>
                <c:pt idx="232">
                  <c:v>24.5555555555556</c:v>
                </c:pt>
                <c:pt idx="233">
                  <c:v>24.7777777777778</c:v>
                </c:pt>
                <c:pt idx="234">
                  <c:v>24.962962962963</c:v>
                </c:pt>
                <c:pt idx="235">
                  <c:v>25.0740740740741</c:v>
                </c:pt>
                <c:pt idx="236">
                  <c:v>25.1481481481482</c:v>
                </c:pt>
                <c:pt idx="237">
                  <c:v>25.2962962962963</c:v>
                </c:pt>
                <c:pt idx="238">
                  <c:v>25.5185185185185</c:v>
                </c:pt>
                <c:pt idx="239">
                  <c:v>25.6296296296296</c:v>
                </c:pt>
                <c:pt idx="240">
                  <c:v>25.6666666666667</c:v>
                </c:pt>
                <c:pt idx="241">
                  <c:v>25.7777777777778</c:v>
                </c:pt>
                <c:pt idx="242">
                  <c:v>25.9259259259259</c:v>
                </c:pt>
                <c:pt idx="243">
                  <c:v>26</c:v>
                </c:pt>
                <c:pt idx="244">
                  <c:v>26.1111111111111</c:v>
                </c:pt>
                <c:pt idx="245">
                  <c:v>26.1481481481482</c:v>
                </c:pt>
                <c:pt idx="246">
                  <c:v>26.1851851851852</c:v>
                </c:pt>
                <c:pt idx="247">
                  <c:v>26.2222222222222</c:v>
                </c:pt>
                <c:pt idx="248">
                  <c:v>26.3333333333333</c:v>
                </c:pt>
                <c:pt idx="249">
                  <c:v>26.4444444444444</c:v>
                </c:pt>
                <c:pt idx="250">
                  <c:v>26.5185185185185</c:v>
                </c:pt>
                <c:pt idx="251">
                  <c:v>26.5925925925926</c:v>
                </c:pt>
                <c:pt idx="252">
                  <c:v>26.6666666666667</c:v>
                </c:pt>
                <c:pt idx="253">
                  <c:v>26.8148148148148</c:v>
                </c:pt>
                <c:pt idx="254">
                  <c:v>26.9259259259259</c:v>
                </c:pt>
                <c:pt idx="255">
                  <c:v>26.9259259259259</c:v>
                </c:pt>
                <c:pt idx="256">
                  <c:v>26.9259259259259</c:v>
                </c:pt>
                <c:pt idx="257">
                  <c:v>26.962962962963</c:v>
                </c:pt>
                <c:pt idx="258">
                  <c:v>26.962962962963</c:v>
                </c:pt>
                <c:pt idx="259">
                  <c:v>26.962962962963</c:v>
                </c:pt>
                <c:pt idx="260">
                  <c:v>27.0740740740741</c:v>
                </c:pt>
                <c:pt idx="261">
                  <c:v>27.1481481481482</c:v>
                </c:pt>
                <c:pt idx="262">
                  <c:v>27.2222222222222</c:v>
                </c:pt>
                <c:pt idx="263">
                  <c:v>27.2592592592593</c:v>
                </c:pt>
                <c:pt idx="264">
                  <c:v>27.3333333333333</c:v>
                </c:pt>
                <c:pt idx="265">
                  <c:v>27.3703703703704</c:v>
                </c:pt>
                <c:pt idx="266">
                  <c:v>27.4814814814815</c:v>
                </c:pt>
                <c:pt idx="267">
                  <c:v>27.4814814814815</c:v>
                </c:pt>
                <c:pt idx="268">
                  <c:v>27.5185185185185</c:v>
                </c:pt>
                <c:pt idx="269">
                  <c:v>27.5185185185185</c:v>
                </c:pt>
                <c:pt idx="270">
                  <c:v>27.5925925925926</c:v>
                </c:pt>
                <c:pt idx="271">
                  <c:v>27.5925925925926</c:v>
                </c:pt>
                <c:pt idx="272">
                  <c:v>27.5925925925926</c:v>
                </c:pt>
                <c:pt idx="273">
                  <c:v>27.5925925925926</c:v>
                </c:pt>
                <c:pt idx="274">
                  <c:v>27.6666666666667</c:v>
                </c:pt>
                <c:pt idx="275">
                  <c:v>27.6666666666667</c:v>
                </c:pt>
                <c:pt idx="276">
                  <c:v>27.7037037037037</c:v>
                </c:pt>
                <c:pt idx="277">
                  <c:v>27.7037037037037</c:v>
                </c:pt>
                <c:pt idx="278">
                  <c:v>27.7037037037037</c:v>
                </c:pt>
                <c:pt idx="279">
                  <c:v>27.7037037037037</c:v>
                </c:pt>
                <c:pt idx="280">
                  <c:v>27.7037037037037</c:v>
                </c:pt>
                <c:pt idx="281">
                  <c:v>27.7037037037037</c:v>
                </c:pt>
                <c:pt idx="282">
                  <c:v>27.7037037037037</c:v>
                </c:pt>
                <c:pt idx="283">
                  <c:v>27.7037037037037</c:v>
                </c:pt>
                <c:pt idx="284">
                  <c:v>27.7037037037037</c:v>
                </c:pt>
                <c:pt idx="285">
                  <c:v>27.7037037037037</c:v>
                </c:pt>
                <c:pt idx="286">
                  <c:v>27.7037037037037</c:v>
                </c:pt>
                <c:pt idx="287">
                  <c:v>27.7037037037037</c:v>
                </c:pt>
                <c:pt idx="288">
                  <c:v>27.7037037037037</c:v>
                </c:pt>
                <c:pt idx="289">
                  <c:v>27.7037037037037</c:v>
                </c:pt>
                <c:pt idx="290">
                  <c:v>27.7037037037037</c:v>
                </c:pt>
                <c:pt idx="291">
                  <c:v>27.7037037037037</c:v>
                </c:pt>
                <c:pt idx="292">
                  <c:v>27.7037037037037</c:v>
                </c:pt>
                <c:pt idx="293">
                  <c:v>27.7037037037037</c:v>
                </c:pt>
                <c:pt idx="294">
                  <c:v>27.7037037037037</c:v>
                </c:pt>
                <c:pt idx="295">
                  <c:v>27.7037037037037</c:v>
                </c:pt>
                <c:pt idx="296">
                  <c:v>27.7037037037037</c:v>
                </c:pt>
                <c:pt idx="297">
                  <c:v>27.7407407407407</c:v>
                </c:pt>
                <c:pt idx="298">
                  <c:v>27.7407407407407</c:v>
                </c:pt>
                <c:pt idx="299">
                  <c:v>27.7407407407407</c:v>
                </c:pt>
                <c:pt idx="300">
                  <c:v>27.7407407407407</c:v>
                </c:pt>
                <c:pt idx="301">
                  <c:v>27.7407407407407</c:v>
                </c:pt>
                <c:pt idx="302">
                  <c:v>27.8148148148148</c:v>
                </c:pt>
                <c:pt idx="303">
                  <c:v>27.8518518518519</c:v>
                </c:pt>
                <c:pt idx="304">
                  <c:v>27.8518518518519</c:v>
                </c:pt>
                <c:pt idx="305">
                  <c:v>27.8518518518519</c:v>
                </c:pt>
                <c:pt idx="306">
                  <c:v>27.8518518518519</c:v>
                </c:pt>
                <c:pt idx="307">
                  <c:v>27.8518518518519</c:v>
                </c:pt>
                <c:pt idx="308">
                  <c:v>27.8518518518519</c:v>
                </c:pt>
                <c:pt idx="309">
                  <c:v>27.8518518518519</c:v>
                </c:pt>
                <c:pt idx="310">
                  <c:v>27.8518518518519</c:v>
                </c:pt>
                <c:pt idx="311">
                  <c:v>27.8518518518519</c:v>
                </c:pt>
                <c:pt idx="312">
                  <c:v>27.8888888888889</c:v>
                </c:pt>
                <c:pt idx="313">
                  <c:v>27.8888888888889</c:v>
                </c:pt>
                <c:pt idx="314">
                  <c:v>27.8888888888889</c:v>
                </c:pt>
                <c:pt idx="315">
                  <c:v>27.8888888888889</c:v>
                </c:pt>
                <c:pt idx="316">
                  <c:v>27.8888888888889</c:v>
                </c:pt>
                <c:pt idx="317">
                  <c:v>27.8888888888889</c:v>
                </c:pt>
                <c:pt idx="318">
                  <c:v>27.8888888888889</c:v>
                </c:pt>
                <c:pt idx="319">
                  <c:v>27.8888888888889</c:v>
                </c:pt>
                <c:pt idx="320">
                  <c:v>27.8888888888889</c:v>
                </c:pt>
                <c:pt idx="321">
                  <c:v>27.8888888888889</c:v>
                </c:pt>
                <c:pt idx="322">
                  <c:v>27.8888888888889</c:v>
                </c:pt>
                <c:pt idx="323">
                  <c:v>27.8888888888889</c:v>
                </c:pt>
                <c:pt idx="324">
                  <c:v>27.8888888888889</c:v>
                </c:pt>
                <c:pt idx="325">
                  <c:v>27.8888888888889</c:v>
                </c:pt>
                <c:pt idx="326">
                  <c:v>27.8888888888889</c:v>
                </c:pt>
                <c:pt idx="327">
                  <c:v>27.8888888888889</c:v>
                </c:pt>
                <c:pt idx="328">
                  <c:v>27.8888888888889</c:v>
                </c:pt>
                <c:pt idx="329">
                  <c:v>27.8888888888889</c:v>
                </c:pt>
                <c:pt idx="330">
                  <c:v>27.8888888888889</c:v>
                </c:pt>
                <c:pt idx="331">
                  <c:v>27.8888888888889</c:v>
                </c:pt>
                <c:pt idx="332">
                  <c:v>27.8888888888889</c:v>
                </c:pt>
                <c:pt idx="333">
                  <c:v>27.8888888888889</c:v>
                </c:pt>
                <c:pt idx="334">
                  <c:v>27.8888888888889</c:v>
                </c:pt>
                <c:pt idx="335">
                  <c:v>27.8888888888889</c:v>
                </c:pt>
                <c:pt idx="336">
                  <c:v>27.8888888888889</c:v>
                </c:pt>
                <c:pt idx="337">
                  <c:v>27.9259259259259</c:v>
                </c:pt>
                <c:pt idx="338">
                  <c:v>27.9259259259259</c:v>
                </c:pt>
                <c:pt idx="339">
                  <c:v>27.9259259259259</c:v>
                </c:pt>
                <c:pt idx="340">
                  <c:v>27.9259259259259</c:v>
                </c:pt>
                <c:pt idx="341">
                  <c:v>27.9259259259259</c:v>
                </c:pt>
                <c:pt idx="342">
                  <c:v>27.9259259259259</c:v>
                </c:pt>
                <c:pt idx="343">
                  <c:v>27.9259259259259</c:v>
                </c:pt>
                <c:pt idx="344">
                  <c:v>27.9259259259259</c:v>
                </c:pt>
                <c:pt idx="345">
                  <c:v>27.9259259259259</c:v>
                </c:pt>
                <c:pt idx="346">
                  <c:v>27.9259259259259</c:v>
                </c:pt>
                <c:pt idx="347">
                  <c:v>27.9259259259259</c:v>
                </c:pt>
                <c:pt idx="348">
                  <c:v>27.9259259259259</c:v>
                </c:pt>
                <c:pt idx="349">
                  <c:v>27.962962962963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28.037037037037</c:v>
                </c:pt>
                <c:pt idx="356">
                  <c:v>28.0740740740741</c:v>
                </c:pt>
                <c:pt idx="357">
                  <c:v>28.0740740740741</c:v>
                </c:pt>
                <c:pt idx="358">
                  <c:v>28.0740740740741</c:v>
                </c:pt>
                <c:pt idx="359">
                  <c:v>28.0740740740741</c:v>
                </c:pt>
                <c:pt idx="360">
                  <c:v>28.0740740740741</c:v>
                </c:pt>
                <c:pt idx="361">
                  <c:v>28.0740740740741</c:v>
                </c:pt>
                <c:pt idx="362">
                  <c:v>28.0740740740741</c:v>
                </c:pt>
                <c:pt idx="363">
                  <c:v>28.0740740740741</c:v>
                </c:pt>
                <c:pt idx="364">
                  <c:v>28.0740740740741</c:v>
                </c:pt>
                <c:pt idx="365">
                  <c:v>28.0740740740741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List1!$E$4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rgbClr val="fc22ff">
                <a:alpha val="50000"/>
              </a:srgbClr>
            </a:solidFill>
            <a:ln cap="rnd" w="28800">
              <a:solidFill>
                <a:srgbClr val="fc22ff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List1!$E$5:$E$370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12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18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List1!$F$4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000000">
                <a:alpha val="50000"/>
              </a:srgbClr>
            </a:solidFill>
            <a:ln w="28800">
              <a:solidFill>
                <a:srgbClr val="000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List1!$F$5:$F$370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6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14</c:v>
                </c:pt>
                <c:pt idx="163">
                  <c:v>14</c:v>
                </c:pt>
                <c:pt idx="164">
                  <c:v>15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17</c:v>
                </c:pt>
                <c:pt idx="176">
                  <c:v>17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17</c:v>
                </c:pt>
                <c:pt idx="181">
                  <c:v>17</c:v>
                </c:pt>
                <c:pt idx="182">
                  <c:v>18</c:v>
                </c:pt>
                <c:pt idx="183">
                  <c:v>19</c:v>
                </c:pt>
                <c:pt idx="184">
                  <c:v>19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21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24</c:v>
                </c:pt>
                <c:pt idx="231">
                  <c:v>25</c:v>
                </c:pt>
                <c:pt idx="232">
                  <c:v>25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List1!$G$4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000000">
                <a:alpha val="50000"/>
              </a:srgbClr>
            </a:solidFill>
            <a:ln cap="rnd" w="28800">
              <a:solidFill>
                <a:srgbClr val="000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List1!$G$5:$G$370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11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15</c:v>
                </c:pt>
                <c:pt idx="229">
                  <c:v>16</c:v>
                </c:pt>
                <c:pt idx="230">
                  <c:v>16</c:v>
                </c:pt>
                <c:pt idx="231">
                  <c:v>17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19</c:v>
                </c:pt>
                <c:pt idx="236">
                  <c:v>19</c:v>
                </c:pt>
                <c:pt idx="237">
                  <c:v>20</c:v>
                </c:pt>
                <c:pt idx="238">
                  <c:v>21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List1!$H$4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 w="28800">
              <a:solidFill>
                <a:srgbClr val="ffff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List1!$H$5:$H$370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11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15</c:v>
                </c:pt>
                <c:pt idx="195">
                  <c:v>16</c:v>
                </c:pt>
                <c:pt idx="196">
                  <c:v>16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19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21</c:v>
                </c:pt>
                <c:pt idx="221">
                  <c:v>21</c:v>
                </c:pt>
                <c:pt idx="222">
                  <c:v>21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27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List1!$I$4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rgbClr val="ffbf00">
                <a:alpha val="50000"/>
              </a:srgbClr>
            </a:solidFill>
            <a:ln w="28800">
              <a:solidFill>
                <a:srgbClr val="ffbf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List1!$I$5:$I$370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11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15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17</c:v>
                </c:pt>
                <c:pt idx="186">
                  <c:v>17</c:v>
                </c:pt>
                <c:pt idx="187">
                  <c:v>17</c:v>
                </c:pt>
                <c:pt idx="188">
                  <c:v>17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19</c:v>
                </c:pt>
                <c:pt idx="203">
                  <c:v>20</c:v>
                </c:pt>
                <c:pt idx="204">
                  <c:v>21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23</c:v>
                </c:pt>
                <c:pt idx="209">
                  <c:v>24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27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List1!$J$4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rgbClr val="ff8000">
                <a:alpha val="50000"/>
              </a:srgbClr>
            </a:solidFill>
            <a:ln w="28800">
              <a:solidFill>
                <a:srgbClr val="ff8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List1!$J$5:$J$370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5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8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13</c:v>
                </c:pt>
                <c:pt idx="162">
                  <c:v>14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17</c:v>
                </c:pt>
                <c:pt idx="183">
                  <c:v>18</c:v>
                </c:pt>
                <c:pt idx="184">
                  <c:v>19</c:v>
                </c:pt>
                <c:pt idx="185">
                  <c:v>19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23</c:v>
                </c:pt>
                <c:pt idx="202">
                  <c:v>23</c:v>
                </c:pt>
                <c:pt idx="203">
                  <c:v>24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27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30</c:v>
                </c:pt>
                <c:pt idx="233">
                  <c:v>31</c:v>
                </c:pt>
                <c:pt idx="234">
                  <c:v>31</c:v>
                </c:pt>
                <c:pt idx="235">
                  <c:v>31</c:v>
                </c:pt>
                <c:pt idx="236">
                  <c:v>31</c:v>
                </c:pt>
                <c:pt idx="237">
                  <c:v>31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33</c:v>
                </c:pt>
                <c:pt idx="243">
                  <c:v>33</c:v>
                </c:pt>
                <c:pt idx="244">
                  <c:v>33</c:v>
                </c:pt>
                <c:pt idx="245">
                  <c:v>33</c:v>
                </c:pt>
                <c:pt idx="246">
                  <c:v>33</c:v>
                </c:pt>
                <c:pt idx="247">
                  <c:v>33</c:v>
                </c:pt>
                <c:pt idx="248">
                  <c:v>33</c:v>
                </c:pt>
                <c:pt idx="249">
                  <c:v>33</c:v>
                </c:pt>
                <c:pt idx="250">
                  <c:v>33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33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</c:v>
                </c:pt>
                <c:pt idx="284">
                  <c:v>33</c:v>
                </c:pt>
                <c:pt idx="285">
                  <c:v>33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33</c:v>
                </c:pt>
                <c:pt idx="297">
                  <c:v>33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34</c:v>
                </c:pt>
                <c:pt idx="304">
                  <c:v>34</c:v>
                </c:pt>
                <c:pt idx="305">
                  <c:v>34</c:v>
                </c:pt>
                <c:pt idx="306">
                  <c:v>34</c:v>
                </c:pt>
                <c:pt idx="307">
                  <c:v>34</c:v>
                </c:pt>
                <c:pt idx="308">
                  <c:v>34</c:v>
                </c:pt>
                <c:pt idx="309">
                  <c:v>34</c:v>
                </c:pt>
                <c:pt idx="310">
                  <c:v>34</c:v>
                </c:pt>
                <c:pt idx="311">
                  <c:v>34</c:v>
                </c:pt>
                <c:pt idx="312">
                  <c:v>34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34</c:v>
                </c:pt>
                <c:pt idx="321">
                  <c:v>34</c:v>
                </c:pt>
                <c:pt idx="322">
                  <c:v>34</c:v>
                </c:pt>
                <c:pt idx="323">
                  <c:v>34</c:v>
                </c:pt>
                <c:pt idx="324">
                  <c:v>34</c:v>
                </c:pt>
                <c:pt idx="325">
                  <c:v>34</c:v>
                </c:pt>
                <c:pt idx="326">
                  <c:v>34</c:v>
                </c:pt>
                <c:pt idx="327">
                  <c:v>34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34</c:v>
                </c:pt>
                <c:pt idx="332">
                  <c:v>34</c:v>
                </c:pt>
                <c:pt idx="333">
                  <c:v>34</c:v>
                </c:pt>
                <c:pt idx="334">
                  <c:v>34</c:v>
                </c:pt>
                <c:pt idx="335">
                  <c:v>34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</c:v>
                </c:pt>
                <c:pt idx="342">
                  <c:v>34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</c:v>
                </c:pt>
                <c:pt idx="358">
                  <c:v>34</c:v>
                </c:pt>
                <c:pt idx="359">
                  <c:v>34</c:v>
                </c:pt>
                <c:pt idx="360">
                  <c:v>34</c:v>
                </c:pt>
                <c:pt idx="361">
                  <c:v>34</c:v>
                </c:pt>
                <c:pt idx="362">
                  <c:v>34</c:v>
                </c:pt>
                <c:pt idx="363">
                  <c:v>34</c:v>
                </c:pt>
                <c:pt idx="364">
                  <c:v>34</c:v>
                </c:pt>
                <c:pt idx="365">
                  <c:v>34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List1!$K$4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rgbClr val="ff4000">
                <a:alpha val="50000"/>
              </a:srgbClr>
            </a:solidFill>
            <a:ln w="28800">
              <a:solidFill>
                <a:srgbClr val="ff4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List1!$K$5:$K$370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5</c:v>
                </c:pt>
                <c:pt idx="142">
                  <c:v>5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9</c:v>
                </c:pt>
                <c:pt idx="156">
                  <c:v>9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17</c:v>
                </c:pt>
                <c:pt idx="196">
                  <c:v>18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21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23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25</c:v>
                </c:pt>
                <c:pt idx="233">
                  <c:v>25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List1!$L$4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 w="28800">
              <a:solidFill>
                <a:srgbClr val="ff0000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List1!$L$5:$L$370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6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9</c:v>
                </c:pt>
                <c:pt idx="168">
                  <c:v>10</c:v>
                </c:pt>
                <c:pt idx="169">
                  <c:v>10</c:v>
                </c:pt>
                <c:pt idx="170">
                  <c:v>11</c:v>
                </c:pt>
                <c:pt idx="171">
                  <c:v>12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15</c:v>
                </c:pt>
                <c:pt idx="188">
                  <c:v>15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17</c:v>
                </c:pt>
                <c:pt idx="193">
                  <c:v>18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20</c:v>
                </c:pt>
                <c:pt idx="203">
                  <c:v>20</c:v>
                </c:pt>
                <c:pt idx="204">
                  <c:v>21</c:v>
                </c:pt>
                <c:pt idx="205">
                  <c:v>21</c:v>
                </c:pt>
                <c:pt idx="206">
                  <c:v>21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24</c:v>
                </c:pt>
                <c:pt idx="211">
                  <c:v>24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28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31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31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List1!$M$4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bf0041">
                <a:alpha val="50000"/>
              </a:srgbClr>
            </a:solidFill>
            <a:ln w="28800">
              <a:solidFill>
                <a:srgbClr val="bf0041">
                  <a:alpha val="5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List1!$M$5:$M$370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6</c:v>
                </c:pt>
                <c:pt idx="146">
                  <c:v>7</c:v>
                </c:pt>
                <c:pt idx="147">
                  <c:v>8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10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13</c:v>
                </c:pt>
                <c:pt idx="164">
                  <c:v>13</c:v>
                </c:pt>
                <c:pt idx="165">
                  <c:v>14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17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19</c:v>
                </c:pt>
                <c:pt idx="191">
                  <c:v>19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21</c:v>
                </c:pt>
                <c:pt idx="201">
                  <c:v>22</c:v>
                </c:pt>
                <c:pt idx="202">
                  <c:v>22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24</c:v>
                </c:pt>
                <c:pt idx="220">
                  <c:v>25</c:v>
                </c:pt>
                <c:pt idx="221">
                  <c:v>26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28</c:v>
                </c:pt>
                <c:pt idx="232">
                  <c:v>28</c:v>
                </c:pt>
                <c:pt idx="233">
                  <c:v>29</c:v>
                </c:pt>
                <c:pt idx="234">
                  <c:v>30</c:v>
                </c:pt>
                <c:pt idx="235">
                  <c:v>31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32</c:v>
                </c:pt>
                <c:pt idx="304">
                  <c:v>32</c:v>
                </c:pt>
                <c:pt idx="305">
                  <c:v>32</c:v>
                </c:pt>
                <c:pt idx="306">
                  <c:v>32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32</c:v>
                </c:pt>
                <c:pt idx="311">
                  <c:v>32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List1!$N$4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800080">
                <a:alpha val="60000"/>
              </a:srgbClr>
            </a:solidFill>
            <a:ln w="28800">
              <a:solidFill>
                <a:srgbClr val="800080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List1!$N$5:$N$370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6</c:v>
                </c:pt>
                <c:pt idx="134">
                  <c:v>7</c:v>
                </c:pt>
                <c:pt idx="135">
                  <c:v>8</c:v>
                </c:pt>
                <c:pt idx="136">
                  <c:v>9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17</c:v>
                </c:pt>
                <c:pt idx="174">
                  <c:v>17</c:v>
                </c:pt>
                <c:pt idx="175">
                  <c:v>17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21</c:v>
                </c:pt>
                <c:pt idx="208">
                  <c:v>21</c:v>
                </c:pt>
                <c:pt idx="209">
                  <c:v>21</c:v>
                </c:pt>
                <c:pt idx="210">
                  <c:v>21</c:v>
                </c:pt>
                <c:pt idx="211">
                  <c:v>21</c:v>
                </c:pt>
                <c:pt idx="212">
                  <c:v>21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23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26</c:v>
                </c:pt>
                <c:pt idx="277">
                  <c:v>26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List1!$O$4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55308d">
                <a:alpha val="60000"/>
              </a:srgbClr>
            </a:solidFill>
            <a:ln w="28800">
              <a:solidFill>
                <a:srgbClr val="55308d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List1!$O$5:$O$370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6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12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16</c:v>
                </c:pt>
                <c:pt idx="182">
                  <c:v>17</c:v>
                </c:pt>
                <c:pt idx="183">
                  <c:v>18</c:v>
                </c:pt>
                <c:pt idx="184">
                  <c:v>19</c:v>
                </c:pt>
                <c:pt idx="185">
                  <c:v>20</c:v>
                </c:pt>
                <c:pt idx="186">
                  <c:v>20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22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28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List1!$P$4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2a6099">
                <a:alpha val="60000"/>
              </a:srgbClr>
            </a:solidFill>
            <a:ln w="28800">
              <a:solidFill>
                <a:srgbClr val="2a6099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List1!$P$5:$P$370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7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12</c:v>
                </c:pt>
                <c:pt idx="197">
                  <c:v>12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14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18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List1!$Q$4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158466">
                <a:alpha val="60000"/>
              </a:srgbClr>
            </a:solidFill>
            <a:ln w="28800">
              <a:solidFill>
                <a:srgbClr val="158466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List1!$Q$5:$Q$370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2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5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11</c:v>
                </c:pt>
                <c:pt idx="157">
                  <c:v>12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16</c:v>
                </c:pt>
                <c:pt idx="174">
                  <c:v>17</c:v>
                </c:pt>
                <c:pt idx="175">
                  <c:v>17</c:v>
                </c:pt>
                <c:pt idx="176">
                  <c:v>17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17</c:v>
                </c:pt>
                <c:pt idx="181">
                  <c:v>17</c:v>
                </c:pt>
                <c:pt idx="182">
                  <c:v>17</c:v>
                </c:pt>
                <c:pt idx="183">
                  <c:v>17</c:v>
                </c:pt>
                <c:pt idx="184">
                  <c:v>17</c:v>
                </c:pt>
                <c:pt idx="185">
                  <c:v>17</c:v>
                </c:pt>
                <c:pt idx="186">
                  <c:v>17</c:v>
                </c:pt>
                <c:pt idx="187">
                  <c:v>18</c:v>
                </c:pt>
                <c:pt idx="188">
                  <c:v>19</c:v>
                </c:pt>
                <c:pt idx="189">
                  <c:v>20</c:v>
                </c:pt>
                <c:pt idx="190">
                  <c:v>20</c:v>
                </c:pt>
                <c:pt idx="191">
                  <c:v>21</c:v>
                </c:pt>
                <c:pt idx="192">
                  <c:v>22</c:v>
                </c:pt>
                <c:pt idx="193">
                  <c:v>22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28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31</c:v>
                </c:pt>
                <c:pt idx="264">
                  <c:v>31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32</c:v>
                </c:pt>
                <c:pt idx="304">
                  <c:v>32</c:v>
                </c:pt>
                <c:pt idx="305">
                  <c:v>32</c:v>
                </c:pt>
                <c:pt idx="306">
                  <c:v>32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32</c:v>
                </c:pt>
                <c:pt idx="311">
                  <c:v>32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32</c:v>
                </c:pt>
                <c:pt idx="354">
                  <c:v>32</c:v>
                </c:pt>
                <c:pt idx="355">
                  <c:v>32</c:v>
                </c:pt>
                <c:pt idx="356">
                  <c:v>32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List1!$R$4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00a933">
                <a:alpha val="60000"/>
              </a:srgbClr>
            </a:solidFill>
            <a:ln w="28800">
              <a:solidFill>
                <a:srgbClr val="00a933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List1!$R$5:$R$370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6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10</c:v>
                </c:pt>
                <c:pt idx="168">
                  <c:v>11</c:v>
                </c:pt>
                <c:pt idx="169">
                  <c:v>12</c:v>
                </c:pt>
                <c:pt idx="170">
                  <c:v>12</c:v>
                </c:pt>
                <c:pt idx="171">
                  <c:v>13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15</c:v>
                </c:pt>
                <c:pt idx="182">
                  <c:v>16</c:v>
                </c:pt>
                <c:pt idx="183">
                  <c:v>17</c:v>
                </c:pt>
                <c:pt idx="184">
                  <c:v>18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21</c:v>
                </c:pt>
                <c:pt idx="192">
                  <c:v>21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26</c:v>
                </c:pt>
                <c:pt idx="215">
                  <c:v>27</c:v>
                </c:pt>
                <c:pt idx="216">
                  <c:v>27</c:v>
                </c:pt>
                <c:pt idx="217">
                  <c:v>28</c:v>
                </c:pt>
                <c:pt idx="218">
                  <c:v>28</c:v>
                </c:pt>
                <c:pt idx="219">
                  <c:v>28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29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32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33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</c:v>
                </c:pt>
                <c:pt idx="284">
                  <c:v>33</c:v>
                </c:pt>
                <c:pt idx="285">
                  <c:v>33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33</c:v>
                </c:pt>
                <c:pt idx="297">
                  <c:v>33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List1!$S$4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81d41a">
                <a:alpha val="60000"/>
              </a:srgbClr>
            </a:solidFill>
            <a:ln w="28800">
              <a:solidFill>
                <a:srgbClr val="81d41a">
                  <a:alpha val="60000"/>
                </a:srgbClr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ot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List1!$S$5:$S$370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11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14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16</c:v>
                </c:pt>
                <c:pt idx="216">
                  <c:v>17</c:v>
                </c:pt>
                <c:pt idx="217">
                  <c:v>17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List1!$T$4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 cap="rnd" w="28800">
              <a:solidFill>
                <a:srgbClr val="ffff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List1!$T$5:$T$370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5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7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15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17</c:v>
                </c:pt>
                <c:pt idx="187">
                  <c:v>17</c:v>
                </c:pt>
                <c:pt idx="188">
                  <c:v>18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24</c:v>
                </c:pt>
                <c:pt idx="207">
                  <c:v>25</c:v>
                </c:pt>
                <c:pt idx="208">
                  <c:v>26</c:v>
                </c:pt>
                <c:pt idx="209">
                  <c:v>27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30</c:v>
                </c:pt>
                <c:pt idx="215">
                  <c:v>31</c:v>
                </c:pt>
                <c:pt idx="216">
                  <c:v>32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</c:v>
                </c:pt>
                <c:pt idx="240">
                  <c:v>33</c:v>
                </c:pt>
                <c:pt idx="241">
                  <c:v>33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35</c:v>
                </c:pt>
                <c:pt idx="250">
                  <c:v>36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38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List1!$U$4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fbf00">
                <a:alpha val="50000"/>
              </a:srgbClr>
            </a:solidFill>
            <a:ln cap="rnd" w="28800">
              <a:solidFill>
                <a:srgbClr val="ffbf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List1!$U$5:$U$370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8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10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14</c:v>
                </c:pt>
                <c:pt idx="187">
                  <c:v>15</c:v>
                </c:pt>
                <c:pt idx="188">
                  <c:v>16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18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21</c:v>
                </c:pt>
                <c:pt idx="207">
                  <c:v>21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23</c:v>
                </c:pt>
                <c:pt idx="227">
                  <c:v>24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List1!$V$4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f8000">
                <a:alpha val="50000"/>
              </a:srgbClr>
            </a:solidFill>
            <a:ln cap="rnd" w="28800">
              <a:solidFill>
                <a:srgbClr val="ff8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List1!$V$5:$V$370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5</c:v>
                </c:pt>
                <c:pt idx="151">
                  <c:v>6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9</c:v>
                </c:pt>
                <c:pt idx="157">
                  <c:v>10</c:v>
                </c:pt>
                <c:pt idx="158">
                  <c:v>10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12</c:v>
                </c:pt>
                <c:pt idx="164">
                  <c:v>13</c:v>
                </c:pt>
                <c:pt idx="165">
                  <c:v>13</c:v>
                </c:pt>
                <c:pt idx="166">
                  <c:v>14</c:v>
                </c:pt>
                <c:pt idx="167">
                  <c:v>15</c:v>
                </c:pt>
                <c:pt idx="168">
                  <c:v>15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17</c:v>
                </c:pt>
                <c:pt idx="177">
                  <c:v>17</c:v>
                </c:pt>
                <c:pt idx="178">
                  <c:v>17</c:v>
                </c:pt>
                <c:pt idx="179">
                  <c:v>18</c:v>
                </c:pt>
                <c:pt idx="180">
                  <c:v>18</c:v>
                </c:pt>
                <c:pt idx="181">
                  <c:v>19</c:v>
                </c:pt>
                <c:pt idx="182">
                  <c:v>19</c:v>
                </c:pt>
                <c:pt idx="183">
                  <c:v>20</c:v>
                </c:pt>
                <c:pt idx="184">
                  <c:v>21</c:v>
                </c:pt>
                <c:pt idx="185">
                  <c:v>21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29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33</c:v>
                </c:pt>
                <c:pt idx="248">
                  <c:v>33</c:v>
                </c:pt>
                <c:pt idx="249">
                  <c:v>33</c:v>
                </c:pt>
                <c:pt idx="250">
                  <c:v>33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33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</c:v>
                </c:pt>
                <c:pt idx="284">
                  <c:v>33</c:v>
                </c:pt>
                <c:pt idx="285">
                  <c:v>33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33</c:v>
                </c:pt>
                <c:pt idx="296">
                  <c:v>33</c:v>
                </c:pt>
                <c:pt idx="297">
                  <c:v>33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List1!$W$4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4000">
                <a:alpha val="50000"/>
              </a:srgbClr>
            </a:solidFill>
            <a:ln cap="rnd" w="28800">
              <a:solidFill>
                <a:srgbClr val="ff4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List1!$W$5:$W$370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8</c:v>
                </c:pt>
                <c:pt idx="159">
                  <c:v>8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11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13</c:v>
                </c:pt>
                <c:pt idx="180">
                  <c:v>13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15</c:v>
                </c:pt>
                <c:pt idx="187">
                  <c:v>16</c:v>
                </c:pt>
                <c:pt idx="188">
                  <c:v>17</c:v>
                </c:pt>
                <c:pt idx="189">
                  <c:v>17</c:v>
                </c:pt>
                <c:pt idx="190">
                  <c:v>18</c:v>
                </c:pt>
                <c:pt idx="191">
                  <c:v>18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21</c:v>
                </c:pt>
                <c:pt idx="202">
                  <c:v>21</c:v>
                </c:pt>
                <c:pt idx="203">
                  <c:v>22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26</c:v>
                </c:pt>
                <c:pt idx="221">
                  <c:v>27</c:v>
                </c:pt>
                <c:pt idx="222">
                  <c:v>28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List1!$X$4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 cap="rnd" w="28800">
              <a:solidFill>
                <a:srgbClr val="ff000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List1!$X$5:$X$370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12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18</c:v>
                </c:pt>
                <c:pt idx="215">
                  <c:v>19</c:v>
                </c:pt>
                <c:pt idx="216">
                  <c:v>20</c:v>
                </c:pt>
                <c:pt idx="217">
                  <c:v>21</c:v>
                </c:pt>
                <c:pt idx="218">
                  <c:v>21</c:v>
                </c:pt>
                <c:pt idx="219">
                  <c:v>21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25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27</c:v>
                </c:pt>
                <c:pt idx="263">
                  <c:v>27</c:v>
                </c:pt>
                <c:pt idx="264">
                  <c:v>28</c:v>
                </c:pt>
                <c:pt idx="265">
                  <c:v>28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List1!$Y$4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bf0041">
                <a:alpha val="50000"/>
              </a:srgbClr>
            </a:solidFill>
            <a:ln cap="rnd" w="28800">
              <a:solidFill>
                <a:srgbClr val="bf0041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List1!$Y$5:$Y$370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6</c:v>
                </c:pt>
                <c:pt idx="162">
                  <c:v>7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12</c:v>
                </c:pt>
                <c:pt idx="209">
                  <c:v>12</c:v>
                </c:pt>
                <c:pt idx="210">
                  <c:v>13</c:v>
                </c:pt>
                <c:pt idx="211">
                  <c:v>14</c:v>
                </c:pt>
                <c:pt idx="212">
                  <c:v>15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18</c:v>
                </c:pt>
                <c:pt idx="217">
                  <c:v>18</c:v>
                </c:pt>
                <c:pt idx="218">
                  <c:v>19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21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23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List1!$Z$4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800080">
                <a:alpha val="50000"/>
              </a:srgbClr>
            </a:solidFill>
            <a:ln cap="rnd" w="28800">
              <a:solidFill>
                <a:srgbClr val="800080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List1!$Z$5:$Z$370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6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9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15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18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List1!$AA$4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55308d">
                <a:alpha val="50000"/>
              </a:srgbClr>
            </a:solidFill>
            <a:ln cap="rnd" w="28800">
              <a:solidFill>
                <a:srgbClr val="55308d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List1!$AA$5:$AA$370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3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8</c:v>
                </c:pt>
                <c:pt idx="173">
                  <c:v>9</c:v>
                </c:pt>
                <c:pt idx="174">
                  <c:v>10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14</c:v>
                </c:pt>
                <c:pt idx="190">
                  <c:v>15</c:v>
                </c:pt>
                <c:pt idx="191">
                  <c:v>15</c:v>
                </c:pt>
                <c:pt idx="192">
                  <c:v>16</c:v>
                </c:pt>
                <c:pt idx="193">
                  <c:v>16</c:v>
                </c:pt>
                <c:pt idx="194">
                  <c:v>17</c:v>
                </c:pt>
                <c:pt idx="195">
                  <c:v>17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19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21</c:v>
                </c:pt>
                <c:pt idx="216">
                  <c:v>21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List1!$AB$4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a6099">
                <a:alpha val="50000"/>
              </a:srgbClr>
            </a:solidFill>
            <a:ln cap="rnd" w="28800">
              <a:solidFill>
                <a:srgbClr val="2a6099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List1!$AB$5:$AB$370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7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19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21</c:v>
                </c:pt>
                <c:pt idx="250">
                  <c:v>22</c:v>
                </c:pt>
                <c:pt idx="251">
                  <c:v>22</c:v>
                </c:pt>
                <c:pt idx="252">
                  <c:v>23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List1!$AC$4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158466">
                <a:alpha val="50000"/>
              </a:srgbClr>
            </a:solidFill>
            <a:ln cap="rnd" w="28800">
              <a:solidFill>
                <a:srgbClr val="158466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List1!$AC$5:$AC$370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5</c:v>
                </c:pt>
                <c:pt idx="160">
                  <c:v>6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8</c:v>
                </c:pt>
                <c:pt idx="167">
                  <c:v>8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10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12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15</c:v>
                </c:pt>
                <c:pt idx="192">
                  <c:v>15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17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19</c:v>
                </c:pt>
                <c:pt idx="211">
                  <c:v>20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23</c:v>
                </c:pt>
                <c:pt idx="230">
                  <c:v>24</c:v>
                </c:pt>
                <c:pt idx="231">
                  <c:v>24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28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List1!$AD$4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a933">
                <a:alpha val="50000"/>
              </a:srgbClr>
            </a:solidFill>
            <a:ln cap="rnd" w="28800">
              <a:solidFill>
                <a:srgbClr val="00a933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List1!$AD$5:$AD$370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5</c:v>
                </c:pt>
                <c:pt idx="147">
                  <c:v>6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11</c:v>
                </c:pt>
                <c:pt idx="178">
                  <c:v>12</c:v>
                </c:pt>
                <c:pt idx="179">
                  <c:v>13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17</c:v>
                </c:pt>
                <c:pt idx="192">
                  <c:v>18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24</c:v>
                </c:pt>
                <c:pt idx="227">
                  <c:v>25</c:v>
                </c:pt>
                <c:pt idx="228">
                  <c:v>25</c:v>
                </c:pt>
                <c:pt idx="229">
                  <c:v>26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List1!$AE$4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81d41a">
                <a:alpha val="50000"/>
              </a:srgbClr>
            </a:solidFill>
            <a:ln cap="rnd" w="28800">
              <a:solidFill>
                <a:srgbClr val="81d41a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List1!$AE$5:$AE$370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9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15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List1!$AF$4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579d1c">
                <a:alpha val="50000"/>
              </a:srgbClr>
            </a:solidFill>
            <a:ln w="28800">
              <a:solidFill>
                <a:srgbClr val="579d1c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List1!$A$5:$A$370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List1!$AF$5:$AF$370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6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10</c:v>
                </c:pt>
                <c:pt idx="180">
                  <c:v>11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19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079910"/>
        <c:axId val="48684015"/>
      </c:lineChart>
      <c:catAx>
        <c:axId val="110799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48684015"/>
        <c:crosses val="autoZero"/>
        <c:auto val="1"/>
        <c:lblAlgn val="ctr"/>
        <c:lblOffset val="100"/>
        <c:noMultiLvlLbl val="0"/>
      </c:catAx>
      <c:valAx>
        <c:axId val="4868401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11079910"/>
        <c:crossesAt val="1"/>
        <c:crossBetween val="between"/>
      </c:valAx>
      <c:spPr>
        <a:noFill/>
        <a:ln w="936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List1!$BI$9</c:f>
              <c:strCache>
                <c:ptCount val="1"/>
                <c:pt idx="0">
                  <c:v>MCS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List1!$BH$10:$BH$37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List1!$BI$10:$BI$37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List1!$BJ$9</c:f>
              <c:strCache>
                <c:ptCount val="1"/>
                <c:pt idx="0">
                  <c:v>STR TS or SC</c:v>
                </c:pt>
              </c:strCache>
            </c:strRef>
          </c:tx>
          <c:spPr>
            <a:solidFill>
              <a:srgbClr val="ff8000"/>
            </a:solidFill>
            <a:ln w="28800">
              <a:solidFill>
                <a:srgbClr val="ff8000"/>
              </a:solidFill>
              <a:round/>
            </a:ln>
          </c:spPr>
          <c:marker>
            <c:symbol val="diamond"/>
            <c:size val="8"/>
            <c:spPr>
              <a:solidFill>
                <a:srgbClr val="ff8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List1!$BH$10:$BH$37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List1!$BJ$10:$BJ$37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9</c:v>
                </c:pt>
                <c:pt idx="26">
                  <c:v>2</c:v>
                </c:pt>
                <c:pt idx="27">
                  <c:v>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List1!$BK$9</c:f>
              <c:strCache>
                <c:ptCount val="1"/>
                <c:pt idx="0">
                  <c:v>WF induced</c:v>
                </c:pt>
              </c:strCache>
            </c:strRef>
          </c:tx>
          <c:spPr>
            <a:solidFill>
              <a:srgbClr val="2a6099"/>
            </a:solidFill>
            <a:ln w="28800">
              <a:solidFill>
                <a:srgbClr val="2a6099"/>
              </a:solidFill>
              <a:round/>
            </a:ln>
          </c:spPr>
          <c:marker>
            <c:symbol val="triangle"/>
            <c:size val="8"/>
            <c:spPr>
              <a:solidFill>
                <a:srgbClr val="2a6099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List1!$BH$10:$BH$37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List1!$BK$10:$BK$37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List1!$BL$9</c:f>
              <c:strCache>
                <c:ptCount val="1"/>
                <c:pt idx="0">
                  <c:v>Far storms</c:v>
                </c:pt>
              </c:strCache>
            </c:strRef>
          </c:tx>
          <c:spPr>
            <a:solidFill>
              <a:srgbClr val="ffd428"/>
            </a:solidFill>
            <a:ln w="28800">
              <a:solidFill>
                <a:srgbClr val="ffd428"/>
              </a:solidFill>
              <a:round/>
            </a:ln>
          </c:spPr>
          <c:marker>
            <c:symbol val="triangle"/>
            <c:size val="8"/>
            <c:spPr>
              <a:solidFill>
                <a:srgbClr val="ffd428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List1!$BH$10:$BH$37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List1!$BL$10:$BL$37</c:f>
              <c:numCache>
                <c:formatCode>General</c:formatCode>
                <c:ptCount val="28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15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8</c:v>
                </c:pt>
                <c:pt idx="10">
                  <c:v>11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11</c:v>
                </c:pt>
                <c:pt idx="16">
                  <c:v>9</c:v>
                </c:pt>
                <c:pt idx="17">
                  <c:v>14</c:v>
                </c:pt>
                <c:pt idx="18">
                  <c:v>11</c:v>
                </c:pt>
                <c:pt idx="19">
                  <c:v>12</c:v>
                </c:pt>
                <c:pt idx="20">
                  <c:v>10</c:v>
                </c:pt>
                <c:pt idx="21">
                  <c:v>10</c:v>
                </c:pt>
                <c:pt idx="22">
                  <c:v>9</c:v>
                </c:pt>
                <c:pt idx="23">
                  <c:v>10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514280"/>
        <c:axId val="29564669"/>
      </c:lineChart>
      <c:catAx>
        <c:axId val="31514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9564669"/>
        <c:crosses val="autoZero"/>
        <c:auto val="1"/>
        <c:lblAlgn val="ctr"/>
        <c:lblOffset val="100"/>
        <c:noMultiLvlLbl val="0"/>
      </c:catAx>
      <c:valAx>
        <c:axId val="295646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151428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List1!$BZ$9</c:f>
              <c:strCache>
                <c:ptCount val="1"/>
                <c:pt idx="0">
                  <c:v>Poměr Total X Direct: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List1!$CB$10:$CB$37</c:f>
              <c:strCache>
                <c:ptCount val="28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List1!$CD$10:$CD$37</c:f>
              <c:numCache>
                <c:formatCode>0.00</c:formatCode>
                <c:ptCount val="28"/>
                <c:pt idx="0">
                  <c:v>1.81818181818182</c:v>
                </c:pt>
                <c:pt idx="1">
                  <c:v>2.15384615384615</c:v>
                </c:pt>
                <c:pt idx="2">
                  <c:v>1.57142857142857</c:v>
                </c:pt>
                <c:pt idx="3">
                  <c:v>1.42857142857143</c:v>
                </c:pt>
                <c:pt idx="4">
                  <c:v>1.57894736842105</c:v>
                </c:pt>
                <c:pt idx="5">
                  <c:v>1.78947368421053</c:v>
                </c:pt>
                <c:pt idx="6">
                  <c:v>1.4</c:v>
                </c:pt>
                <c:pt idx="7">
                  <c:v>1.40909090909091</c:v>
                </c:pt>
                <c:pt idx="8">
                  <c:v>1.57142857142857</c:v>
                </c:pt>
                <c:pt idx="9">
                  <c:v>1.44444444444444</c:v>
                </c:pt>
                <c:pt idx="10">
                  <c:v>1.61111111111111</c:v>
                </c:pt>
                <c:pt idx="11">
                  <c:v>1.66666666666667</c:v>
                </c:pt>
                <c:pt idx="12">
                  <c:v>1.33333333333333</c:v>
                </c:pt>
                <c:pt idx="13">
                  <c:v>1.32</c:v>
                </c:pt>
                <c:pt idx="14">
                  <c:v>1.66666666666667</c:v>
                </c:pt>
                <c:pt idx="15">
                  <c:v>1.37931034482759</c:v>
                </c:pt>
                <c:pt idx="16">
                  <c:v>1.47368421052632</c:v>
                </c:pt>
                <c:pt idx="17">
                  <c:v>1.73684210526316</c:v>
                </c:pt>
                <c:pt idx="18">
                  <c:v>1.5</c:v>
                </c:pt>
                <c:pt idx="19">
                  <c:v>1.70588235294118</c:v>
                </c:pt>
                <c:pt idx="20">
                  <c:v>1.66666666666667</c:v>
                </c:pt>
                <c:pt idx="21">
                  <c:v>1.83333333333333</c:v>
                </c:pt>
                <c:pt idx="22">
                  <c:v>1.47368421052632</c:v>
                </c:pt>
                <c:pt idx="23">
                  <c:v>1.625</c:v>
                </c:pt>
                <c:pt idx="24">
                  <c:v>1.8125</c:v>
                </c:pt>
                <c:pt idx="25">
                  <c:v>1.57894736842105</c:v>
                </c:pt>
                <c:pt idx="26">
                  <c:v>1.72727272727273</c:v>
                </c:pt>
                <c:pt idx="27">
                  <c:v>1.83333333333333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315152"/>
        <c:axId val="54699952"/>
      </c:lineChart>
      <c:catAx>
        <c:axId val="38315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4699952"/>
        <c:crosses val="autoZero"/>
        <c:auto val="1"/>
        <c:lblAlgn val="ctr"/>
        <c:lblOffset val="100"/>
        <c:noMultiLvlLbl val="0"/>
      </c:catAx>
      <c:valAx>
        <c:axId val="546999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831515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12914118828146"/>
          <c:y val="0.0349144993907819"/>
          <c:w val="0.855457698275075"/>
          <c:h val="0.865635897651359"/>
        </c:manualLayout>
      </c:layout>
      <c:lineChart>
        <c:grouping val="standard"/>
        <c:varyColors val="0"/>
        <c:ser>
          <c:idx val="0"/>
          <c:order val="0"/>
          <c:tx>
            <c:strRef>
              <c:f>List1!$B$375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0000"/>
            </a:solidFill>
            <a:ln w="360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List1!$A$376:$A$741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List1!$B$376:$B$741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0.037037037037037</c:v>
                </c:pt>
                <c:pt idx="3">
                  <c:v>0.037037037037037</c:v>
                </c:pt>
                <c:pt idx="4">
                  <c:v>0.037037037037037</c:v>
                </c:pt>
                <c:pt idx="5">
                  <c:v>0.037037037037037</c:v>
                </c:pt>
                <c:pt idx="6">
                  <c:v>0.037037037037037</c:v>
                </c:pt>
                <c:pt idx="7">
                  <c:v>0.037037037037037</c:v>
                </c:pt>
                <c:pt idx="8">
                  <c:v>0.037037037037037</c:v>
                </c:pt>
                <c:pt idx="9">
                  <c:v>0.037037037037037</c:v>
                </c:pt>
                <c:pt idx="10">
                  <c:v>0.037037037037037</c:v>
                </c:pt>
                <c:pt idx="11">
                  <c:v>0.0740740740740741</c:v>
                </c:pt>
                <c:pt idx="12">
                  <c:v>0.0740740740740741</c:v>
                </c:pt>
                <c:pt idx="13">
                  <c:v>0.0740740740740741</c:v>
                </c:pt>
                <c:pt idx="14">
                  <c:v>0.0740740740740741</c:v>
                </c:pt>
                <c:pt idx="15">
                  <c:v>0.0740740740740741</c:v>
                </c:pt>
                <c:pt idx="16">
                  <c:v>0.0740740740740741</c:v>
                </c:pt>
                <c:pt idx="17">
                  <c:v>0.111111111111111</c:v>
                </c:pt>
                <c:pt idx="18">
                  <c:v>0.111111111111111</c:v>
                </c:pt>
                <c:pt idx="19">
                  <c:v>0.111111111111111</c:v>
                </c:pt>
                <c:pt idx="20">
                  <c:v>0.111111111111111</c:v>
                </c:pt>
                <c:pt idx="21">
                  <c:v>0.111111111111111</c:v>
                </c:pt>
                <c:pt idx="22">
                  <c:v>0.111111111111111</c:v>
                </c:pt>
                <c:pt idx="23">
                  <c:v>0.111111111111111</c:v>
                </c:pt>
                <c:pt idx="24">
                  <c:v>0.111111111111111</c:v>
                </c:pt>
                <c:pt idx="25">
                  <c:v>0.111111111111111</c:v>
                </c:pt>
                <c:pt idx="26">
                  <c:v>0.111111111111111</c:v>
                </c:pt>
                <c:pt idx="27">
                  <c:v>0.111111111111111</c:v>
                </c:pt>
                <c:pt idx="28">
                  <c:v>0.111111111111111</c:v>
                </c:pt>
                <c:pt idx="29">
                  <c:v>0.111111111111111</c:v>
                </c:pt>
                <c:pt idx="30">
                  <c:v>0.111111111111111</c:v>
                </c:pt>
                <c:pt idx="31">
                  <c:v>0.111111111111111</c:v>
                </c:pt>
                <c:pt idx="32">
                  <c:v>0.111111111111111</c:v>
                </c:pt>
                <c:pt idx="33">
                  <c:v>0.111111111111111</c:v>
                </c:pt>
                <c:pt idx="34">
                  <c:v>0.111111111111111</c:v>
                </c:pt>
                <c:pt idx="35">
                  <c:v>0.111111111111111</c:v>
                </c:pt>
                <c:pt idx="36">
                  <c:v>0.111111111111111</c:v>
                </c:pt>
                <c:pt idx="37">
                  <c:v>0.111111111111111</c:v>
                </c:pt>
                <c:pt idx="38">
                  <c:v>0.111111111111111</c:v>
                </c:pt>
                <c:pt idx="39">
                  <c:v>0.111111111111111</c:v>
                </c:pt>
                <c:pt idx="40">
                  <c:v>0.111111111111111</c:v>
                </c:pt>
                <c:pt idx="41">
                  <c:v>0.111111111111111</c:v>
                </c:pt>
                <c:pt idx="42">
                  <c:v>0.111111111111111</c:v>
                </c:pt>
                <c:pt idx="43">
                  <c:v>0.111111111111111</c:v>
                </c:pt>
                <c:pt idx="44">
                  <c:v>0.111111111111111</c:v>
                </c:pt>
                <c:pt idx="45">
                  <c:v>0.111111111111111</c:v>
                </c:pt>
                <c:pt idx="46">
                  <c:v>0.111111111111111</c:v>
                </c:pt>
                <c:pt idx="47">
                  <c:v>0.111111111111111</c:v>
                </c:pt>
                <c:pt idx="48">
                  <c:v>0.111111111111111</c:v>
                </c:pt>
                <c:pt idx="49">
                  <c:v>0.111111111111111</c:v>
                </c:pt>
                <c:pt idx="50">
                  <c:v>0.111111111111111</c:v>
                </c:pt>
                <c:pt idx="51">
                  <c:v>0.111111111111111</c:v>
                </c:pt>
                <c:pt idx="52">
                  <c:v>0.111111111111111</c:v>
                </c:pt>
                <c:pt idx="53">
                  <c:v>0.148148148148148</c:v>
                </c:pt>
                <c:pt idx="54">
                  <c:v>0.148148148148148</c:v>
                </c:pt>
                <c:pt idx="55">
                  <c:v>0.148148148148148</c:v>
                </c:pt>
                <c:pt idx="56">
                  <c:v>0.148148148148148</c:v>
                </c:pt>
                <c:pt idx="57">
                  <c:v>0.148148148148148</c:v>
                </c:pt>
                <c:pt idx="58">
                  <c:v>0.185185185185185</c:v>
                </c:pt>
                <c:pt idx="59">
                  <c:v>0.185185185185185</c:v>
                </c:pt>
                <c:pt idx="60">
                  <c:v>0.222222222222222</c:v>
                </c:pt>
                <c:pt idx="61">
                  <c:v>0.222222222222222</c:v>
                </c:pt>
                <c:pt idx="62">
                  <c:v>0.222222222222222</c:v>
                </c:pt>
                <c:pt idx="63">
                  <c:v>0.222222222222222</c:v>
                </c:pt>
                <c:pt idx="64">
                  <c:v>0.222222222222222</c:v>
                </c:pt>
                <c:pt idx="65">
                  <c:v>0.222222222222222</c:v>
                </c:pt>
                <c:pt idx="66">
                  <c:v>0.222222222222222</c:v>
                </c:pt>
                <c:pt idx="67">
                  <c:v>0.222222222222222</c:v>
                </c:pt>
                <c:pt idx="68">
                  <c:v>0.222222222222222</c:v>
                </c:pt>
                <c:pt idx="69">
                  <c:v>0.259259259259259</c:v>
                </c:pt>
                <c:pt idx="70">
                  <c:v>0.259259259259259</c:v>
                </c:pt>
                <c:pt idx="71">
                  <c:v>0.259259259259259</c:v>
                </c:pt>
                <c:pt idx="72">
                  <c:v>0.259259259259259</c:v>
                </c:pt>
                <c:pt idx="73">
                  <c:v>0.259259259259259</c:v>
                </c:pt>
                <c:pt idx="74">
                  <c:v>0.259259259259259</c:v>
                </c:pt>
                <c:pt idx="75">
                  <c:v>0.259259259259259</c:v>
                </c:pt>
                <c:pt idx="76">
                  <c:v>0.259259259259259</c:v>
                </c:pt>
                <c:pt idx="77">
                  <c:v>0.259259259259259</c:v>
                </c:pt>
                <c:pt idx="78">
                  <c:v>0.259259259259259</c:v>
                </c:pt>
                <c:pt idx="79">
                  <c:v>0.259259259259259</c:v>
                </c:pt>
                <c:pt idx="80">
                  <c:v>0.259259259259259</c:v>
                </c:pt>
                <c:pt idx="81">
                  <c:v>0.259259259259259</c:v>
                </c:pt>
                <c:pt idx="82">
                  <c:v>0.296296296296296</c:v>
                </c:pt>
                <c:pt idx="83">
                  <c:v>0.296296296296296</c:v>
                </c:pt>
                <c:pt idx="84">
                  <c:v>0.296296296296296</c:v>
                </c:pt>
                <c:pt idx="85">
                  <c:v>0.333333333333333</c:v>
                </c:pt>
                <c:pt idx="86">
                  <c:v>0.333333333333333</c:v>
                </c:pt>
                <c:pt idx="87">
                  <c:v>0.333333333333333</c:v>
                </c:pt>
                <c:pt idx="88">
                  <c:v>0.333333333333333</c:v>
                </c:pt>
                <c:pt idx="89">
                  <c:v>0.333333333333333</c:v>
                </c:pt>
                <c:pt idx="90">
                  <c:v>0.37037037037037</c:v>
                </c:pt>
                <c:pt idx="91">
                  <c:v>0.37037037037037</c:v>
                </c:pt>
                <c:pt idx="92">
                  <c:v>0.37037037037037</c:v>
                </c:pt>
                <c:pt idx="93">
                  <c:v>0.407407407407407</c:v>
                </c:pt>
                <c:pt idx="94">
                  <c:v>0.444444444444444</c:v>
                </c:pt>
                <c:pt idx="95">
                  <c:v>0.481481481481481</c:v>
                </c:pt>
                <c:pt idx="96">
                  <c:v>0.481481481481481</c:v>
                </c:pt>
                <c:pt idx="97">
                  <c:v>0.481481481481481</c:v>
                </c:pt>
                <c:pt idx="98">
                  <c:v>0.481481481481481</c:v>
                </c:pt>
                <c:pt idx="99">
                  <c:v>0.481481481481481</c:v>
                </c:pt>
                <c:pt idx="100">
                  <c:v>0.481481481481481</c:v>
                </c:pt>
                <c:pt idx="101">
                  <c:v>0.518518518518519</c:v>
                </c:pt>
                <c:pt idx="102">
                  <c:v>0.518518518518519</c:v>
                </c:pt>
                <c:pt idx="103">
                  <c:v>0.518518518518519</c:v>
                </c:pt>
                <c:pt idx="104">
                  <c:v>0.555555555555556</c:v>
                </c:pt>
                <c:pt idx="105">
                  <c:v>0.555555555555556</c:v>
                </c:pt>
                <c:pt idx="106">
                  <c:v>0.555555555555556</c:v>
                </c:pt>
                <c:pt idx="107">
                  <c:v>0.555555555555556</c:v>
                </c:pt>
                <c:pt idx="108">
                  <c:v>0.555555555555556</c:v>
                </c:pt>
                <c:pt idx="109">
                  <c:v>0.555555555555556</c:v>
                </c:pt>
                <c:pt idx="110">
                  <c:v>0.555555555555556</c:v>
                </c:pt>
                <c:pt idx="111">
                  <c:v>0.555555555555556</c:v>
                </c:pt>
                <c:pt idx="112">
                  <c:v>0.592592592592593</c:v>
                </c:pt>
                <c:pt idx="113">
                  <c:v>0.666666666666667</c:v>
                </c:pt>
                <c:pt idx="114">
                  <c:v>0.666666666666667</c:v>
                </c:pt>
                <c:pt idx="115">
                  <c:v>0.703703703703704</c:v>
                </c:pt>
                <c:pt idx="116">
                  <c:v>0.814814814814815</c:v>
                </c:pt>
                <c:pt idx="117">
                  <c:v>0.925925925925926</c:v>
                </c:pt>
                <c:pt idx="118">
                  <c:v>0.925925925925926</c:v>
                </c:pt>
                <c:pt idx="119">
                  <c:v>0.925925925925926</c:v>
                </c:pt>
                <c:pt idx="120">
                  <c:v>0.962962962962963</c:v>
                </c:pt>
                <c:pt idx="121">
                  <c:v>1.03703703703704</c:v>
                </c:pt>
                <c:pt idx="122">
                  <c:v>1.22222222222222</c:v>
                </c:pt>
                <c:pt idx="123">
                  <c:v>1.33333333333333</c:v>
                </c:pt>
                <c:pt idx="124">
                  <c:v>1.37037037037037</c:v>
                </c:pt>
                <c:pt idx="125">
                  <c:v>1.48148148148148</c:v>
                </c:pt>
                <c:pt idx="126">
                  <c:v>1.48148148148148</c:v>
                </c:pt>
                <c:pt idx="127">
                  <c:v>1.51851851851852</c:v>
                </c:pt>
                <c:pt idx="128">
                  <c:v>1.62962962962963</c:v>
                </c:pt>
                <c:pt idx="129">
                  <c:v>1.77777777777778</c:v>
                </c:pt>
                <c:pt idx="130">
                  <c:v>1.81481481481481</c:v>
                </c:pt>
                <c:pt idx="131">
                  <c:v>1.96296296296296</c:v>
                </c:pt>
                <c:pt idx="132">
                  <c:v>2.11111111111111</c:v>
                </c:pt>
                <c:pt idx="133">
                  <c:v>2.22222222222222</c:v>
                </c:pt>
                <c:pt idx="134">
                  <c:v>2.2962962962963</c:v>
                </c:pt>
                <c:pt idx="135">
                  <c:v>2.37037037037037</c:v>
                </c:pt>
                <c:pt idx="136">
                  <c:v>2.55555555555556</c:v>
                </c:pt>
                <c:pt idx="137">
                  <c:v>2.62962962962963</c:v>
                </c:pt>
                <c:pt idx="138">
                  <c:v>2.62962962962963</c:v>
                </c:pt>
                <c:pt idx="139">
                  <c:v>2.74074074074074</c:v>
                </c:pt>
                <c:pt idx="140">
                  <c:v>2.85185185185185</c:v>
                </c:pt>
                <c:pt idx="141">
                  <c:v>2.96296296296296</c:v>
                </c:pt>
                <c:pt idx="142">
                  <c:v>3.07407407407407</c:v>
                </c:pt>
                <c:pt idx="143">
                  <c:v>3.33333333333333</c:v>
                </c:pt>
                <c:pt idx="144">
                  <c:v>3.44444444444444</c:v>
                </c:pt>
                <c:pt idx="145">
                  <c:v>3.51851851851852</c:v>
                </c:pt>
                <c:pt idx="146">
                  <c:v>3.66666666666667</c:v>
                </c:pt>
                <c:pt idx="147">
                  <c:v>3.7037037037037</c:v>
                </c:pt>
                <c:pt idx="148">
                  <c:v>3.77777777777778</c:v>
                </c:pt>
                <c:pt idx="149">
                  <c:v>3.85185185185185</c:v>
                </c:pt>
                <c:pt idx="150">
                  <c:v>4.03703703703704</c:v>
                </c:pt>
                <c:pt idx="151">
                  <c:v>4.22222222222222</c:v>
                </c:pt>
                <c:pt idx="152">
                  <c:v>4.37037037037037</c:v>
                </c:pt>
                <c:pt idx="153">
                  <c:v>4.48148148148148</c:v>
                </c:pt>
                <c:pt idx="154">
                  <c:v>4.51851851851852</c:v>
                </c:pt>
                <c:pt idx="155">
                  <c:v>4.62962962962963</c:v>
                </c:pt>
                <c:pt idx="156">
                  <c:v>4.81481481481482</c:v>
                </c:pt>
                <c:pt idx="157">
                  <c:v>4.92592592592593</c:v>
                </c:pt>
                <c:pt idx="158">
                  <c:v>5.07407407407407</c:v>
                </c:pt>
                <c:pt idx="159">
                  <c:v>5.2962962962963</c:v>
                </c:pt>
                <c:pt idx="160">
                  <c:v>5.48148148148148</c:v>
                </c:pt>
                <c:pt idx="161">
                  <c:v>5.59259259259259</c:v>
                </c:pt>
                <c:pt idx="162">
                  <c:v>5.7037037037037</c:v>
                </c:pt>
                <c:pt idx="163">
                  <c:v>5.81481481481482</c:v>
                </c:pt>
                <c:pt idx="164">
                  <c:v>6</c:v>
                </c:pt>
                <c:pt idx="165">
                  <c:v>6.11111111111111</c:v>
                </c:pt>
                <c:pt idx="166">
                  <c:v>6.22222222222222</c:v>
                </c:pt>
                <c:pt idx="167">
                  <c:v>6.40740740740741</c:v>
                </c:pt>
                <c:pt idx="168">
                  <c:v>6.51851851851852</c:v>
                </c:pt>
                <c:pt idx="169">
                  <c:v>6.51851851851852</c:v>
                </c:pt>
                <c:pt idx="170">
                  <c:v>6.55555555555556</c:v>
                </c:pt>
                <c:pt idx="171">
                  <c:v>6.74074074074074</c:v>
                </c:pt>
                <c:pt idx="172">
                  <c:v>7.03703703703704</c:v>
                </c:pt>
                <c:pt idx="173">
                  <c:v>7.25925925925926</c:v>
                </c:pt>
                <c:pt idx="174">
                  <c:v>7.48148148148148</c:v>
                </c:pt>
                <c:pt idx="175">
                  <c:v>7.55555555555556</c:v>
                </c:pt>
                <c:pt idx="176">
                  <c:v>7.7037037037037</c:v>
                </c:pt>
                <c:pt idx="177">
                  <c:v>7.77777777777778</c:v>
                </c:pt>
                <c:pt idx="178">
                  <c:v>8</c:v>
                </c:pt>
                <c:pt idx="179">
                  <c:v>8.18518518518519</c:v>
                </c:pt>
                <c:pt idx="180">
                  <c:v>8.22222222222222</c:v>
                </c:pt>
                <c:pt idx="181">
                  <c:v>8.51851851851852</c:v>
                </c:pt>
                <c:pt idx="182">
                  <c:v>8.7037037037037</c:v>
                </c:pt>
                <c:pt idx="183">
                  <c:v>8.81481481481482</c:v>
                </c:pt>
                <c:pt idx="184">
                  <c:v>9</c:v>
                </c:pt>
                <c:pt idx="185">
                  <c:v>9.11111111111111</c:v>
                </c:pt>
                <c:pt idx="186">
                  <c:v>9.22222222222222</c:v>
                </c:pt>
                <c:pt idx="187">
                  <c:v>9.44444444444445</c:v>
                </c:pt>
                <c:pt idx="188">
                  <c:v>9.59259259259259</c:v>
                </c:pt>
                <c:pt idx="189">
                  <c:v>9.81481481481482</c:v>
                </c:pt>
                <c:pt idx="190">
                  <c:v>9.92592592592593</c:v>
                </c:pt>
                <c:pt idx="191">
                  <c:v>10.1481481481481</c:v>
                </c:pt>
                <c:pt idx="192">
                  <c:v>10.3703703703704</c:v>
                </c:pt>
                <c:pt idx="193">
                  <c:v>10.4814814814815</c:v>
                </c:pt>
                <c:pt idx="194">
                  <c:v>10.6296296296296</c:v>
                </c:pt>
                <c:pt idx="195">
                  <c:v>10.8148148148148</c:v>
                </c:pt>
                <c:pt idx="196">
                  <c:v>11.0740740740741</c:v>
                </c:pt>
                <c:pt idx="197">
                  <c:v>11.1111111111111</c:v>
                </c:pt>
                <c:pt idx="198">
                  <c:v>11.2962962962963</c:v>
                </c:pt>
                <c:pt idx="199">
                  <c:v>11.3703703703704</c:v>
                </c:pt>
                <c:pt idx="200">
                  <c:v>11.5185185185185</c:v>
                </c:pt>
                <c:pt idx="201">
                  <c:v>11.7037037037037</c:v>
                </c:pt>
                <c:pt idx="202">
                  <c:v>11.8518518518519</c:v>
                </c:pt>
                <c:pt idx="203">
                  <c:v>12.1111111111111</c:v>
                </c:pt>
                <c:pt idx="204">
                  <c:v>12.3333333333333</c:v>
                </c:pt>
                <c:pt idx="205">
                  <c:v>12.4074074074074</c:v>
                </c:pt>
                <c:pt idx="206">
                  <c:v>12.5925925925926</c:v>
                </c:pt>
                <c:pt idx="207">
                  <c:v>12.6666666666667</c:v>
                </c:pt>
                <c:pt idx="208">
                  <c:v>12.7777777777778</c:v>
                </c:pt>
                <c:pt idx="209">
                  <c:v>12.8888888888889</c:v>
                </c:pt>
                <c:pt idx="210">
                  <c:v>13.1111111111111</c:v>
                </c:pt>
                <c:pt idx="211">
                  <c:v>13.2222222222222</c:v>
                </c:pt>
                <c:pt idx="212">
                  <c:v>13.2962962962963</c:v>
                </c:pt>
                <c:pt idx="213">
                  <c:v>13.4814814814815</c:v>
                </c:pt>
                <c:pt idx="214">
                  <c:v>13.7037037037037</c:v>
                </c:pt>
                <c:pt idx="215">
                  <c:v>13.8148148148148</c:v>
                </c:pt>
                <c:pt idx="216">
                  <c:v>14.037037037037</c:v>
                </c:pt>
                <c:pt idx="217">
                  <c:v>14.0740740740741</c:v>
                </c:pt>
                <c:pt idx="218">
                  <c:v>14.1481481481481</c:v>
                </c:pt>
                <c:pt idx="219">
                  <c:v>14.2962962962963</c:v>
                </c:pt>
                <c:pt idx="220">
                  <c:v>14.4814814814815</c:v>
                </c:pt>
                <c:pt idx="221">
                  <c:v>14.5555555555556</c:v>
                </c:pt>
                <c:pt idx="222">
                  <c:v>14.7037037037037</c:v>
                </c:pt>
                <c:pt idx="223">
                  <c:v>14.8148148148148</c:v>
                </c:pt>
                <c:pt idx="224">
                  <c:v>14.8888888888889</c:v>
                </c:pt>
                <c:pt idx="225">
                  <c:v>15</c:v>
                </c:pt>
                <c:pt idx="226">
                  <c:v>15.1481481481481</c:v>
                </c:pt>
                <c:pt idx="227">
                  <c:v>15.2592592592593</c:v>
                </c:pt>
                <c:pt idx="228">
                  <c:v>15.3703703703704</c:v>
                </c:pt>
                <c:pt idx="229">
                  <c:v>15.5185185185185</c:v>
                </c:pt>
                <c:pt idx="230">
                  <c:v>15.6666666666667</c:v>
                </c:pt>
                <c:pt idx="231">
                  <c:v>15.7777777777778</c:v>
                </c:pt>
                <c:pt idx="232">
                  <c:v>15.9259259259259</c:v>
                </c:pt>
                <c:pt idx="233">
                  <c:v>16.037037037037</c:v>
                </c:pt>
                <c:pt idx="234">
                  <c:v>16.1481481481482</c:v>
                </c:pt>
                <c:pt idx="235">
                  <c:v>16.2592592592593</c:v>
                </c:pt>
                <c:pt idx="236">
                  <c:v>16.2962962962963</c:v>
                </c:pt>
                <c:pt idx="237">
                  <c:v>16.3333333333333</c:v>
                </c:pt>
                <c:pt idx="238">
                  <c:v>16.4814814814815</c:v>
                </c:pt>
                <c:pt idx="239">
                  <c:v>16.5555555555556</c:v>
                </c:pt>
                <c:pt idx="240">
                  <c:v>16.5555555555556</c:v>
                </c:pt>
                <c:pt idx="241">
                  <c:v>16.6296296296296</c:v>
                </c:pt>
                <c:pt idx="242">
                  <c:v>16.7037037037037</c:v>
                </c:pt>
                <c:pt idx="243">
                  <c:v>16.7777777777778</c:v>
                </c:pt>
                <c:pt idx="244">
                  <c:v>16.8148148148148</c:v>
                </c:pt>
                <c:pt idx="245">
                  <c:v>16.8148148148148</c:v>
                </c:pt>
                <c:pt idx="246">
                  <c:v>16.8148148148148</c:v>
                </c:pt>
                <c:pt idx="247">
                  <c:v>16.8148148148148</c:v>
                </c:pt>
                <c:pt idx="248">
                  <c:v>16.9259259259259</c:v>
                </c:pt>
                <c:pt idx="249">
                  <c:v>16.962962962963</c:v>
                </c:pt>
                <c:pt idx="250">
                  <c:v>17</c:v>
                </c:pt>
                <c:pt idx="251">
                  <c:v>17.0740740740741</c:v>
                </c:pt>
                <c:pt idx="252">
                  <c:v>17.1481481481482</c:v>
                </c:pt>
                <c:pt idx="253">
                  <c:v>17.2222222222222</c:v>
                </c:pt>
                <c:pt idx="254">
                  <c:v>17.2962962962963</c:v>
                </c:pt>
                <c:pt idx="255">
                  <c:v>17.2962962962963</c:v>
                </c:pt>
                <c:pt idx="256">
                  <c:v>17.2962962962963</c:v>
                </c:pt>
                <c:pt idx="257">
                  <c:v>17.2962962962963</c:v>
                </c:pt>
                <c:pt idx="258">
                  <c:v>17.2962962962963</c:v>
                </c:pt>
                <c:pt idx="259">
                  <c:v>17.2962962962963</c:v>
                </c:pt>
                <c:pt idx="260">
                  <c:v>17.2962962962963</c:v>
                </c:pt>
                <c:pt idx="261">
                  <c:v>17.3703703703704</c:v>
                </c:pt>
                <c:pt idx="262">
                  <c:v>17.4074074074074</c:v>
                </c:pt>
                <c:pt idx="263">
                  <c:v>17.4444444444444</c:v>
                </c:pt>
                <c:pt idx="264">
                  <c:v>17.5185185185185</c:v>
                </c:pt>
                <c:pt idx="265">
                  <c:v>17.5185185185185</c:v>
                </c:pt>
                <c:pt idx="266">
                  <c:v>17.5925925925926</c:v>
                </c:pt>
                <c:pt idx="267">
                  <c:v>17.5925925925926</c:v>
                </c:pt>
                <c:pt idx="268">
                  <c:v>17.6296296296296</c:v>
                </c:pt>
                <c:pt idx="269">
                  <c:v>17.6296296296296</c:v>
                </c:pt>
                <c:pt idx="270">
                  <c:v>17.6666666666667</c:v>
                </c:pt>
                <c:pt idx="271">
                  <c:v>17.6666666666667</c:v>
                </c:pt>
                <c:pt idx="272">
                  <c:v>17.6666666666667</c:v>
                </c:pt>
                <c:pt idx="273">
                  <c:v>17.6666666666667</c:v>
                </c:pt>
                <c:pt idx="274">
                  <c:v>17.7407407407407</c:v>
                </c:pt>
                <c:pt idx="275">
                  <c:v>17.7407407407407</c:v>
                </c:pt>
                <c:pt idx="276">
                  <c:v>17.7407407407407</c:v>
                </c:pt>
                <c:pt idx="277">
                  <c:v>17.7407407407407</c:v>
                </c:pt>
                <c:pt idx="278">
                  <c:v>17.7407407407407</c:v>
                </c:pt>
                <c:pt idx="279">
                  <c:v>17.7407407407407</c:v>
                </c:pt>
                <c:pt idx="280">
                  <c:v>17.7407407407407</c:v>
                </c:pt>
                <c:pt idx="281">
                  <c:v>17.7407407407407</c:v>
                </c:pt>
                <c:pt idx="282">
                  <c:v>17.7407407407407</c:v>
                </c:pt>
                <c:pt idx="283">
                  <c:v>17.7407407407407</c:v>
                </c:pt>
                <c:pt idx="284">
                  <c:v>17.7407407407407</c:v>
                </c:pt>
                <c:pt idx="285">
                  <c:v>17.7407407407407</c:v>
                </c:pt>
                <c:pt idx="286">
                  <c:v>17.7407407407407</c:v>
                </c:pt>
                <c:pt idx="287">
                  <c:v>17.7407407407407</c:v>
                </c:pt>
                <c:pt idx="288">
                  <c:v>17.7407407407407</c:v>
                </c:pt>
                <c:pt idx="289">
                  <c:v>17.7407407407407</c:v>
                </c:pt>
                <c:pt idx="290">
                  <c:v>17.7407407407407</c:v>
                </c:pt>
                <c:pt idx="291">
                  <c:v>17.7407407407407</c:v>
                </c:pt>
                <c:pt idx="292">
                  <c:v>17.7407407407407</c:v>
                </c:pt>
                <c:pt idx="293">
                  <c:v>17.7407407407407</c:v>
                </c:pt>
                <c:pt idx="294">
                  <c:v>17.7407407407407</c:v>
                </c:pt>
                <c:pt idx="295">
                  <c:v>17.7407407407407</c:v>
                </c:pt>
                <c:pt idx="296">
                  <c:v>17.7407407407407</c:v>
                </c:pt>
                <c:pt idx="297">
                  <c:v>17.7407407407407</c:v>
                </c:pt>
                <c:pt idx="298">
                  <c:v>17.7407407407407</c:v>
                </c:pt>
                <c:pt idx="299">
                  <c:v>17.7407407407407</c:v>
                </c:pt>
                <c:pt idx="300">
                  <c:v>17.7407407407407</c:v>
                </c:pt>
                <c:pt idx="301">
                  <c:v>17.7407407407407</c:v>
                </c:pt>
                <c:pt idx="302">
                  <c:v>17.7777777777778</c:v>
                </c:pt>
                <c:pt idx="303">
                  <c:v>17.8148148148148</c:v>
                </c:pt>
                <c:pt idx="304">
                  <c:v>17.8148148148148</c:v>
                </c:pt>
                <c:pt idx="305">
                  <c:v>17.8148148148148</c:v>
                </c:pt>
                <c:pt idx="306">
                  <c:v>17.8148148148148</c:v>
                </c:pt>
                <c:pt idx="307">
                  <c:v>17.8148148148148</c:v>
                </c:pt>
                <c:pt idx="308">
                  <c:v>17.8148148148148</c:v>
                </c:pt>
                <c:pt idx="309">
                  <c:v>17.8148148148148</c:v>
                </c:pt>
                <c:pt idx="310">
                  <c:v>17.8148148148148</c:v>
                </c:pt>
                <c:pt idx="311">
                  <c:v>17.8148148148148</c:v>
                </c:pt>
                <c:pt idx="312">
                  <c:v>17.8518518518519</c:v>
                </c:pt>
                <c:pt idx="313">
                  <c:v>17.8518518518519</c:v>
                </c:pt>
                <c:pt idx="314">
                  <c:v>17.8518518518519</c:v>
                </c:pt>
                <c:pt idx="315">
                  <c:v>17.8518518518519</c:v>
                </c:pt>
                <c:pt idx="316">
                  <c:v>17.8518518518519</c:v>
                </c:pt>
                <c:pt idx="317">
                  <c:v>17.8518518518519</c:v>
                </c:pt>
                <c:pt idx="318">
                  <c:v>17.8518518518519</c:v>
                </c:pt>
                <c:pt idx="319">
                  <c:v>17.8518518518519</c:v>
                </c:pt>
                <c:pt idx="320">
                  <c:v>17.8518518518519</c:v>
                </c:pt>
                <c:pt idx="321">
                  <c:v>17.8518518518519</c:v>
                </c:pt>
                <c:pt idx="322">
                  <c:v>17.8518518518519</c:v>
                </c:pt>
                <c:pt idx="323">
                  <c:v>17.8518518518519</c:v>
                </c:pt>
                <c:pt idx="324">
                  <c:v>17.8518518518519</c:v>
                </c:pt>
                <c:pt idx="325">
                  <c:v>17.8518518518519</c:v>
                </c:pt>
                <c:pt idx="326">
                  <c:v>17.8518518518519</c:v>
                </c:pt>
                <c:pt idx="327">
                  <c:v>17.8518518518519</c:v>
                </c:pt>
                <c:pt idx="328">
                  <c:v>17.8518518518519</c:v>
                </c:pt>
                <c:pt idx="329">
                  <c:v>17.8518518518519</c:v>
                </c:pt>
                <c:pt idx="330">
                  <c:v>17.8518518518519</c:v>
                </c:pt>
                <c:pt idx="331">
                  <c:v>17.8518518518519</c:v>
                </c:pt>
                <c:pt idx="332">
                  <c:v>17.8518518518519</c:v>
                </c:pt>
                <c:pt idx="333">
                  <c:v>17.8518518518519</c:v>
                </c:pt>
                <c:pt idx="334">
                  <c:v>17.8518518518519</c:v>
                </c:pt>
                <c:pt idx="335">
                  <c:v>17.8518518518519</c:v>
                </c:pt>
                <c:pt idx="336">
                  <c:v>17.8518518518519</c:v>
                </c:pt>
                <c:pt idx="337">
                  <c:v>17.8518518518519</c:v>
                </c:pt>
                <c:pt idx="338">
                  <c:v>17.8518518518519</c:v>
                </c:pt>
                <c:pt idx="339">
                  <c:v>17.8518518518519</c:v>
                </c:pt>
                <c:pt idx="340">
                  <c:v>17.8518518518519</c:v>
                </c:pt>
                <c:pt idx="341">
                  <c:v>17.8518518518519</c:v>
                </c:pt>
                <c:pt idx="342">
                  <c:v>17.8518518518519</c:v>
                </c:pt>
                <c:pt idx="343">
                  <c:v>17.8518518518519</c:v>
                </c:pt>
                <c:pt idx="344">
                  <c:v>17.8518518518519</c:v>
                </c:pt>
                <c:pt idx="345">
                  <c:v>17.8518518518519</c:v>
                </c:pt>
                <c:pt idx="346">
                  <c:v>17.8518518518519</c:v>
                </c:pt>
                <c:pt idx="347">
                  <c:v>17.8518518518519</c:v>
                </c:pt>
                <c:pt idx="348">
                  <c:v>17.8518518518519</c:v>
                </c:pt>
                <c:pt idx="349">
                  <c:v>17.8888888888889</c:v>
                </c:pt>
                <c:pt idx="350">
                  <c:v>17.8888888888889</c:v>
                </c:pt>
                <c:pt idx="351">
                  <c:v>17.8888888888889</c:v>
                </c:pt>
                <c:pt idx="352">
                  <c:v>17.8888888888889</c:v>
                </c:pt>
                <c:pt idx="353">
                  <c:v>17.8888888888889</c:v>
                </c:pt>
                <c:pt idx="354">
                  <c:v>17.8888888888889</c:v>
                </c:pt>
                <c:pt idx="355">
                  <c:v>17.9259259259259</c:v>
                </c:pt>
                <c:pt idx="356">
                  <c:v>17.9259259259259</c:v>
                </c:pt>
                <c:pt idx="357">
                  <c:v>17.9259259259259</c:v>
                </c:pt>
                <c:pt idx="358">
                  <c:v>17.9259259259259</c:v>
                </c:pt>
                <c:pt idx="359">
                  <c:v>17.9259259259259</c:v>
                </c:pt>
                <c:pt idx="360">
                  <c:v>17.9259259259259</c:v>
                </c:pt>
                <c:pt idx="361">
                  <c:v>17.9259259259259</c:v>
                </c:pt>
                <c:pt idx="362">
                  <c:v>17.9259259259259</c:v>
                </c:pt>
                <c:pt idx="363">
                  <c:v>17.9259259259259</c:v>
                </c:pt>
                <c:pt idx="364">
                  <c:v>17.9259259259259</c:v>
                </c:pt>
                <c:pt idx="365">
                  <c:v>17.9259259259259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List1!$AF$375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5983b0">
                <a:alpha val="90000"/>
              </a:srgbClr>
            </a:solidFill>
            <a:ln w="28800">
              <a:solidFill>
                <a:srgbClr val="5983b0">
                  <a:alpha val="9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List1!$A$376:$A$741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List1!$AF$376:$AF$741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5</c:v>
                </c:pt>
                <c:pt idx="181">
                  <c:v>5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8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12</c:v>
                </c:pt>
                <c:pt idx="244">
                  <c:v>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List1!$AE$375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28800">
              <a:solidFill>
                <a:srgbClr val="ff0000">
                  <a:alpha val="9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List1!$A$376:$A$741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List1!$AE$376:$AE$741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7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10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List1!$C$375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999999">
                <a:alpha val="70000"/>
              </a:srgbClr>
            </a:solidFill>
            <a:ln w="36000">
              <a:solidFill>
                <a:srgbClr val="999999">
                  <a:alpha val="7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List1!$A$376:$A$741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List1!$C$376:$C$741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5</c:v>
                </c:pt>
                <c:pt idx="210">
                  <c:v>6</c:v>
                </c:pt>
                <c:pt idx="211">
                  <c:v>6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List1!$D$375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999999">
                <a:alpha val="70000"/>
              </a:srgbClr>
            </a:solidFill>
            <a:ln w="36000">
              <a:solidFill>
                <a:srgbClr val="999999">
                  <a:alpha val="70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List1!$A$376:$A$741</c:f>
              <c:strCache>
                <c:ptCount val="366"/>
                <c:pt idx="0">
                  <c:v>January 1</c:v>
                </c:pt>
                <c:pt idx="1">
                  <c:v>January 2</c:v>
                </c:pt>
                <c:pt idx="2">
                  <c:v>January 3</c:v>
                </c:pt>
                <c:pt idx="3">
                  <c:v>January 4</c:v>
                </c:pt>
                <c:pt idx="4">
                  <c:v>January 5</c:v>
                </c:pt>
                <c:pt idx="5">
                  <c:v>January 6</c:v>
                </c:pt>
                <c:pt idx="6">
                  <c:v>January 7</c:v>
                </c:pt>
                <c:pt idx="7">
                  <c:v>January 8</c:v>
                </c:pt>
                <c:pt idx="8">
                  <c:v>January 9</c:v>
                </c:pt>
                <c:pt idx="9">
                  <c:v>January 10</c:v>
                </c:pt>
                <c:pt idx="10">
                  <c:v>January 11</c:v>
                </c:pt>
                <c:pt idx="11">
                  <c:v>January 12</c:v>
                </c:pt>
                <c:pt idx="12">
                  <c:v>January 13</c:v>
                </c:pt>
                <c:pt idx="13">
                  <c:v>January 14</c:v>
                </c:pt>
                <c:pt idx="14">
                  <c:v>January 15</c:v>
                </c:pt>
                <c:pt idx="15">
                  <c:v>January 16</c:v>
                </c:pt>
                <c:pt idx="16">
                  <c:v>January 17</c:v>
                </c:pt>
                <c:pt idx="17">
                  <c:v>January 18</c:v>
                </c:pt>
                <c:pt idx="18">
                  <c:v>January 19</c:v>
                </c:pt>
                <c:pt idx="19">
                  <c:v>January 20</c:v>
                </c:pt>
                <c:pt idx="20">
                  <c:v>January 21</c:v>
                </c:pt>
                <c:pt idx="21">
                  <c:v>January 22</c:v>
                </c:pt>
                <c:pt idx="22">
                  <c:v>January 23</c:v>
                </c:pt>
                <c:pt idx="23">
                  <c:v>January 24</c:v>
                </c:pt>
                <c:pt idx="24">
                  <c:v>January 25</c:v>
                </c:pt>
                <c:pt idx="25">
                  <c:v>January 26</c:v>
                </c:pt>
                <c:pt idx="26">
                  <c:v>January 27</c:v>
                </c:pt>
                <c:pt idx="27">
                  <c:v>January 28</c:v>
                </c:pt>
                <c:pt idx="28">
                  <c:v>January 29</c:v>
                </c:pt>
                <c:pt idx="29">
                  <c:v>January 30</c:v>
                </c:pt>
                <c:pt idx="30">
                  <c:v>January 31</c:v>
                </c:pt>
                <c:pt idx="31">
                  <c:v>February 1</c:v>
                </c:pt>
                <c:pt idx="32">
                  <c:v>February 2</c:v>
                </c:pt>
                <c:pt idx="33">
                  <c:v>February 3</c:v>
                </c:pt>
                <c:pt idx="34">
                  <c:v>February 4</c:v>
                </c:pt>
                <c:pt idx="35">
                  <c:v>February 5</c:v>
                </c:pt>
                <c:pt idx="36">
                  <c:v>February 6</c:v>
                </c:pt>
                <c:pt idx="37">
                  <c:v>February 7</c:v>
                </c:pt>
                <c:pt idx="38">
                  <c:v>February 8</c:v>
                </c:pt>
                <c:pt idx="39">
                  <c:v>February 9</c:v>
                </c:pt>
                <c:pt idx="40">
                  <c:v>February 10</c:v>
                </c:pt>
                <c:pt idx="41">
                  <c:v>February 11</c:v>
                </c:pt>
                <c:pt idx="42">
                  <c:v>February 12</c:v>
                </c:pt>
                <c:pt idx="43">
                  <c:v>February 13</c:v>
                </c:pt>
                <c:pt idx="44">
                  <c:v>February 14</c:v>
                </c:pt>
                <c:pt idx="45">
                  <c:v>February 15</c:v>
                </c:pt>
                <c:pt idx="46">
                  <c:v>February 16</c:v>
                </c:pt>
                <c:pt idx="47">
                  <c:v>February 17</c:v>
                </c:pt>
                <c:pt idx="48">
                  <c:v>February 18</c:v>
                </c:pt>
                <c:pt idx="49">
                  <c:v>February 19</c:v>
                </c:pt>
                <c:pt idx="50">
                  <c:v>February 20</c:v>
                </c:pt>
                <c:pt idx="51">
                  <c:v>February 21</c:v>
                </c:pt>
                <c:pt idx="52">
                  <c:v>February 22</c:v>
                </c:pt>
                <c:pt idx="53">
                  <c:v>February 23</c:v>
                </c:pt>
                <c:pt idx="54">
                  <c:v>February 24</c:v>
                </c:pt>
                <c:pt idx="55">
                  <c:v>February 25</c:v>
                </c:pt>
                <c:pt idx="56">
                  <c:v>February 26</c:v>
                </c:pt>
                <c:pt idx="57">
                  <c:v>February 27</c:v>
                </c:pt>
                <c:pt idx="58">
                  <c:v>February 28</c:v>
                </c:pt>
                <c:pt idx="59">
                  <c:v>February 29</c:v>
                </c:pt>
                <c:pt idx="60">
                  <c:v>March 1</c:v>
                </c:pt>
                <c:pt idx="61">
                  <c:v>March 2</c:v>
                </c:pt>
                <c:pt idx="62">
                  <c:v>March 3</c:v>
                </c:pt>
                <c:pt idx="63">
                  <c:v>March 4</c:v>
                </c:pt>
                <c:pt idx="64">
                  <c:v>March 5</c:v>
                </c:pt>
                <c:pt idx="65">
                  <c:v>March 6</c:v>
                </c:pt>
                <c:pt idx="66">
                  <c:v>March 7</c:v>
                </c:pt>
                <c:pt idx="67">
                  <c:v>March 8</c:v>
                </c:pt>
                <c:pt idx="68">
                  <c:v>March 9</c:v>
                </c:pt>
                <c:pt idx="69">
                  <c:v>March 10</c:v>
                </c:pt>
                <c:pt idx="70">
                  <c:v>March 11</c:v>
                </c:pt>
                <c:pt idx="71">
                  <c:v>March 12</c:v>
                </c:pt>
                <c:pt idx="72">
                  <c:v>March 13</c:v>
                </c:pt>
                <c:pt idx="73">
                  <c:v>March 14</c:v>
                </c:pt>
                <c:pt idx="74">
                  <c:v>March 15</c:v>
                </c:pt>
                <c:pt idx="75">
                  <c:v>March 16</c:v>
                </c:pt>
                <c:pt idx="76">
                  <c:v>March 17</c:v>
                </c:pt>
                <c:pt idx="77">
                  <c:v>March 18</c:v>
                </c:pt>
                <c:pt idx="78">
                  <c:v>March 19</c:v>
                </c:pt>
                <c:pt idx="79">
                  <c:v>March 20</c:v>
                </c:pt>
                <c:pt idx="80">
                  <c:v>March 21</c:v>
                </c:pt>
                <c:pt idx="81">
                  <c:v>March 22</c:v>
                </c:pt>
                <c:pt idx="82">
                  <c:v>March 23</c:v>
                </c:pt>
                <c:pt idx="83">
                  <c:v>March 24</c:v>
                </c:pt>
                <c:pt idx="84">
                  <c:v>March 25</c:v>
                </c:pt>
                <c:pt idx="85">
                  <c:v>March 26</c:v>
                </c:pt>
                <c:pt idx="86">
                  <c:v>March 27</c:v>
                </c:pt>
                <c:pt idx="87">
                  <c:v>March 28</c:v>
                </c:pt>
                <c:pt idx="88">
                  <c:v>March 29</c:v>
                </c:pt>
                <c:pt idx="89">
                  <c:v>March 30</c:v>
                </c:pt>
                <c:pt idx="90">
                  <c:v>March 31</c:v>
                </c:pt>
                <c:pt idx="91">
                  <c:v>April 1</c:v>
                </c:pt>
                <c:pt idx="92">
                  <c:v>April 2</c:v>
                </c:pt>
                <c:pt idx="93">
                  <c:v>April 3</c:v>
                </c:pt>
                <c:pt idx="94">
                  <c:v>April 4</c:v>
                </c:pt>
                <c:pt idx="95">
                  <c:v>April 5</c:v>
                </c:pt>
                <c:pt idx="96">
                  <c:v>April 6</c:v>
                </c:pt>
                <c:pt idx="97">
                  <c:v>April 7</c:v>
                </c:pt>
                <c:pt idx="98">
                  <c:v>April 8</c:v>
                </c:pt>
                <c:pt idx="99">
                  <c:v>April 9</c:v>
                </c:pt>
                <c:pt idx="100">
                  <c:v>April 10</c:v>
                </c:pt>
                <c:pt idx="101">
                  <c:v>April 11</c:v>
                </c:pt>
                <c:pt idx="102">
                  <c:v>April 12</c:v>
                </c:pt>
                <c:pt idx="103">
                  <c:v>April 13</c:v>
                </c:pt>
                <c:pt idx="104">
                  <c:v>April 14</c:v>
                </c:pt>
                <c:pt idx="105">
                  <c:v>April 15</c:v>
                </c:pt>
                <c:pt idx="106">
                  <c:v>April 16</c:v>
                </c:pt>
                <c:pt idx="107">
                  <c:v>April 17</c:v>
                </c:pt>
                <c:pt idx="108">
                  <c:v>April 18</c:v>
                </c:pt>
                <c:pt idx="109">
                  <c:v>April 19</c:v>
                </c:pt>
                <c:pt idx="110">
                  <c:v>April 20</c:v>
                </c:pt>
                <c:pt idx="111">
                  <c:v>April 21</c:v>
                </c:pt>
                <c:pt idx="112">
                  <c:v>April 22</c:v>
                </c:pt>
                <c:pt idx="113">
                  <c:v>April 23</c:v>
                </c:pt>
                <c:pt idx="114">
                  <c:v>April 24</c:v>
                </c:pt>
                <c:pt idx="115">
                  <c:v>April 25</c:v>
                </c:pt>
                <c:pt idx="116">
                  <c:v>April 26</c:v>
                </c:pt>
                <c:pt idx="117">
                  <c:v>April 27</c:v>
                </c:pt>
                <c:pt idx="118">
                  <c:v>April 28</c:v>
                </c:pt>
                <c:pt idx="119">
                  <c:v>April 29</c:v>
                </c:pt>
                <c:pt idx="120">
                  <c:v>April 30</c:v>
                </c:pt>
                <c:pt idx="121">
                  <c:v>May 1</c:v>
                </c:pt>
                <c:pt idx="122">
                  <c:v>May 2</c:v>
                </c:pt>
                <c:pt idx="123">
                  <c:v>May 3</c:v>
                </c:pt>
                <c:pt idx="124">
                  <c:v>May 4</c:v>
                </c:pt>
                <c:pt idx="125">
                  <c:v>May 5</c:v>
                </c:pt>
                <c:pt idx="126">
                  <c:v>May 6</c:v>
                </c:pt>
                <c:pt idx="127">
                  <c:v>May 7</c:v>
                </c:pt>
                <c:pt idx="128">
                  <c:v>May 8</c:v>
                </c:pt>
                <c:pt idx="129">
                  <c:v>May 9</c:v>
                </c:pt>
                <c:pt idx="130">
                  <c:v>May 10</c:v>
                </c:pt>
                <c:pt idx="131">
                  <c:v>May 11</c:v>
                </c:pt>
                <c:pt idx="132">
                  <c:v>May 12</c:v>
                </c:pt>
                <c:pt idx="133">
                  <c:v>May 13</c:v>
                </c:pt>
                <c:pt idx="134">
                  <c:v>May 14</c:v>
                </c:pt>
                <c:pt idx="135">
                  <c:v>May 15</c:v>
                </c:pt>
                <c:pt idx="136">
                  <c:v>May 16</c:v>
                </c:pt>
                <c:pt idx="137">
                  <c:v>May 17</c:v>
                </c:pt>
                <c:pt idx="138">
                  <c:v>May 18</c:v>
                </c:pt>
                <c:pt idx="139">
                  <c:v>May 19</c:v>
                </c:pt>
                <c:pt idx="140">
                  <c:v>May 20</c:v>
                </c:pt>
                <c:pt idx="141">
                  <c:v>May 21</c:v>
                </c:pt>
                <c:pt idx="142">
                  <c:v>May 22</c:v>
                </c:pt>
                <c:pt idx="143">
                  <c:v>May 23</c:v>
                </c:pt>
                <c:pt idx="144">
                  <c:v>May 24</c:v>
                </c:pt>
                <c:pt idx="145">
                  <c:v>May 25</c:v>
                </c:pt>
                <c:pt idx="146">
                  <c:v>May 26</c:v>
                </c:pt>
                <c:pt idx="147">
                  <c:v>May 27</c:v>
                </c:pt>
                <c:pt idx="148">
                  <c:v>May 28</c:v>
                </c:pt>
                <c:pt idx="149">
                  <c:v>May 29</c:v>
                </c:pt>
                <c:pt idx="150">
                  <c:v>May 30</c:v>
                </c:pt>
                <c:pt idx="151">
                  <c:v>May 31</c:v>
                </c:pt>
                <c:pt idx="152">
                  <c:v>June 1</c:v>
                </c:pt>
                <c:pt idx="153">
                  <c:v>June 2</c:v>
                </c:pt>
                <c:pt idx="154">
                  <c:v>June 3</c:v>
                </c:pt>
                <c:pt idx="155">
                  <c:v>June 4</c:v>
                </c:pt>
                <c:pt idx="156">
                  <c:v>June 5</c:v>
                </c:pt>
                <c:pt idx="157">
                  <c:v>June 6</c:v>
                </c:pt>
                <c:pt idx="158">
                  <c:v>June 7</c:v>
                </c:pt>
                <c:pt idx="159">
                  <c:v>June 8</c:v>
                </c:pt>
                <c:pt idx="160">
                  <c:v>June 9</c:v>
                </c:pt>
                <c:pt idx="161">
                  <c:v>June 10</c:v>
                </c:pt>
                <c:pt idx="162">
                  <c:v>June 11</c:v>
                </c:pt>
                <c:pt idx="163">
                  <c:v>June 12</c:v>
                </c:pt>
                <c:pt idx="164">
                  <c:v>June 13</c:v>
                </c:pt>
                <c:pt idx="165">
                  <c:v>June 14</c:v>
                </c:pt>
                <c:pt idx="166">
                  <c:v>June 15</c:v>
                </c:pt>
                <c:pt idx="167">
                  <c:v>June 16</c:v>
                </c:pt>
                <c:pt idx="168">
                  <c:v>June 17</c:v>
                </c:pt>
                <c:pt idx="169">
                  <c:v>June 18</c:v>
                </c:pt>
                <c:pt idx="170">
                  <c:v>June 19</c:v>
                </c:pt>
                <c:pt idx="171">
                  <c:v>June 20</c:v>
                </c:pt>
                <c:pt idx="172">
                  <c:v>June 21</c:v>
                </c:pt>
                <c:pt idx="173">
                  <c:v>June 22</c:v>
                </c:pt>
                <c:pt idx="174">
                  <c:v>June 23</c:v>
                </c:pt>
                <c:pt idx="175">
                  <c:v>June 24</c:v>
                </c:pt>
                <c:pt idx="176">
                  <c:v>June 25</c:v>
                </c:pt>
                <c:pt idx="177">
                  <c:v>June 26</c:v>
                </c:pt>
                <c:pt idx="178">
                  <c:v>June 27</c:v>
                </c:pt>
                <c:pt idx="179">
                  <c:v>June 28</c:v>
                </c:pt>
                <c:pt idx="180">
                  <c:v>June 29</c:v>
                </c:pt>
                <c:pt idx="181">
                  <c:v>June 30</c:v>
                </c:pt>
                <c:pt idx="182">
                  <c:v>July 1</c:v>
                </c:pt>
                <c:pt idx="183">
                  <c:v>July 2</c:v>
                </c:pt>
                <c:pt idx="184">
                  <c:v>July 3</c:v>
                </c:pt>
                <c:pt idx="185">
                  <c:v>July 4</c:v>
                </c:pt>
                <c:pt idx="186">
                  <c:v>July 5</c:v>
                </c:pt>
                <c:pt idx="187">
                  <c:v>July 6</c:v>
                </c:pt>
                <c:pt idx="188">
                  <c:v>July 7</c:v>
                </c:pt>
                <c:pt idx="189">
                  <c:v>July 8</c:v>
                </c:pt>
                <c:pt idx="190">
                  <c:v>July 9</c:v>
                </c:pt>
                <c:pt idx="191">
                  <c:v>July 10</c:v>
                </c:pt>
                <c:pt idx="192">
                  <c:v>July 11</c:v>
                </c:pt>
                <c:pt idx="193">
                  <c:v>July 12</c:v>
                </c:pt>
                <c:pt idx="194">
                  <c:v>July 13</c:v>
                </c:pt>
                <c:pt idx="195">
                  <c:v>July 14</c:v>
                </c:pt>
                <c:pt idx="196">
                  <c:v>July 15</c:v>
                </c:pt>
                <c:pt idx="197">
                  <c:v>July 16</c:v>
                </c:pt>
                <c:pt idx="198">
                  <c:v>July 17</c:v>
                </c:pt>
                <c:pt idx="199">
                  <c:v>July 18</c:v>
                </c:pt>
                <c:pt idx="200">
                  <c:v>July 19</c:v>
                </c:pt>
                <c:pt idx="201">
                  <c:v>July 20</c:v>
                </c:pt>
                <c:pt idx="202">
                  <c:v>July 21</c:v>
                </c:pt>
                <c:pt idx="203">
                  <c:v>July 22</c:v>
                </c:pt>
                <c:pt idx="204">
                  <c:v>July 23</c:v>
                </c:pt>
                <c:pt idx="205">
                  <c:v>July 24</c:v>
                </c:pt>
                <c:pt idx="206">
                  <c:v>July 25</c:v>
                </c:pt>
                <c:pt idx="207">
                  <c:v>July 26</c:v>
                </c:pt>
                <c:pt idx="208">
                  <c:v>July 27</c:v>
                </c:pt>
                <c:pt idx="209">
                  <c:v>July 28</c:v>
                </c:pt>
                <c:pt idx="210">
                  <c:v>July 29</c:v>
                </c:pt>
                <c:pt idx="211">
                  <c:v>July 30</c:v>
                </c:pt>
                <c:pt idx="212">
                  <c:v>July 31</c:v>
                </c:pt>
                <c:pt idx="213">
                  <c:v>August 1</c:v>
                </c:pt>
                <c:pt idx="214">
                  <c:v>August 2</c:v>
                </c:pt>
                <c:pt idx="215">
                  <c:v>August 3</c:v>
                </c:pt>
                <c:pt idx="216">
                  <c:v>August 4</c:v>
                </c:pt>
                <c:pt idx="217">
                  <c:v>August 5</c:v>
                </c:pt>
                <c:pt idx="218">
                  <c:v>August 6</c:v>
                </c:pt>
                <c:pt idx="219">
                  <c:v>August 7</c:v>
                </c:pt>
                <c:pt idx="220">
                  <c:v>August 8</c:v>
                </c:pt>
                <c:pt idx="221">
                  <c:v>August 9</c:v>
                </c:pt>
                <c:pt idx="222">
                  <c:v>August 10</c:v>
                </c:pt>
                <c:pt idx="223">
                  <c:v>August 11</c:v>
                </c:pt>
                <c:pt idx="224">
                  <c:v>August 12</c:v>
                </c:pt>
                <c:pt idx="225">
                  <c:v>August 13</c:v>
                </c:pt>
                <c:pt idx="226">
                  <c:v>August 14</c:v>
                </c:pt>
                <c:pt idx="227">
                  <c:v>August 15</c:v>
                </c:pt>
                <c:pt idx="228">
                  <c:v>August 16</c:v>
                </c:pt>
                <c:pt idx="229">
                  <c:v>August 17</c:v>
                </c:pt>
                <c:pt idx="230">
                  <c:v>August 18</c:v>
                </c:pt>
                <c:pt idx="231">
                  <c:v>August 19</c:v>
                </c:pt>
                <c:pt idx="232">
                  <c:v>August 20</c:v>
                </c:pt>
                <c:pt idx="233">
                  <c:v>August 21</c:v>
                </c:pt>
                <c:pt idx="234">
                  <c:v>August 22</c:v>
                </c:pt>
                <c:pt idx="235">
                  <c:v>August 23</c:v>
                </c:pt>
                <c:pt idx="236">
                  <c:v>August 24</c:v>
                </c:pt>
                <c:pt idx="237">
                  <c:v>August 25</c:v>
                </c:pt>
                <c:pt idx="238">
                  <c:v>August 26</c:v>
                </c:pt>
                <c:pt idx="239">
                  <c:v>August 27</c:v>
                </c:pt>
                <c:pt idx="240">
                  <c:v>August 28</c:v>
                </c:pt>
                <c:pt idx="241">
                  <c:v>August 29</c:v>
                </c:pt>
                <c:pt idx="242">
                  <c:v>August 30</c:v>
                </c:pt>
                <c:pt idx="243">
                  <c:v>August 31</c:v>
                </c:pt>
                <c:pt idx="244">
                  <c:v>September 1</c:v>
                </c:pt>
                <c:pt idx="245">
                  <c:v>September 2</c:v>
                </c:pt>
                <c:pt idx="246">
                  <c:v>September 3</c:v>
                </c:pt>
                <c:pt idx="247">
                  <c:v>September 4</c:v>
                </c:pt>
                <c:pt idx="248">
                  <c:v>September 5</c:v>
                </c:pt>
                <c:pt idx="249">
                  <c:v>September 6</c:v>
                </c:pt>
                <c:pt idx="250">
                  <c:v>September 7</c:v>
                </c:pt>
                <c:pt idx="251">
                  <c:v>September 8</c:v>
                </c:pt>
                <c:pt idx="252">
                  <c:v>September 9</c:v>
                </c:pt>
                <c:pt idx="253">
                  <c:v>September 10</c:v>
                </c:pt>
                <c:pt idx="254">
                  <c:v>September 11</c:v>
                </c:pt>
                <c:pt idx="255">
                  <c:v>September 12</c:v>
                </c:pt>
                <c:pt idx="256">
                  <c:v>September 13</c:v>
                </c:pt>
                <c:pt idx="257">
                  <c:v>September 14</c:v>
                </c:pt>
                <c:pt idx="258">
                  <c:v>September 15</c:v>
                </c:pt>
                <c:pt idx="259">
                  <c:v>September 16</c:v>
                </c:pt>
                <c:pt idx="260">
                  <c:v>September 17</c:v>
                </c:pt>
                <c:pt idx="261">
                  <c:v>September 18</c:v>
                </c:pt>
                <c:pt idx="262">
                  <c:v>September 19</c:v>
                </c:pt>
                <c:pt idx="263">
                  <c:v>September 20</c:v>
                </c:pt>
                <c:pt idx="264">
                  <c:v>September 21</c:v>
                </c:pt>
                <c:pt idx="265">
                  <c:v>September 22</c:v>
                </c:pt>
                <c:pt idx="266">
                  <c:v>September 23</c:v>
                </c:pt>
                <c:pt idx="267">
                  <c:v>September 24</c:v>
                </c:pt>
                <c:pt idx="268">
                  <c:v>September 25</c:v>
                </c:pt>
                <c:pt idx="269">
                  <c:v>September 26</c:v>
                </c:pt>
                <c:pt idx="270">
                  <c:v>September 27</c:v>
                </c:pt>
                <c:pt idx="271">
                  <c:v>September 28</c:v>
                </c:pt>
                <c:pt idx="272">
                  <c:v>September 29</c:v>
                </c:pt>
                <c:pt idx="273">
                  <c:v>September 30</c:v>
                </c:pt>
                <c:pt idx="274">
                  <c:v>October 1</c:v>
                </c:pt>
                <c:pt idx="275">
                  <c:v>October 2</c:v>
                </c:pt>
                <c:pt idx="276">
                  <c:v>October 3</c:v>
                </c:pt>
                <c:pt idx="277">
                  <c:v>October 4</c:v>
                </c:pt>
                <c:pt idx="278">
                  <c:v>October 5</c:v>
                </c:pt>
                <c:pt idx="279">
                  <c:v>October 6</c:v>
                </c:pt>
                <c:pt idx="280">
                  <c:v>October 7</c:v>
                </c:pt>
                <c:pt idx="281">
                  <c:v>October 8</c:v>
                </c:pt>
                <c:pt idx="282">
                  <c:v>October 9</c:v>
                </c:pt>
                <c:pt idx="283">
                  <c:v>October 10</c:v>
                </c:pt>
                <c:pt idx="284">
                  <c:v>October 11</c:v>
                </c:pt>
                <c:pt idx="285">
                  <c:v>October 12</c:v>
                </c:pt>
                <c:pt idx="286">
                  <c:v>October 13</c:v>
                </c:pt>
                <c:pt idx="287">
                  <c:v>October 14</c:v>
                </c:pt>
                <c:pt idx="288">
                  <c:v>October 15</c:v>
                </c:pt>
                <c:pt idx="289">
                  <c:v>October 16</c:v>
                </c:pt>
                <c:pt idx="290">
                  <c:v>October 17</c:v>
                </c:pt>
                <c:pt idx="291">
                  <c:v>October 18</c:v>
                </c:pt>
                <c:pt idx="292">
                  <c:v>October 19</c:v>
                </c:pt>
                <c:pt idx="293">
                  <c:v>October 20</c:v>
                </c:pt>
                <c:pt idx="294">
                  <c:v>October 21</c:v>
                </c:pt>
                <c:pt idx="295">
                  <c:v>October 22</c:v>
                </c:pt>
                <c:pt idx="296">
                  <c:v>October 23</c:v>
                </c:pt>
                <c:pt idx="297">
                  <c:v>October 24</c:v>
                </c:pt>
                <c:pt idx="298">
                  <c:v>October 25</c:v>
                </c:pt>
                <c:pt idx="299">
                  <c:v>October 26</c:v>
                </c:pt>
                <c:pt idx="300">
                  <c:v>October 27</c:v>
                </c:pt>
                <c:pt idx="301">
                  <c:v>October 28</c:v>
                </c:pt>
                <c:pt idx="302">
                  <c:v>October 29</c:v>
                </c:pt>
                <c:pt idx="303">
                  <c:v>October 30</c:v>
                </c:pt>
                <c:pt idx="304">
                  <c:v>October 31</c:v>
                </c:pt>
                <c:pt idx="305">
                  <c:v>November 1</c:v>
                </c:pt>
                <c:pt idx="306">
                  <c:v>November 2</c:v>
                </c:pt>
                <c:pt idx="307">
                  <c:v>November 3</c:v>
                </c:pt>
                <c:pt idx="308">
                  <c:v>November 4</c:v>
                </c:pt>
                <c:pt idx="309">
                  <c:v>November 5</c:v>
                </c:pt>
                <c:pt idx="310">
                  <c:v>November 6</c:v>
                </c:pt>
                <c:pt idx="311">
                  <c:v>November 7</c:v>
                </c:pt>
                <c:pt idx="312">
                  <c:v>November 8</c:v>
                </c:pt>
                <c:pt idx="313">
                  <c:v>November 9</c:v>
                </c:pt>
                <c:pt idx="314">
                  <c:v>November 10</c:v>
                </c:pt>
                <c:pt idx="315">
                  <c:v>November 11</c:v>
                </c:pt>
                <c:pt idx="316">
                  <c:v>November 12</c:v>
                </c:pt>
                <c:pt idx="317">
                  <c:v>November 13</c:v>
                </c:pt>
                <c:pt idx="318">
                  <c:v>November 14</c:v>
                </c:pt>
                <c:pt idx="319">
                  <c:v>November 15</c:v>
                </c:pt>
                <c:pt idx="320">
                  <c:v>November 16</c:v>
                </c:pt>
                <c:pt idx="321">
                  <c:v>November 17</c:v>
                </c:pt>
                <c:pt idx="322">
                  <c:v>November 18</c:v>
                </c:pt>
                <c:pt idx="323">
                  <c:v>November 19</c:v>
                </c:pt>
                <c:pt idx="324">
                  <c:v>November 20</c:v>
                </c:pt>
                <c:pt idx="325">
                  <c:v>November 21</c:v>
                </c:pt>
                <c:pt idx="326">
                  <c:v>November 22</c:v>
                </c:pt>
                <c:pt idx="327">
                  <c:v>November 23</c:v>
                </c:pt>
                <c:pt idx="328">
                  <c:v>November 24</c:v>
                </c:pt>
                <c:pt idx="329">
                  <c:v>November 25</c:v>
                </c:pt>
                <c:pt idx="330">
                  <c:v>November 26</c:v>
                </c:pt>
                <c:pt idx="331">
                  <c:v>November 27</c:v>
                </c:pt>
                <c:pt idx="332">
                  <c:v>November 28</c:v>
                </c:pt>
                <c:pt idx="333">
                  <c:v>November 29</c:v>
                </c:pt>
                <c:pt idx="334">
                  <c:v>November 30</c:v>
                </c:pt>
                <c:pt idx="335">
                  <c:v>December 1</c:v>
                </c:pt>
                <c:pt idx="336">
                  <c:v>December 2</c:v>
                </c:pt>
                <c:pt idx="337">
                  <c:v>December 3</c:v>
                </c:pt>
                <c:pt idx="338">
                  <c:v>December 4</c:v>
                </c:pt>
                <c:pt idx="339">
                  <c:v>December 5</c:v>
                </c:pt>
                <c:pt idx="340">
                  <c:v>December 6</c:v>
                </c:pt>
                <c:pt idx="341">
                  <c:v>December 7</c:v>
                </c:pt>
                <c:pt idx="342">
                  <c:v>December 8</c:v>
                </c:pt>
                <c:pt idx="343">
                  <c:v>December 9</c:v>
                </c:pt>
                <c:pt idx="344">
                  <c:v>December 10</c:v>
                </c:pt>
                <c:pt idx="345">
                  <c:v>December 11</c:v>
                </c:pt>
                <c:pt idx="346">
                  <c:v>December 12</c:v>
                </c:pt>
                <c:pt idx="347">
                  <c:v>December 13</c:v>
                </c:pt>
                <c:pt idx="348">
                  <c:v>December 14</c:v>
                </c:pt>
                <c:pt idx="349">
                  <c:v>December 15</c:v>
                </c:pt>
                <c:pt idx="350">
                  <c:v>December 16</c:v>
                </c:pt>
                <c:pt idx="351">
                  <c:v>December 17</c:v>
                </c:pt>
                <c:pt idx="352">
                  <c:v>December 18</c:v>
                </c:pt>
                <c:pt idx="353">
                  <c:v>December 19</c:v>
                </c:pt>
                <c:pt idx="354">
                  <c:v>December 20</c:v>
                </c:pt>
                <c:pt idx="355">
                  <c:v>December 21</c:v>
                </c:pt>
                <c:pt idx="356">
                  <c:v>December 22</c:v>
                </c:pt>
                <c:pt idx="357">
                  <c:v>December 23</c:v>
                </c:pt>
                <c:pt idx="358">
                  <c:v>December 24</c:v>
                </c:pt>
                <c:pt idx="359">
                  <c:v>December 25</c:v>
                </c:pt>
                <c:pt idx="360">
                  <c:v>December 26</c:v>
                </c:pt>
                <c:pt idx="361">
                  <c:v>December 27</c:v>
                </c:pt>
                <c:pt idx="362">
                  <c:v>December 28</c:v>
                </c:pt>
                <c:pt idx="363">
                  <c:v>December 29</c:v>
                </c:pt>
                <c:pt idx="364">
                  <c:v>December 30</c:v>
                </c:pt>
                <c:pt idx="365">
                  <c:v>December 31</c:v>
                </c:pt>
              </c:strCache>
            </c:strRef>
          </c:cat>
          <c:val>
            <c:numRef>
              <c:f>List1!$D$376:$D$741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7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13</c:v>
                </c:pt>
                <c:pt idx="183">
                  <c:v>14</c:v>
                </c:pt>
                <c:pt idx="184">
                  <c:v>15</c:v>
                </c:pt>
                <c:pt idx="185">
                  <c:v>15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17</c:v>
                </c:pt>
                <c:pt idx="192">
                  <c:v>17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21</c:v>
                </c:pt>
                <c:pt idx="212">
                  <c:v>21</c:v>
                </c:pt>
                <c:pt idx="213">
                  <c:v>21</c:v>
                </c:pt>
                <c:pt idx="214">
                  <c:v>22</c:v>
                </c:pt>
                <c:pt idx="215">
                  <c:v>22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25</c:v>
                </c:pt>
                <c:pt idx="250">
                  <c:v>25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27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216753"/>
        <c:axId val="39823003"/>
      </c:lineChart>
      <c:catAx>
        <c:axId val="1321675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9823003"/>
        <c:crosses val="autoZero"/>
        <c:auto val="1"/>
        <c:lblAlgn val="ctr"/>
        <c:lblOffset val="100"/>
        <c:noMultiLvlLbl val="0"/>
      </c:catAx>
      <c:valAx>
        <c:axId val="398230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21675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cs-CZ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fd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List1!$E$375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List1!$E$376:$E$741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List1!$F$375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List1!$F$376:$F$741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6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8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13</c:v>
                </c:pt>
                <c:pt idx="354">
                  <c:v>13</c:v>
                </c:pt>
                <c:pt idx="355">
                  <c:v>13</c:v>
                </c:pt>
                <c:pt idx="356">
                  <c:v>13</c:v>
                </c:pt>
                <c:pt idx="357">
                  <c:v>13</c:v>
                </c:pt>
                <c:pt idx="358">
                  <c:v>13</c:v>
                </c:pt>
                <c:pt idx="359">
                  <c:v>13</c:v>
                </c:pt>
                <c:pt idx="360">
                  <c:v>13</c:v>
                </c:pt>
                <c:pt idx="361">
                  <c:v>13</c:v>
                </c:pt>
                <c:pt idx="362">
                  <c:v>13</c:v>
                </c:pt>
                <c:pt idx="363">
                  <c:v>13</c:v>
                </c:pt>
                <c:pt idx="364">
                  <c:v>13</c:v>
                </c:pt>
                <c:pt idx="365">
                  <c:v>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List1!$G$375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List1!$G$376:$G$741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11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14</c:v>
                </c:pt>
                <c:pt idx="343">
                  <c:v>14</c:v>
                </c:pt>
                <c:pt idx="344">
                  <c:v>14</c:v>
                </c:pt>
                <c:pt idx="345">
                  <c:v>14</c:v>
                </c:pt>
                <c:pt idx="346">
                  <c:v>14</c:v>
                </c:pt>
                <c:pt idx="347">
                  <c:v>14</c:v>
                </c:pt>
                <c:pt idx="348">
                  <c:v>14</c:v>
                </c:pt>
                <c:pt idx="349">
                  <c:v>14</c:v>
                </c:pt>
                <c:pt idx="350">
                  <c:v>14</c:v>
                </c:pt>
                <c:pt idx="351">
                  <c:v>14</c:v>
                </c:pt>
                <c:pt idx="352">
                  <c:v>14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14</c:v>
                </c:pt>
                <c:pt idx="362">
                  <c:v>14</c:v>
                </c:pt>
                <c:pt idx="363">
                  <c:v>14</c:v>
                </c:pt>
                <c:pt idx="364">
                  <c:v>14</c:v>
                </c:pt>
                <c:pt idx="365">
                  <c:v>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List1!$H$375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List1!$H$376:$H$741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12</c:v>
                </c:pt>
                <c:pt idx="195">
                  <c:v>13</c:v>
                </c:pt>
                <c:pt idx="196">
                  <c:v>13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21</c:v>
                </c:pt>
                <c:pt idx="275">
                  <c:v>21</c:v>
                </c:pt>
                <c:pt idx="276">
                  <c:v>21</c:v>
                </c:pt>
                <c:pt idx="277">
                  <c:v>21</c:v>
                </c:pt>
                <c:pt idx="278">
                  <c:v>21</c:v>
                </c:pt>
                <c:pt idx="279">
                  <c:v>21</c:v>
                </c:pt>
                <c:pt idx="280">
                  <c:v>21</c:v>
                </c:pt>
                <c:pt idx="281">
                  <c:v>21</c:v>
                </c:pt>
                <c:pt idx="282">
                  <c:v>21</c:v>
                </c:pt>
                <c:pt idx="283">
                  <c:v>21</c:v>
                </c:pt>
                <c:pt idx="284">
                  <c:v>21</c:v>
                </c:pt>
                <c:pt idx="285">
                  <c:v>21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21</c:v>
                </c:pt>
                <c:pt idx="290">
                  <c:v>21</c:v>
                </c:pt>
                <c:pt idx="291">
                  <c:v>21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21</c:v>
                </c:pt>
                <c:pt idx="311">
                  <c:v>21</c:v>
                </c:pt>
                <c:pt idx="312">
                  <c:v>21</c:v>
                </c:pt>
                <c:pt idx="313">
                  <c:v>21</c:v>
                </c:pt>
                <c:pt idx="314">
                  <c:v>21</c:v>
                </c:pt>
                <c:pt idx="315">
                  <c:v>21</c:v>
                </c:pt>
                <c:pt idx="316">
                  <c:v>21</c:v>
                </c:pt>
                <c:pt idx="317">
                  <c:v>21</c:v>
                </c:pt>
                <c:pt idx="318">
                  <c:v>21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21</c:v>
                </c:pt>
                <c:pt idx="331">
                  <c:v>21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21</c:v>
                </c:pt>
                <c:pt idx="337">
                  <c:v>21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21</c:v>
                </c:pt>
                <c:pt idx="347">
                  <c:v>21</c:v>
                </c:pt>
                <c:pt idx="348">
                  <c:v>21</c:v>
                </c:pt>
                <c:pt idx="349">
                  <c:v>21</c:v>
                </c:pt>
                <c:pt idx="350">
                  <c:v>21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21</c:v>
                </c:pt>
                <c:pt idx="355">
                  <c:v>21</c:v>
                </c:pt>
                <c:pt idx="356">
                  <c:v>21</c:v>
                </c:pt>
                <c:pt idx="357">
                  <c:v>21</c:v>
                </c:pt>
                <c:pt idx="358">
                  <c:v>21</c:v>
                </c:pt>
                <c:pt idx="359">
                  <c:v>21</c:v>
                </c:pt>
                <c:pt idx="360">
                  <c:v>21</c:v>
                </c:pt>
                <c:pt idx="361">
                  <c:v>21</c:v>
                </c:pt>
                <c:pt idx="362">
                  <c:v>21</c:v>
                </c:pt>
                <c:pt idx="363">
                  <c:v>21</c:v>
                </c:pt>
                <c:pt idx="364">
                  <c:v>21</c:v>
                </c:pt>
                <c:pt idx="365">
                  <c:v>21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List1!$I$375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List1!$I$376:$I$741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5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8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12</c:v>
                </c:pt>
                <c:pt idx="204">
                  <c:v>13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16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18</c:v>
                </c:pt>
                <c:pt idx="251">
                  <c:v>18</c:v>
                </c:pt>
                <c:pt idx="252">
                  <c:v>18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List1!$J$375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List1!$J$376:$J$741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4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7</c:v>
                </c:pt>
                <c:pt idx="161">
                  <c:v>7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9</c:v>
                </c:pt>
                <c:pt idx="183">
                  <c:v>10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13</c:v>
                </c:pt>
                <c:pt idx="202">
                  <c:v>13</c:v>
                </c:pt>
                <c:pt idx="203">
                  <c:v>14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18</c:v>
                </c:pt>
                <c:pt idx="251">
                  <c:v>18</c:v>
                </c:pt>
                <c:pt idx="252">
                  <c:v>18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List1!$K$375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List1!$K$376:$K$741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12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14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15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18</c:v>
                </c:pt>
                <c:pt idx="233">
                  <c:v>18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List1!$L$375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List1!$L$376:$L$741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10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14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20</c:v>
                </c:pt>
                <c:pt idx="239">
                  <c:v>21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21</c:v>
                </c:pt>
                <c:pt idx="244">
                  <c:v>21</c:v>
                </c:pt>
                <c:pt idx="245">
                  <c:v>21</c:v>
                </c:pt>
                <c:pt idx="246">
                  <c:v>21</c:v>
                </c:pt>
                <c:pt idx="247">
                  <c:v>21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List1!$M$375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List1!$M$376:$M$741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5</c:v>
                </c:pt>
                <c:pt idx="146">
                  <c:v>6</c:v>
                </c:pt>
                <c:pt idx="147">
                  <c:v>6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11</c:v>
                </c:pt>
                <c:pt idx="191">
                  <c:v>11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13</c:v>
                </c:pt>
                <c:pt idx="201">
                  <c:v>14</c:v>
                </c:pt>
                <c:pt idx="202">
                  <c:v>14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16</c:v>
                </c:pt>
                <c:pt idx="220">
                  <c:v>17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19</c:v>
                </c:pt>
                <c:pt idx="235">
                  <c:v>20</c:v>
                </c:pt>
                <c:pt idx="236">
                  <c:v>21</c:v>
                </c:pt>
                <c:pt idx="237">
                  <c:v>21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21</c:v>
                </c:pt>
                <c:pt idx="244">
                  <c:v>21</c:v>
                </c:pt>
                <c:pt idx="245">
                  <c:v>21</c:v>
                </c:pt>
                <c:pt idx="246">
                  <c:v>21</c:v>
                </c:pt>
                <c:pt idx="247">
                  <c:v>21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21</c:v>
                </c:pt>
                <c:pt idx="275">
                  <c:v>21</c:v>
                </c:pt>
                <c:pt idx="276">
                  <c:v>21</c:v>
                </c:pt>
                <c:pt idx="277">
                  <c:v>21</c:v>
                </c:pt>
                <c:pt idx="278">
                  <c:v>21</c:v>
                </c:pt>
                <c:pt idx="279">
                  <c:v>21</c:v>
                </c:pt>
                <c:pt idx="280">
                  <c:v>21</c:v>
                </c:pt>
                <c:pt idx="281">
                  <c:v>21</c:v>
                </c:pt>
                <c:pt idx="282">
                  <c:v>21</c:v>
                </c:pt>
                <c:pt idx="283">
                  <c:v>21</c:v>
                </c:pt>
                <c:pt idx="284">
                  <c:v>21</c:v>
                </c:pt>
                <c:pt idx="285">
                  <c:v>21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21</c:v>
                </c:pt>
                <c:pt idx="290">
                  <c:v>21</c:v>
                </c:pt>
                <c:pt idx="291">
                  <c:v>21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21</c:v>
                </c:pt>
                <c:pt idx="311">
                  <c:v>21</c:v>
                </c:pt>
                <c:pt idx="312">
                  <c:v>21</c:v>
                </c:pt>
                <c:pt idx="313">
                  <c:v>21</c:v>
                </c:pt>
                <c:pt idx="314">
                  <c:v>21</c:v>
                </c:pt>
                <c:pt idx="315">
                  <c:v>21</c:v>
                </c:pt>
                <c:pt idx="316">
                  <c:v>21</c:v>
                </c:pt>
                <c:pt idx="317">
                  <c:v>21</c:v>
                </c:pt>
                <c:pt idx="318">
                  <c:v>21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21</c:v>
                </c:pt>
                <c:pt idx="331">
                  <c:v>21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21</c:v>
                </c:pt>
                <c:pt idx="337">
                  <c:v>21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21</c:v>
                </c:pt>
                <c:pt idx="347">
                  <c:v>21</c:v>
                </c:pt>
                <c:pt idx="348">
                  <c:v>21</c:v>
                </c:pt>
                <c:pt idx="349">
                  <c:v>21</c:v>
                </c:pt>
                <c:pt idx="350">
                  <c:v>21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21</c:v>
                </c:pt>
                <c:pt idx="355">
                  <c:v>21</c:v>
                </c:pt>
                <c:pt idx="356">
                  <c:v>21</c:v>
                </c:pt>
                <c:pt idx="357">
                  <c:v>21</c:v>
                </c:pt>
                <c:pt idx="358">
                  <c:v>21</c:v>
                </c:pt>
                <c:pt idx="359">
                  <c:v>21</c:v>
                </c:pt>
                <c:pt idx="360">
                  <c:v>21</c:v>
                </c:pt>
                <c:pt idx="361">
                  <c:v>21</c:v>
                </c:pt>
                <c:pt idx="362">
                  <c:v>21</c:v>
                </c:pt>
                <c:pt idx="363">
                  <c:v>21</c:v>
                </c:pt>
                <c:pt idx="364">
                  <c:v>21</c:v>
                </c:pt>
                <c:pt idx="365">
                  <c:v>21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List1!$N$375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List1!$N$376:$N$741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7</c:v>
                </c:pt>
                <c:pt idx="159">
                  <c:v>8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15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18</c:v>
                </c:pt>
                <c:pt idx="252">
                  <c:v>18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List1!$O$375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x"/>
            <c:size val="8"/>
            <c:spPr>
              <a:solidFill>
                <a:srgbClr val="c5000b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List1!$O$376:$O$741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11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13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18</c:v>
                </c:pt>
                <c:pt idx="251">
                  <c:v>18</c:v>
                </c:pt>
                <c:pt idx="252">
                  <c:v>18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List1!$P$375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plus"/>
            <c:size val="8"/>
            <c:spPr>
              <a:solidFill>
                <a:srgbClr val="0084d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List1!$P$376:$P$741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5</c:v>
                </c:pt>
                <c:pt idx="197">
                  <c:v>5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7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10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List1!$Q$375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List1!$Q$376:$Q$741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6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8</c:v>
                </c:pt>
                <c:pt idx="157">
                  <c:v>9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13</c:v>
                </c:pt>
                <c:pt idx="189">
                  <c:v>14</c:v>
                </c:pt>
                <c:pt idx="190">
                  <c:v>14</c:v>
                </c:pt>
                <c:pt idx="191">
                  <c:v>15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21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21</c:v>
                </c:pt>
                <c:pt idx="244">
                  <c:v>21</c:v>
                </c:pt>
                <c:pt idx="245">
                  <c:v>21</c:v>
                </c:pt>
                <c:pt idx="246">
                  <c:v>21</c:v>
                </c:pt>
                <c:pt idx="247">
                  <c:v>21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23</c:v>
                </c:pt>
                <c:pt idx="255">
                  <c:v>23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List1!$R$375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ash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List1!$R$376:$R$741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8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10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12</c:v>
                </c:pt>
                <c:pt idx="182">
                  <c:v>13</c:v>
                </c:pt>
                <c:pt idx="183">
                  <c:v>14</c:v>
                </c:pt>
                <c:pt idx="184">
                  <c:v>15</c:v>
                </c:pt>
                <c:pt idx="185">
                  <c:v>15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17</c:v>
                </c:pt>
                <c:pt idx="192">
                  <c:v>17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21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List1!$S$375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squar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List1!$S$376:$S$741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5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7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9</c:v>
                </c:pt>
                <c:pt idx="217">
                  <c:v>9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List1!$T$375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quar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List1!$T$376:$T$741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7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18</c:v>
                </c:pt>
                <c:pt idx="209">
                  <c:v>19</c:v>
                </c:pt>
                <c:pt idx="210">
                  <c:v>20</c:v>
                </c:pt>
                <c:pt idx="211">
                  <c:v>21</c:v>
                </c:pt>
                <c:pt idx="212">
                  <c:v>21</c:v>
                </c:pt>
                <c:pt idx="213">
                  <c:v>21</c:v>
                </c:pt>
                <c:pt idx="214">
                  <c:v>22</c:v>
                </c:pt>
                <c:pt idx="215">
                  <c:v>22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25</c:v>
                </c:pt>
                <c:pt idx="250">
                  <c:v>25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27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List1!$U$375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squar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List1!$U$376:$U$741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6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8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11</c:v>
                </c:pt>
                <c:pt idx="188">
                  <c:v>12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14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18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List1!$V$375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squar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List1!$V$376:$V$741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14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17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List1!$W$375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List1!$W$376:$W$741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7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9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11</c:v>
                </c:pt>
                <c:pt idx="188">
                  <c:v>12</c:v>
                </c:pt>
                <c:pt idx="189">
                  <c:v>12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14</c:v>
                </c:pt>
                <c:pt idx="202">
                  <c:v>14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17</c:v>
                </c:pt>
                <c:pt idx="222">
                  <c:v>18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21</c:v>
                </c:pt>
                <c:pt idx="244">
                  <c:v>21</c:v>
                </c:pt>
                <c:pt idx="245">
                  <c:v>21</c:v>
                </c:pt>
                <c:pt idx="246">
                  <c:v>21</c:v>
                </c:pt>
                <c:pt idx="247">
                  <c:v>21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21</c:v>
                </c:pt>
                <c:pt idx="275">
                  <c:v>21</c:v>
                </c:pt>
                <c:pt idx="276">
                  <c:v>21</c:v>
                </c:pt>
                <c:pt idx="277">
                  <c:v>21</c:v>
                </c:pt>
                <c:pt idx="278">
                  <c:v>21</c:v>
                </c:pt>
                <c:pt idx="279">
                  <c:v>21</c:v>
                </c:pt>
                <c:pt idx="280">
                  <c:v>21</c:v>
                </c:pt>
                <c:pt idx="281">
                  <c:v>21</c:v>
                </c:pt>
                <c:pt idx="282">
                  <c:v>21</c:v>
                </c:pt>
                <c:pt idx="283">
                  <c:v>21</c:v>
                </c:pt>
                <c:pt idx="284">
                  <c:v>21</c:v>
                </c:pt>
                <c:pt idx="285">
                  <c:v>21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21</c:v>
                </c:pt>
                <c:pt idx="290">
                  <c:v>21</c:v>
                </c:pt>
                <c:pt idx="291">
                  <c:v>21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List1!$X$375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List1!$X$376:$X$741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12</c:v>
                </c:pt>
                <c:pt idx="215">
                  <c:v>12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16</c:v>
                </c:pt>
                <c:pt idx="265">
                  <c:v>16</c:v>
                </c:pt>
                <c:pt idx="266">
                  <c:v>17</c:v>
                </c:pt>
                <c:pt idx="267">
                  <c:v>17</c:v>
                </c:pt>
                <c:pt idx="268">
                  <c:v>17</c:v>
                </c:pt>
                <c:pt idx="269">
                  <c:v>17</c:v>
                </c:pt>
                <c:pt idx="270">
                  <c:v>17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17</c:v>
                </c:pt>
                <c:pt idx="282">
                  <c:v>17</c:v>
                </c:pt>
                <c:pt idx="283">
                  <c:v>17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17</c:v>
                </c:pt>
                <c:pt idx="289">
                  <c:v>17</c:v>
                </c:pt>
                <c:pt idx="290">
                  <c:v>17</c:v>
                </c:pt>
                <c:pt idx="291">
                  <c:v>17</c:v>
                </c:pt>
                <c:pt idx="292">
                  <c:v>17</c:v>
                </c:pt>
                <c:pt idx="293">
                  <c:v>17</c:v>
                </c:pt>
                <c:pt idx="294">
                  <c:v>17</c:v>
                </c:pt>
                <c:pt idx="295">
                  <c:v>17</c:v>
                </c:pt>
                <c:pt idx="296">
                  <c:v>17</c:v>
                </c:pt>
                <c:pt idx="297">
                  <c:v>17</c:v>
                </c:pt>
                <c:pt idx="298">
                  <c:v>17</c:v>
                </c:pt>
                <c:pt idx="299">
                  <c:v>17</c:v>
                </c:pt>
                <c:pt idx="300">
                  <c:v>17</c:v>
                </c:pt>
                <c:pt idx="301">
                  <c:v>17</c:v>
                </c:pt>
                <c:pt idx="302">
                  <c:v>17</c:v>
                </c:pt>
                <c:pt idx="303">
                  <c:v>17</c:v>
                </c:pt>
                <c:pt idx="304">
                  <c:v>17</c:v>
                </c:pt>
                <c:pt idx="305">
                  <c:v>17</c:v>
                </c:pt>
                <c:pt idx="306">
                  <c:v>17</c:v>
                </c:pt>
                <c:pt idx="307">
                  <c:v>17</c:v>
                </c:pt>
                <c:pt idx="308">
                  <c:v>17</c:v>
                </c:pt>
                <c:pt idx="309">
                  <c:v>17</c:v>
                </c:pt>
                <c:pt idx="310">
                  <c:v>17</c:v>
                </c:pt>
                <c:pt idx="311">
                  <c:v>17</c:v>
                </c:pt>
                <c:pt idx="312">
                  <c:v>17</c:v>
                </c:pt>
                <c:pt idx="313">
                  <c:v>17</c:v>
                </c:pt>
                <c:pt idx="314">
                  <c:v>17</c:v>
                </c:pt>
                <c:pt idx="315">
                  <c:v>17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17</c:v>
                </c:pt>
                <c:pt idx="351">
                  <c:v>17</c:v>
                </c:pt>
                <c:pt idx="352">
                  <c:v>17</c:v>
                </c:pt>
                <c:pt idx="353">
                  <c:v>17</c:v>
                </c:pt>
                <c:pt idx="354">
                  <c:v>17</c:v>
                </c:pt>
                <c:pt idx="355">
                  <c:v>17</c:v>
                </c:pt>
                <c:pt idx="356">
                  <c:v>17</c:v>
                </c:pt>
                <c:pt idx="357">
                  <c:v>17</c:v>
                </c:pt>
                <c:pt idx="358">
                  <c:v>17</c:v>
                </c:pt>
                <c:pt idx="359">
                  <c:v>17</c:v>
                </c:pt>
                <c:pt idx="360">
                  <c:v>17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17</c:v>
                </c:pt>
                <c:pt idx="365">
                  <c:v>17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List1!$Y$375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squar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List1!$Y$376:$Y$741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5</c:v>
                </c:pt>
                <c:pt idx="210">
                  <c:v>6</c:v>
                </c:pt>
                <c:pt idx="211">
                  <c:v>6</c:v>
                </c:pt>
                <c:pt idx="212">
                  <c:v>7</c:v>
                </c:pt>
                <c:pt idx="213">
                  <c:v>7</c:v>
                </c:pt>
                <c:pt idx="214">
                  <c:v>8</c:v>
                </c:pt>
                <c:pt idx="215">
                  <c:v>9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12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List1!$Z$375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List1!$Z$376:$Z$741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2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4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List1!$AA$375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square"/>
            <c:size val="8"/>
            <c:spPr>
              <a:solidFill>
                <a:srgbClr val="c5000b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List1!$AA$376:$AA$741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11</c:v>
                </c:pt>
                <c:pt idx="190">
                  <c:v>12</c:v>
                </c:pt>
                <c:pt idx="191">
                  <c:v>12</c:v>
                </c:pt>
                <c:pt idx="192">
                  <c:v>13</c:v>
                </c:pt>
                <c:pt idx="193">
                  <c:v>13</c:v>
                </c:pt>
                <c:pt idx="194">
                  <c:v>14</c:v>
                </c:pt>
                <c:pt idx="195">
                  <c:v>14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16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List1!$AB$375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square"/>
            <c:size val="8"/>
            <c:spPr>
              <a:solidFill>
                <a:srgbClr val="0084d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List1!$AB$376:$AB$741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7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14</c:v>
                </c:pt>
                <c:pt idx="251">
                  <c:v>14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List1!$AC$375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List1!$AC$376:$AC$741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7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13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List1!$AD$375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square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List1!$AD$376:$AD$741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5</c:v>
                </c:pt>
                <c:pt idx="179">
                  <c:v>6</c:v>
                </c:pt>
                <c:pt idx="180">
                  <c:v>6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9</c:v>
                </c:pt>
                <c:pt idx="192">
                  <c:v>10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15</c:v>
                </c:pt>
                <c:pt idx="227">
                  <c:v>16</c:v>
                </c:pt>
                <c:pt idx="228">
                  <c:v>16</c:v>
                </c:pt>
                <c:pt idx="229">
                  <c:v>17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List1!$AE$375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squar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List1!$AE$376:$AE$741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7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10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List1!$AF$375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quar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List1!$AF$376:$AF$741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5</c:v>
                </c:pt>
                <c:pt idx="181">
                  <c:v>5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8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12</c:v>
                </c:pt>
                <c:pt idx="244">
                  <c:v>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440337"/>
        <c:axId val="72903962"/>
      </c:lineChart>
      <c:catAx>
        <c:axId val="914403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2903962"/>
        <c:crossesAt val="0"/>
        <c:auto val="1"/>
        <c:lblAlgn val="ctr"/>
        <c:lblOffset val="100"/>
        <c:noMultiLvlLbl val="0"/>
      </c:catAx>
      <c:valAx>
        <c:axId val="729039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144033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15480</xdr:colOff>
      <xdr:row>7</xdr:row>
      <xdr:rowOff>64440</xdr:rowOff>
    </xdr:from>
    <xdr:to>
      <xdr:col>52</xdr:col>
      <xdr:colOff>807480</xdr:colOff>
      <xdr:row>61</xdr:row>
      <xdr:rowOff>68760</xdr:rowOff>
    </xdr:to>
    <xdr:graphicFrame>
      <xdr:nvGraphicFramePr>
        <xdr:cNvPr id="0" name="shape"/>
        <xdr:cNvGraphicFramePr/>
      </xdr:nvGraphicFramePr>
      <xdr:xfrm>
        <a:off x="29990520" y="1198080"/>
        <a:ext cx="16434720" cy="87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35</xdr:col>
      <xdr:colOff>25200</xdr:colOff>
      <xdr:row>118</xdr:row>
      <xdr:rowOff>118440</xdr:rowOff>
    </xdr:from>
    <xdr:to>
      <xdr:col>53</xdr:col>
      <xdr:colOff>12240</xdr:colOff>
      <xdr:row>172</xdr:row>
      <xdr:rowOff>131760</xdr:rowOff>
    </xdr:to>
    <xdr:graphicFrame>
      <xdr:nvGraphicFramePr>
        <xdr:cNvPr id="1" name="shape"/>
        <xdr:cNvGraphicFramePr/>
      </xdr:nvGraphicFramePr>
      <xdr:xfrm>
        <a:off x="30000240" y="19225440"/>
        <a:ext cx="16475760" cy="875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35</xdr:col>
      <xdr:colOff>21240</xdr:colOff>
      <xdr:row>174</xdr:row>
      <xdr:rowOff>107280</xdr:rowOff>
    </xdr:from>
    <xdr:to>
      <xdr:col>52</xdr:col>
      <xdr:colOff>809640</xdr:colOff>
      <xdr:row>228</xdr:row>
      <xdr:rowOff>128160</xdr:rowOff>
    </xdr:to>
    <xdr:graphicFrame>
      <xdr:nvGraphicFramePr>
        <xdr:cNvPr id="2" name="shape"/>
        <xdr:cNvGraphicFramePr/>
      </xdr:nvGraphicFramePr>
      <xdr:xfrm>
        <a:off x="29996280" y="28282320"/>
        <a:ext cx="16431120" cy="876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68</xdr:col>
      <xdr:colOff>224280</xdr:colOff>
      <xdr:row>147</xdr:row>
      <xdr:rowOff>160920</xdr:rowOff>
    </xdr:from>
    <xdr:to>
      <xdr:col>83</xdr:col>
      <xdr:colOff>145080</xdr:colOff>
      <xdr:row>195</xdr:row>
      <xdr:rowOff>79920</xdr:rowOff>
    </xdr:to>
    <xdr:graphicFrame>
      <xdr:nvGraphicFramePr>
        <xdr:cNvPr id="3" name="shape"/>
        <xdr:cNvGraphicFramePr/>
      </xdr:nvGraphicFramePr>
      <xdr:xfrm>
        <a:off x="61011000" y="23963760"/>
        <a:ext cx="13511520" cy="769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53</xdr:col>
      <xdr:colOff>623520</xdr:colOff>
      <xdr:row>45</xdr:row>
      <xdr:rowOff>56520</xdr:rowOff>
    </xdr:from>
    <xdr:to>
      <xdr:col>69</xdr:col>
      <xdr:colOff>33840</xdr:colOff>
      <xdr:row>97</xdr:row>
      <xdr:rowOff>122760</xdr:rowOff>
    </xdr:to>
    <xdr:graphicFrame>
      <xdr:nvGraphicFramePr>
        <xdr:cNvPr id="4" name="shape"/>
        <xdr:cNvGraphicFramePr/>
      </xdr:nvGraphicFramePr>
      <xdr:xfrm>
        <a:off x="47087280" y="7343280"/>
        <a:ext cx="14588640" cy="848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68</xdr:col>
      <xdr:colOff>786240</xdr:colOff>
      <xdr:row>47</xdr:row>
      <xdr:rowOff>46800</xdr:rowOff>
    </xdr:from>
    <xdr:to>
      <xdr:col>83</xdr:col>
      <xdr:colOff>87120</xdr:colOff>
      <xdr:row>92</xdr:row>
      <xdr:rowOff>161280</xdr:rowOff>
    </xdr:to>
    <xdr:graphicFrame>
      <xdr:nvGraphicFramePr>
        <xdr:cNvPr id="5" name="Graf 7"/>
        <xdr:cNvGraphicFramePr/>
      </xdr:nvGraphicFramePr>
      <xdr:xfrm>
        <a:off x="61572960" y="7657200"/>
        <a:ext cx="12891600" cy="740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82</xdr:col>
      <xdr:colOff>742680</xdr:colOff>
      <xdr:row>37</xdr:row>
      <xdr:rowOff>133560</xdr:rowOff>
    </xdr:from>
    <xdr:to>
      <xdr:col>96</xdr:col>
      <xdr:colOff>802080</xdr:colOff>
      <xdr:row>72</xdr:row>
      <xdr:rowOff>66600</xdr:rowOff>
    </xdr:to>
    <xdr:graphicFrame>
      <xdr:nvGraphicFramePr>
        <xdr:cNvPr id="6" name="Graf 8"/>
        <xdr:cNvGraphicFramePr/>
      </xdr:nvGraphicFramePr>
      <xdr:xfrm>
        <a:off x="74264760" y="6124680"/>
        <a:ext cx="10475280" cy="560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83</xdr:col>
      <xdr:colOff>29160</xdr:colOff>
      <xdr:row>73</xdr:row>
      <xdr:rowOff>17640</xdr:rowOff>
    </xdr:from>
    <xdr:to>
      <xdr:col>97</xdr:col>
      <xdr:colOff>68760</xdr:colOff>
      <xdr:row>107</xdr:row>
      <xdr:rowOff>122400</xdr:rowOff>
    </xdr:to>
    <xdr:graphicFrame>
      <xdr:nvGraphicFramePr>
        <xdr:cNvPr id="7" name="Graf 9"/>
        <xdr:cNvGraphicFramePr/>
      </xdr:nvGraphicFramePr>
      <xdr:xfrm>
        <a:off x="74406600" y="11838240"/>
        <a:ext cx="10465200" cy="561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83</xdr:col>
      <xdr:colOff>37800</xdr:colOff>
      <xdr:row>108</xdr:row>
      <xdr:rowOff>93600</xdr:rowOff>
    </xdr:from>
    <xdr:to>
      <xdr:col>97</xdr:col>
      <xdr:colOff>39240</xdr:colOff>
      <xdr:row>149</xdr:row>
      <xdr:rowOff>21240</xdr:rowOff>
    </xdr:to>
    <xdr:graphicFrame>
      <xdr:nvGraphicFramePr>
        <xdr:cNvPr id="8" name="Graf 10"/>
        <xdr:cNvGraphicFramePr/>
      </xdr:nvGraphicFramePr>
      <xdr:xfrm>
        <a:off x="74415240" y="17581680"/>
        <a:ext cx="10427040" cy="656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83</xdr:col>
      <xdr:colOff>61560</xdr:colOff>
      <xdr:row>150</xdr:row>
      <xdr:rowOff>12600</xdr:rowOff>
    </xdr:from>
    <xdr:to>
      <xdr:col>97</xdr:col>
      <xdr:colOff>39240</xdr:colOff>
      <xdr:row>186</xdr:row>
      <xdr:rowOff>90360</xdr:rowOff>
    </xdr:to>
    <xdr:graphicFrame>
      <xdr:nvGraphicFramePr>
        <xdr:cNvPr id="9" name="Graf 11"/>
        <xdr:cNvGraphicFramePr/>
      </xdr:nvGraphicFramePr>
      <xdr:xfrm>
        <a:off x="74439000" y="24301440"/>
        <a:ext cx="10403280" cy="590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83</xdr:col>
      <xdr:colOff>78120</xdr:colOff>
      <xdr:row>187</xdr:row>
      <xdr:rowOff>137880</xdr:rowOff>
    </xdr:from>
    <xdr:to>
      <xdr:col>97</xdr:col>
      <xdr:colOff>49680</xdr:colOff>
      <xdr:row>227</xdr:row>
      <xdr:rowOff>360</xdr:rowOff>
    </xdr:to>
    <xdr:graphicFrame>
      <xdr:nvGraphicFramePr>
        <xdr:cNvPr id="10" name="Graf 12"/>
        <xdr:cNvGraphicFramePr/>
      </xdr:nvGraphicFramePr>
      <xdr:xfrm>
        <a:off x="74455560" y="30417840"/>
        <a:ext cx="10397160" cy="633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83</xdr:col>
      <xdr:colOff>51120</xdr:colOff>
      <xdr:row>227</xdr:row>
      <xdr:rowOff>138960</xdr:rowOff>
    </xdr:from>
    <xdr:to>
      <xdr:col>97</xdr:col>
      <xdr:colOff>63000</xdr:colOff>
      <xdr:row>271</xdr:row>
      <xdr:rowOff>144720</xdr:rowOff>
    </xdr:to>
    <xdr:graphicFrame>
      <xdr:nvGraphicFramePr>
        <xdr:cNvPr id="11" name="Graf 13"/>
        <xdr:cNvGraphicFramePr/>
      </xdr:nvGraphicFramePr>
      <xdr:xfrm>
        <a:off x="74428560" y="36896040"/>
        <a:ext cx="10437480" cy="713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96</xdr:col>
      <xdr:colOff>831960</xdr:colOff>
      <xdr:row>37</xdr:row>
      <xdr:rowOff>64440</xdr:rowOff>
    </xdr:from>
    <xdr:to>
      <xdr:col>113</xdr:col>
      <xdr:colOff>583920</xdr:colOff>
      <xdr:row>79</xdr:row>
      <xdr:rowOff>70560</xdr:rowOff>
    </xdr:to>
    <xdr:graphicFrame>
      <xdr:nvGraphicFramePr>
        <xdr:cNvPr id="12" name="Graf 14"/>
        <xdr:cNvGraphicFramePr/>
      </xdr:nvGraphicFramePr>
      <xdr:xfrm>
        <a:off x="84769920" y="6055560"/>
        <a:ext cx="11529360" cy="680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96</xdr:col>
      <xdr:colOff>783720</xdr:colOff>
      <xdr:row>79</xdr:row>
      <xdr:rowOff>144360</xdr:rowOff>
    </xdr:from>
    <xdr:to>
      <xdr:col>113</xdr:col>
      <xdr:colOff>574560</xdr:colOff>
      <xdr:row>119</xdr:row>
      <xdr:rowOff>137520</xdr:rowOff>
    </xdr:to>
    <xdr:graphicFrame>
      <xdr:nvGraphicFramePr>
        <xdr:cNvPr id="13" name="Graf 15"/>
        <xdr:cNvGraphicFramePr/>
      </xdr:nvGraphicFramePr>
      <xdr:xfrm>
        <a:off x="84721680" y="12936600"/>
        <a:ext cx="11568240" cy="64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96</xdr:col>
      <xdr:colOff>792000</xdr:colOff>
      <xdr:row>121</xdr:row>
      <xdr:rowOff>9000</xdr:rowOff>
    </xdr:from>
    <xdr:to>
      <xdr:col>113</xdr:col>
      <xdr:colOff>592920</xdr:colOff>
      <xdr:row>159</xdr:row>
      <xdr:rowOff>107640</xdr:rowOff>
    </xdr:to>
    <xdr:graphicFrame>
      <xdr:nvGraphicFramePr>
        <xdr:cNvPr id="14" name="Graf 16"/>
        <xdr:cNvGraphicFramePr/>
      </xdr:nvGraphicFramePr>
      <xdr:xfrm>
        <a:off x="84729960" y="19602000"/>
        <a:ext cx="11578320" cy="625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96</xdr:col>
      <xdr:colOff>808200</xdr:colOff>
      <xdr:row>161</xdr:row>
      <xdr:rowOff>2160</xdr:rowOff>
    </xdr:from>
    <xdr:to>
      <xdr:col>113</xdr:col>
      <xdr:colOff>592920</xdr:colOff>
      <xdr:row>199</xdr:row>
      <xdr:rowOff>75240</xdr:rowOff>
    </xdr:to>
    <xdr:graphicFrame>
      <xdr:nvGraphicFramePr>
        <xdr:cNvPr id="15" name="Graf 17"/>
        <xdr:cNvGraphicFramePr/>
      </xdr:nvGraphicFramePr>
      <xdr:xfrm>
        <a:off x="84746160" y="26071920"/>
        <a:ext cx="11562120" cy="622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96</xdr:col>
      <xdr:colOff>831960</xdr:colOff>
      <xdr:row>200</xdr:row>
      <xdr:rowOff>69840</xdr:rowOff>
    </xdr:from>
    <xdr:to>
      <xdr:col>113</xdr:col>
      <xdr:colOff>592920</xdr:colOff>
      <xdr:row>231</xdr:row>
      <xdr:rowOff>45720</xdr:rowOff>
    </xdr:to>
    <xdr:graphicFrame>
      <xdr:nvGraphicFramePr>
        <xdr:cNvPr id="16" name="Graf 18"/>
        <xdr:cNvGraphicFramePr/>
      </xdr:nvGraphicFramePr>
      <xdr:xfrm>
        <a:off x="84769920" y="32454720"/>
        <a:ext cx="11538360" cy="499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96</xdr:col>
      <xdr:colOff>833400</xdr:colOff>
      <xdr:row>231</xdr:row>
      <xdr:rowOff>135720</xdr:rowOff>
    </xdr:from>
    <xdr:to>
      <xdr:col>113</xdr:col>
      <xdr:colOff>574560</xdr:colOff>
      <xdr:row>271</xdr:row>
      <xdr:rowOff>117720</xdr:rowOff>
    </xdr:to>
    <xdr:graphicFrame>
      <xdr:nvGraphicFramePr>
        <xdr:cNvPr id="17" name="Graf 19"/>
        <xdr:cNvGraphicFramePr/>
      </xdr:nvGraphicFramePr>
      <xdr:xfrm>
        <a:off x="84771360" y="37540440"/>
        <a:ext cx="11518560" cy="645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98</xdr:col>
      <xdr:colOff>299880</xdr:colOff>
      <xdr:row>5</xdr:row>
      <xdr:rowOff>123840</xdr:rowOff>
    </xdr:from>
    <xdr:to>
      <xdr:col>111</xdr:col>
      <xdr:colOff>406800</xdr:colOff>
      <xdr:row>36</xdr:row>
      <xdr:rowOff>30600</xdr:rowOff>
    </xdr:to>
    <xdr:graphicFrame>
      <xdr:nvGraphicFramePr>
        <xdr:cNvPr id="18" name="Graf 20"/>
        <xdr:cNvGraphicFramePr/>
      </xdr:nvGraphicFramePr>
      <xdr:xfrm>
        <a:off x="85816080" y="933480"/>
        <a:ext cx="9013320" cy="492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111</xdr:col>
      <xdr:colOff>375840</xdr:colOff>
      <xdr:row>5</xdr:row>
      <xdr:rowOff>151560</xdr:rowOff>
    </xdr:from>
    <xdr:to>
      <xdr:col>125</xdr:col>
      <xdr:colOff>268920</xdr:colOff>
      <xdr:row>36</xdr:row>
      <xdr:rowOff>116640</xdr:rowOff>
    </xdr:to>
    <xdr:graphicFrame>
      <xdr:nvGraphicFramePr>
        <xdr:cNvPr id="19" name="Graf 21"/>
        <xdr:cNvGraphicFramePr/>
      </xdr:nvGraphicFramePr>
      <xdr:xfrm>
        <a:off x="94798440" y="961200"/>
        <a:ext cx="9160920" cy="498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68</xdr:col>
      <xdr:colOff>276480</xdr:colOff>
      <xdr:row>94</xdr:row>
      <xdr:rowOff>78840</xdr:rowOff>
    </xdr:from>
    <xdr:to>
      <xdr:col>83</xdr:col>
      <xdr:colOff>67320</xdr:colOff>
      <xdr:row>146</xdr:row>
      <xdr:rowOff>100080</xdr:rowOff>
    </xdr:to>
    <xdr:graphicFrame>
      <xdr:nvGraphicFramePr>
        <xdr:cNvPr id="20" name="Graf 22"/>
        <xdr:cNvGraphicFramePr/>
      </xdr:nvGraphicFramePr>
      <xdr:xfrm>
        <a:off x="61063200" y="15299640"/>
        <a:ext cx="13381560" cy="844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155</xdr:col>
      <xdr:colOff>5040</xdr:colOff>
      <xdr:row>74</xdr:row>
      <xdr:rowOff>68400</xdr:rowOff>
    </xdr:from>
    <xdr:to>
      <xdr:col>170</xdr:col>
      <xdr:colOff>521280</xdr:colOff>
      <xdr:row>105</xdr:row>
      <xdr:rowOff>30960</xdr:rowOff>
    </xdr:to>
    <xdr:graphicFrame>
      <xdr:nvGraphicFramePr>
        <xdr:cNvPr id="21" name="Graf 23"/>
        <xdr:cNvGraphicFramePr/>
      </xdr:nvGraphicFramePr>
      <xdr:xfrm>
        <a:off x="123088320" y="12051000"/>
        <a:ext cx="10288440" cy="498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170</xdr:col>
      <xdr:colOff>597600</xdr:colOff>
      <xdr:row>74</xdr:row>
      <xdr:rowOff>87120</xdr:rowOff>
    </xdr:from>
    <xdr:to>
      <xdr:col>185</xdr:col>
      <xdr:colOff>586800</xdr:colOff>
      <xdr:row>104</xdr:row>
      <xdr:rowOff>154080</xdr:rowOff>
    </xdr:to>
    <xdr:graphicFrame>
      <xdr:nvGraphicFramePr>
        <xdr:cNvPr id="22" name="Graf 24"/>
        <xdr:cNvGraphicFramePr/>
      </xdr:nvGraphicFramePr>
      <xdr:xfrm>
        <a:off x="133453080" y="12069720"/>
        <a:ext cx="9685440" cy="492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185</xdr:col>
      <xdr:colOff>574920</xdr:colOff>
      <xdr:row>74</xdr:row>
      <xdr:rowOff>91800</xdr:rowOff>
    </xdr:from>
    <xdr:to>
      <xdr:col>201</xdr:col>
      <xdr:colOff>558720</xdr:colOff>
      <xdr:row>105</xdr:row>
      <xdr:rowOff>6120</xdr:rowOff>
    </xdr:to>
    <xdr:graphicFrame>
      <xdr:nvGraphicFramePr>
        <xdr:cNvPr id="23" name="Graf 25"/>
        <xdr:cNvGraphicFramePr/>
      </xdr:nvGraphicFramePr>
      <xdr:xfrm>
        <a:off x="143126640" y="12074400"/>
        <a:ext cx="10326600" cy="493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201</xdr:col>
      <xdr:colOff>583200</xdr:colOff>
      <xdr:row>74</xdr:row>
      <xdr:rowOff>106560</xdr:rowOff>
    </xdr:from>
    <xdr:to>
      <xdr:col>217</xdr:col>
      <xdr:colOff>520560</xdr:colOff>
      <xdr:row>104</xdr:row>
      <xdr:rowOff>155160</xdr:rowOff>
    </xdr:to>
    <xdr:graphicFrame>
      <xdr:nvGraphicFramePr>
        <xdr:cNvPr id="24" name="Graf 26"/>
        <xdr:cNvGraphicFramePr/>
      </xdr:nvGraphicFramePr>
      <xdr:xfrm>
        <a:off x="153477720" y="12089160"/>
        <a:ext cx="10280520" cy="490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155</xdr:col>
      <xdr:colOff>10080</xdr:colOff>
      <xdr:row>106</xdr:row>
      <xdr:rowOff>23040</xdr:rowOff>
    </xdr:from>
    <xdr:to>
      <xdr:col>171</xdr:col>
      <xdr:colOff>9000</xdr:colOff>
      <xdr:row>136</xdr:row>
      <xdr:rowOff>15480</xdr:rowOff>
    </xdr:to>
    <xdr:graphicFrame>
      <xdr:nvGraphicFramePr>
        <xdr:cNvPr id="25" name="Graf 27"/>
        <xdr:cNvGraphicFramePr/>
      </xdr:nvGraphicFramePr>
      <xdr:xfrm>
        <a:off x="123093360" y="17187120"/>
        <a:ext cx="10417320" cy="485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170</xdr:col>
      <xdr:colOff>569160</xdr:colOff>
      <xdr:row>106</xdr:row>
      <xdr:rowOff>16200</xdr:rowOff>
    </xdr:from>
    <xdr:to>
      <xdr:col>185</xdr:col>
      <xdr:colOff>546480</xdr:colOff>
      <xdr:row>136</xdr:row>
      <xdr:rowOff>75240</xdr:rowOff>
    </xdr:to>
    <xdr:graphicFrame>
      <xdr:nvGraphicFramePr>
        <xdr:cNvPr id="26" name="Graf 28"/>
        <xdr:cNvGraphicFramePr/>
      </xdr:nvGraphicFramePr>
      <xdr:xfrm>
        <a:off x="133424640" y="17180280"/>
        <a:ext cx="9673560" cy="491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185</xdr:col>
      <xdr:colOff>524880</xdr:colOff>
      <xdr:row>105</xdr:row>
      <xdr:rowOff>130680</xdr:rowOff>
    </xdr:from>
    <xdr:to>
      <xdr:col>201</xdr:col>
      <xdr:colOff>528120</xdr:colOff>
      <xdr:row>136</xdr:row>
      <xdr:rowOff>45360</xdr:rowOff>
    </xdr:to>
    <xdr:graphicFrame>
      <xdr:nvGraphicFramePr>
        <xdr:cNvPr id="27" name="Graf 29"/>
        <xdr:cNvGraphicFramePr/>
      </xdr:nvGraphicFramePr>
      <xdr:xfrm>
        <a:off x="143076600" y="17132760"/>
        <a:ext cx="10346040" cy="493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201</xdr:col>
      <xdr:colOff>543240</xdr:colOff>
      <xdr:row>106</xdr:row>
      <xdr:rowOff>26640</xdr:rowOff>
    </xdr:from>
    <xdr:to>
      <xdr:col>217</xdr:col>
      <xdr:colOff>532440</xdr:colOff>
      <xdr:row>135</xdr:row>
      <xdr:rowOff>141120</xdr:rowOff>
    </xdr:to>
    <xdr:graphicFrame>
      <xdr:nvGraphicFramePr>
        <xdr:cNvPr id="28" name="Graf 30"/>
        <xdr:cNvGraphicFramePr/>
      </xdr:nvGraphicFramePr>
      <xdr:xfrm>
        <a:off x="153437760" y="17190720"/>
        <a:ext cx="10332360" cy="481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154</xdr:col>
      <xdr:colOff>615240</xdr:colOff>
      <xdr:row>136</xdr:row>
      <xdr:rowOff>102600</xdr:rowOff>
    </xdr:from>
    <xdr:to>
      <xdr:col>171</xdr:col>
      <xdr:colOff>25920</xdr:colOff>
      <xdr:row>166</xdr:row>
      <xdr:rowOff>158400</xdr:rowOff>
    </xdr:to>
    <xdr:graphicFrame>
      <xdr:nvGraphicFramePr>
        <xdr:cNvPr id="29" name="Graf 31"/>
        <xdr:cNvGraphicFramePr/>
      </xdr:nvGraphicFramePr>
      <xdr:xfrm>
        <a:off x="123051960" y="22124520"/>
        <a:ext cx="10475640" cy="491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170</xdr:col>
      <xdr:colOff>573840</xdr:colOff>
      <xdr:row>137</xdr:row>
      <xdr:rowOff>27000</xdr:rowOff>
    </xdr:from>
    <xdr:to>
      <xdr:col>186</xdr:col>
      <xdr:colOff>74520</xdr:colOff>
      <xdr:row>167</xdr:row>
      <xdr:rowOff>40680</xdr:rowOff>
    </xdr:to>
    <xdr:graphicFrame>
      <xdr:nvGraphicFramePr>
        <xdr:cNvPr id="30" name="Graf 32"/>
        <xdr:cNvGraphicFramePr/>
      </xdr:nvGraphicFramePr>
      <xdr:xfrm>
        <a:off x="133429320" y="22210560"/>
        <a:ext cx="9843480" cy="487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186</xdr:col>
      <xdr:colOff>33840</xdr:colOff>
      <xdr:row>137</xdr:row>
      <xdr:rowOff>-720</xdr:rowOff>
    </xdr:from>
    <xdr:to>
      <xdr:col>201</xdr:col>
      <xdr:colOff>592200</xdr:colOff>
      <xdr:row>167</xdr:row>
      <xdr:rowOff>53640</xdr:rowOff>
    </xdr:to>
    <xdr:graphicFrame>
      <xdr:nvGraphicFramePr>
        <xdr:cNvPr id="31" name="Graf 33"/>
        <xdr:cNvGraphicFramePr/>
      </xdr:nvGraphicFramePr>
      <xdr:xfrm>
        <a:off x="143232120" y="22182840"/>
        <a:ext cx="10254600" cy="491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201</xdr:col>
      <xdr:colOff>615600</xdr:colOff>
      <xdr:row>136</xdr:row>
      <xdr:rowOff>131400</xdr:rowOff>
    </xdr:from>
    <xdr:to>
      <xdr:col>217</xdr:col>
      <xdr:colOff>450000</xdr:colOff>
      <xdr:row>167</xdr:row>
      <xdr:rowOff>14760</xdr:rowOff>
    </xdr:to>
    <xdr:graphicFrame>
      <xdr:nvGraphicFramePr>
        <xdr:cNvPr id="32" name="Graf 34"/>
        <xdr:cNvGraphicFramePr/>
      </xdr:nvGraphicFramePr>
      <xdr:xfrm>
        <a:off x="153510120" y="22153320"/>
        <a:ext cx="10177560" cy="490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217</xdr:col>
      <xdr:colOff>486000</xdr:colOff>
      <xdr:row>74</xdr:row>
      <xdr:rowOff>84600</xdr:rowOff>
    </xdr:from>
    <xdr:to>
      <xdr:col>231</xdr:col>
      <xdr:colOff>302040</xdr:colOff>
      <xdr:row>103</xdr:row>
      <xdr:rowOff>17280</xdr:rowOff>
    </xdr:to>
    <xdr:graphicFrame>
      <xdr:nvGraphicFramePr>
        <xdr:cNvPr id="33" name="Graf 35"/>
        <xdr:cNvGraphicFramePr/>
      </xdr:nvGraphicFramePr>
      <xdr:xfrm>
        <a:off x="163723680" y="12067200"/>
        <a:ext cx="8866080" cy="462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217</xdr:col>
      <xdr:colOff>511920</xdr:colOff>
      <xdr:row>103</xdr:row>
      <xdr:rowOff>143640</xdr:rowOff>
    </xdr:from>
    <xdr:to>
      <xdr:col>231</xdr:col>
      <xdr:colOff>367920</xdr:colOff>
      <xdr:row>132</xdr:row>
      <xdr:rowOff>76680</xdr:rowOff>
    </xdr:to>
    <xdr:graphicFrame>
      <xdr:nvGraphicFramePr>
        <xdr:cNvPr id="34" name="Graf 36"/>
        <xdr:cNvGraphicFramePr/>
      </xdr:nvGraphicFramePr>
      <xdr:xfrm>
        <a:off x="163749600" y="16822080"/>
        <a:ext cx="8906040" cy="462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217</xdr:col>
      <xdr:colOff>419760</xdr:colOff>
      <xdr:row>133</xdr:row>
      <xdr:rowOff>0</xdr:rowOff>
    </xdr:from>
    <xdr:to>
      <xdr:col>231</xdr:col>
      <xdr:colOff>313920</xdr:colOff>
      <xdr:row>161</xdr:row>
      <xdr:rowOff>99000</xdr:rowOff>
    </xdr:to>
    <xdr:graphicFrame>
      <xdr:nvGraphicFramePr>
        <xdr:cNvPr id="35" name="Graf 37"/>
        <xdr:cNvGraphicFramePr/>
      </xdr:nvGraphicFramePr>
      <xdr:xfrm>
        <a:off x="163657440" y="21535920"/>
        <a:ext cx="8944200" cy="463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217</xdr:col>
      <xdr:colOff>490680</xdr:colOff>
      <xdr:row>162</xdr:row>
      <xdr:rowOff>24120</xdr:rowOff>
    </xdr:from>
    <xdr:to>
      <xdr:col>231</xdr:col>
      <xdr:colOff>384840</xdr:colOff>
      <xdr:row>190</xdr:row>
      <xdr:rowOff>123120</xdr:rowOff>
    </xdr:to>
    <xdr:graphicFrame>
      <xdr:nvGraphicFramePr>
        <xdr:cNvPr id="36" name="Graf 38"/>
        <xdr:cNvGraphicFramePr/>
      </xdr:nvGraphicFramePr>
      <xdr:xfrm>
        <a:off x="163728360" y="26255880"/>
        <a:ext cx="8944200" cy="463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115</xdr:col>
      <xdr:colOff>10080</xdr:colOff>
      <xdr:row>38</xdr:row>
      <xdr:rowOff>18000</xdr:rowOff>
    </xdr:from>
    <xdr:to>
      <xdr:col>131</xdr:col>
      <xdr:colOff>101520</xdr:colOff>
      <xdr:row>72</xdr:row>
      <xdr:rowOff>57960</xdr:rowOff>
    </xdr:to>
    <xdr:graphicFrame>
      <xdr:nvGraphicFramePr>
        <xdr:cNvPr id="37" name="Graf 39"/>
        <xdr:cNvGraphicFramePr/>
      </xdr:nvGraphicFramePr>
      <xdr:xfrm>
        <a:off x="97131960" y="6171120"/>
        <a:ext cx="10538640" cy="554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131</xdr:col>
      <xdr:colOff>31320</xdr:colOff>
      <xdr:row>38</xdr:row>
      <xdr:rowOff>83520</xdr:rowOff>
    </xdr:from>
    <xdr:to>
      <xdr:col>147</xdr:col>
      <xdr:colOff>500400</xdr:colOff>
      <xdr:row>71</xdr:row>
      <xdr:rowOff>160200</xdr:rowOff>
    </xdr:to>
    <xdr:graphicFrame>
      <xdr:nvGraphicFramePr>
        <xdr:cNvPr id="38" name="Graf 40"/>
        <xdr:cNvGraphicFramePr/>
      </xdr:nvGraphicFramePr>
      <xdr:xfrm>
        <a:off x="107600400" y="6236640"/>
        <a:ext cx="10811880" cy="542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115</xdr:col>
      <xdr:colOff>0</xdr:colOff>
      <xdr:row>72</xdr:row>
      <xdr:rowOff>159840</xdr:rowOff>
    </xdr:from>
    <xdr:to>
      <xdr:col>131</xdr:col>
      <xdr:colOff>84960</xdr:colOff>
      <xdr:row>103</xdr:row>
      <xdr:rowOff>36720</xdr:rowOff>
    </xdr:to>
    <xdr:graphicFrame>
      <xdr:nvGraphicFramePr>
        <xdr:cNvPr id="39" name="Graf 41"/>
        <xdr:cNvGraphicFramePr/>
      </xdr:nvGraphicFramePr>
      <xdr:xfrm>
        <a:off x="97121880" y="11818440"/>
        <a:ext cx="10532160" cy="489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115</xdr:col>
      <xdr:colOff>0</xdr:colOff>
      <xdr:row>104</xdr:row>
      <xdr:rowOff>17640</xdr:rowOff>
    </xdr:from>
    <xdr:to>
      <xdr:col>130</xdr:col>
      <xdr:colOff>529200</xdr:colOff>
      <xdr:row>134</xdr:row>
      <xdr:rowOff>123120</xdr:rowOff>
    </xdr:to>
    <xdr:graphicFrame>
      <xdr:nvGraphicFramePr>
        <xdr:cNvPr id="40" name="Graf 42"/>
        <xdr:cNvGraphicFramePr/>
      </xdr:nvGraphicFramePr>
      <xdr:xfrm>
        <a:off x="97121880" y="16857720"/>
        <a:ext cx="10329840" cy="496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115</xdr:col>
      <xdr:colOff>9000</xdr:colOff>
      <xdr:row>135</xdr:row>
      <xdr:rowOff>116640</xdr:rowOff>
    </xdr:from>
    <xdr:to>
      <xdr:col>130</xdr:col>
      <xdr:colOff>428400</xdr:colOff>
      <xdr:row>168</xdr:row>
      <xdr:rowOff>88560</xdr:rowOff>
    </xdr:to>
    <xdr:graphicFrame>
      <xdr:nvGraphicFramePr>
        <xdr:cNvPr id="41" name="Graf 43"/>
        <xdr:cNvGraphicFramePr/>
      </xdr:nvGraphicFramePr>
      <xdr:xfrm>
        <a:off x="97130880" y="21976560"/>
        <a:ext cx="10220040" cy="531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115</xdr:col>
      <xdr:colOff>9000</xdr:colOff>
      <xdr:row>169</xdr:row>
      <xdr:rowOff>65880</xdr:rowOff>
    </xdr:from>
    <xdr:to>
      <xdr:col>130</xdr:col>
      <xdr:colOff>639360</xdr:colOff>
      <xdr:row>202</xdr:row>
      <xdr:rowOff>41400</xdr:rowOff>
    </xdr:to>
    <xdr:graphicFrame>
      <xdr:nvGraphicFramePr>
        <xdr:cNvPr id="42" name="Graf 44"/>
        <xdr:cNvGraphicFramePr/>
      </xdr:nvGraphicFramePr>
      <xdr:xfrm>
        <a:off x="97130880" y="27431280"/>
        <a:ext cx="10431000" cy="531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115</xdr:col>
      <xdr:colOff>9000</xdr:colOff>
      <xdr:row>202</xdr:row>
      <xdr:rowOff>144360</xdr:rowOff>
    </xdr:from>
    <xdr:to>
      <xdr:col>130</xdr:col>
      <xdr:colOff>366840</xdr:colOff>
      <xdr:row>235</xdr:row>
      <xdr:rowOff>61920</xdr:rowOff>
    </xdr:to>
    <xdr:graphicFrame>
      <xdr:nvGraphicFramePr>
        <xdr:cNvPr id="43" name="Graf 45"/>
        <xdr:cNvGraphicFramePr/>
      </xdr:nvGraphicFramePr>
      <xdr:xfrm>
        <a:off x="97130880" y="32853240"/>
        <a:ext cx="10158480" cy="526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131</xdr:col>
      <xdr:colOff>12600</xdr:colOff>
      <xdr:row>72</xdr:row>
      <xdr:rowOff>62280</xdr:rowOff>
    </xdr:from>
    <xdr:to>
      <xdr:col>147</xdr:col>
      <xdr:colOff>517680</xdr:colOff>
      <xdr:row>103</xdr:row>
      <xdr:rowOff>84600</xdr:rowOff>
    </xdr:to>
    <xdr:graphicFrame>
      <xdr:nvGraphicFramePr>
        <xdr:cNvPr id="44" name="Graf 46"/>
        <xdr:cNvGraphicFramePr/>
      </xdr:nvGraphicFramePr>
      <xdr:xfrm>
        <a:off x="107581680" y="11720880"/>
        <a:ext cx="10847880" cy="50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130</xdr:col>
      <xdr:colOff>500040</xdr:colOff>
      <xdr:row>104</xdr:row>
      <xdr:rowOff>53280</xdr:rowOff>
    </xdr:from>
    <xdr:to>
      <xdr:col>147</xdr:col>
      <xdr:colOff>490680</xdr:colOff>
      <xdr:row>135</xdr:row>
      <xdr:rowOff>105840</xdr:rowOff>
    </xdr:to>
    <xdr:graphicFrame>
      <xdr:nvGraphicFramePr>
        <xdr:cNvPr id="45" name="Graf 47"/>
        <xdr:cNvGraphicFramePr/>
      </xdr:nvGraphicFramePr>
      <xdr:xfrm>
        <a:off x="107422560" y="16893360"/>
        <a:ext cx="10980000" cy="507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130</xdr:col>
      <xdr:colOff>423000</xdr:colOff>
      <xdr:row>136</xdr:row>
      <xdr:rowOff>54360</xdr:rowOff>
    </xdr:from>
    <xdr:to>
      <xdr:col>147</xdr:col>
      <xdr:colOff>482400</xdr:colOff>
      <xdr:row>168</xdr:row>
      <xdr:rowOff>71280</xdr:rowOff>
    </xdr:to>
    <xdr:graphicFrame>
      <xdr:nvGraphicFramePr>
        <xdr:cNvPr id="46" name="Graf 48"/>
        <xdr:cNvGraphicFramePr/>
      </xdr:nvGraphicFramePr>
      <xdr:xfrm>
        <a:off x="107345520" y="22076280"/>
        <a:ext cx="11048760" cy="519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130</xdr:col>
      <xdr:colOff>583200</xdr:colOff>
      <xdr:row>169</xdr:row>
      <xdr:rowOff>77760</xdr:rowOff>
    </xdr:from>
    <xdr:to>
      <xdr:col>147</xdr:col>
      <xdr:colOff>598680</xdr:colOff>
      <xdr:row>201</xdr:row>
      <xdr:rowOff>54000</xdr:rowOff>
    </xdr:to>
    <xdr:graphicFrame>
      <xdr:nvGraphicFramePr>
        <xdr:cNvPr id="47" name="Graf 49"/>
        <xdr:cNvGraphicFramePr/>
      </xdr:nvGraphicFramePr>
      <xdr:xfrm>
        <a:off x="107505720" y="27443160"/>
        <a:ext cx="11004840" cy="515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130</xdr:col>
      <xdr:colOff>192960</xdr:colOff>
      <xdr:row>202</xdr:row>
      <xdr:rowOff>36000</xdr:rowOff>
    </xdr:from>
    <xdr:to>
      <xdr:col>147</xdr:col>
      <xdr:colOff>640800</xdr:colOff>
      <xdr:row>234</xdr:row>
      <xdr:rowOff>154080</xdr:rowOff>
    </xdr:to>
    <xdr:graphicFrame>
      <xdr:nvGraphicFramePr>
        <xdr:cNvPr id="48" name="Graf 50"/>
        <xdr:cNvGraphicFramePr/>
      </xdr:nvGraphicFramePr>
      <xdr:xfrm>
        <a:off x="107115480" y="32744880"/>
        <a:ext cx="11437200" cy="529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221</xdr:col>
      <xdr:colOff>618120</xdr:colOff>
      <xdr:row>38</xdr:row>
      <xdr:rowOff>75600</xdr:rowOff>
    </xdr:from>
    <xdr:to>
      <xdr:col>237</xdr:col>
      <xdr:colOff>515160</xdr:colOff>
      <xdr:row>73</xdr:row>
      <xdr:rowOff>14400</xdr:rowOff>
    </xdr:to>
    <xdr:graphicFrame>
      <xdr:nvGraphicFramePr>
        <xdr:cNvPr id="49" name="Graf 51"/>
        <xdr:cNvGraphicFramePr/>
      </xdr:nvGraphicFramePr>
      <xdr:xfrm>
        <a:off x="166441320" y="6228720"/>
        <a:ext cx="10239840" cy="560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35</xdr:col>
      <xdr:colOff>2880</xdr:colOff>
      <xdr:row>63</xdr:row>
      <xdr:rowOff>9360</xdr:rowOff>
    </xdr:from>
    <xdr:to>
      <xdr:col>52</xdr:col>
      <xdr:colOff>794880</xdr:colOff>
      <xdr:row>117</xdr:row>
      <xdr:rowOff>13680</xdr:rowOff>
    </xdr:to>
    <xdr:graphicFrame>
      <xdr:nvGraphicFramePr>
        <xdr:cNvPr id="50" name="shape 2"/>
        <xdr:cNvGraphicFramePr/>
      </xdr:nvGraphicFramePr>
      <xdr:xfrm>
        <a:off x="29977920" y="10210680"/>
        <a:ext cx="16434720" cy="874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53</xdr:col>
      <xdr:colOff>27720</xdr:colOff>
      <xdr:row>147</xdr:row>
      <xdr:rowOff>91440</xdr:rowOff>
    </xdr:from>
    <xdr:to>
      <xdr:col>68</xdr:col>
      <xdr:colOff>333720</xdr:colOff>
      <xdr:row>196</xdr:row>
      <xdr:rowOff>54720</xdr:rowOff>
    </xdr:to>
    <xdr:graphicFrame>
      <xdr:nvGraphicFramePr>
        <xdr:cNvPr id="51" name="Graf 52"/>
        <xdr:cNvGraphicFramePr/>
      </xdr:nvGraphicFramePr>
      <xdr:xfrm>
        <a:off x="46491480" y="23894280"/>
        <a:ext cx="14628960" cy="789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126</xdr:col>
      <xdr:colOff>185400</xdr:colOff>
      <xdr:row>1</xdr:row>
      <xdr:rowOff>46080</xdr:rowOff>
    </xdr:from>
    <xdr:to>
      <xdr:col>146</xdr:col>
      <xdr:colOff>15480</xdr:colOff>
      <xdr:row>37</xdr:row>
      <xdr:rowOff>28440</xdr:rowOff>
    </xdr:to>
    <xdr:graphicFrame>
      <xdr:nvGraphicFramePr>
        <xdr:cNvPr id="52" name="Graf 53"/>
        <xdr:cNvGraphicFramePr/>
      </xdr:nvGraphicFramePr>
      <xdr:xfrm>
        <a:off x="104522400" y="208080"/>
        <a:ext cx="12758400" cy="581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35</xdr:col>
      <xdr:colOff>6840</xdr:colOff>
      <xdr:row>374</xdr:row>
      <xdr:rowOff>19080</xdr:rowOff>
    </xdr:from>
    <xdr:to>
      <xdr:col>52</xdr:col>
      <xdr:colOff>141840</xdr:colOff>
      <xdr:row>427</xdr:row>
      <xdr:rowOff>5040</xdr:rowOff>
    </xdr:to>
    <xdr:graphicFrame>
      <xdr:nvGraphicFramePr>
        <xdr:cNvPr id="53" name="Graf 54"/>
        <xdr:cNvGraphicFramePr/>
      </xdr:nvGraphicFramePr>
      <xdr:xfrm>
        <a:off x="29981880" y="60579000"/>
        <a:ext cx="15777720" cy="856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35</xdr:col>
      <xdr:colOff>72360</xdr:colOff>
      <xdr:row>428</xdr:row>
      <xdr:rowOff>72000</xdr:rowOff>
    </xdr:from>
    <xdr:to>
      <xdr:col>52</xdr:col>
      <xdr:colOff>74520</xdr:colOff>
      <xdr:row>481</xdr:row>
      <xdr:rowOff>30240</xdr:rowOff>
    </xdr:to>
    <xdr:graphicFrame>
      <xdr:nvGraphicFramePr>
        <xdr:cNvPr id="54" name="Graf 55"/>
        <xdr:cNvGraphicFramePr/>
      </xdr:nvGraphicFramePr>
      <xdr:xfrm>
        <a:off x="30047400" y="69375960"/>
        <a:ext cx="15644880" cy="854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iv Office 2013–2022">
  <a:themeElements>
    <a:clrScheme name="Office 2013 –⁠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X741"/>
  <sheetViews>
    <sheetView showFormulas="false" showGridLines="true" showRowColHeaders="true" showZeros="true" rightToLeft="false" tabSelected="true" showOutlineSymbols="true" defaultGridColor="true" view="normal" topLeftCell="BW1" colorId="64" zoomScale="65" zoomScaleNormal="65" zoomScalePageLayoutView="100" workbookViewId="0">
      <selection pane="topLeft" activeCell="CJ29" activeCellId="0" sqref="CJ29"/>
    </sheetView>
  </sheetViews>
  <sheetFormatPr defaultColWidth="9.171875" defaultRowHeight="12.75" customHeight="true" zeroHeight="false" outlineLevelRow="0" outlineLevelCol="0"/>
  <cols>
    <col collapsed="false" customWidth="true" hidden="false" outlineLevel="0" max="1" min="1" style="1" width="12.95"/>
    <col collapsed="false" customWidth="true" hidden="false" outlineLevel="0" max="4" min="2" style="1" width="12.14"/>
    <col collapsed="false" customWidth="true" hidden="false" outlineLevel="0" max="34" min="5" style="2" width="12.14"/>
    <col collapsed="false" customWidth="true" hidden="false" outlineLevel="0" max="35" min="35" style="1" width="11.86"/>
    <col collapsed="false" customWidth="true" hidden="false" outlineLevel="0" max="36" min="36" style="1" width="13.35"/>
    <col collapsed="false" customWidth="true" hidden="false" outlineLevel="0" max="37" min="37" style="1" width="14.56"/>
    <col collapsed="false" customWidth="true" hidden="false" outlineLevel="0" max="38" min="38" style="1" width="15.51"/>
    <col collapsed="false" customWidth="true" hidden="false" outlineLevel="0" max="39" min="39" style="1" width="15.37"/>
    <col collapsed="false" customWidth="true" hidden="false" outlineLevel="0" max="40" min="40" style="1" width="13.35"/>
    <col collapsed="false" customWidth="true" hidden="false" outlineLevel="0" max="41" min="41" style="1" width="14.69"/>
    <col collapsed="false" customWidth="true" hidden="false" outlineLevel="0" max="42" min="42" style="1" width="13.88"/>
    <col collapsed="false" customWidth="true" hidden="false" outlineLevel="0" max="43" min="43" style="1" width="11.32"/>
    <col collapsed="false" customWidth="true" hidden="false" outlineLevel="0" max="44" min="44" style="1" width="12.54"/>
    <col collapsed="false" customWidth="true" hidden="false" outlineLevel="0" max="45" min="45" style="1" width="12.41"/>
    <col collapsed="false" customWidth="true" hidden="false" outlineLevel="0" max="52" min="46" style="1" width="12.14"/>
    <col collapsed="false" customWidth="true" hidden="false" outlineLevel="0" max="54" min="53" style="1" width="12"/>
    <col collapsed="false" customWidth="true" hidden="false" outlineLevel="0" max="57" min="55" style="1" width="12.14"/>
    <col collapsed="false" customWidth="true" hidden="false" outlineLevel="0" max="58" min="58" style="1" width="14.03"/>
    <col collapsed="false" customWidth="true" hidden="false" outlineLevel="0" max="59" min="59" style="1" width="15.51"/>
    <col collapsed="false" customWidth="true" hidden="false" outlineLevel="0" max="60" min="60" style="1" width="14.03"/>
    <col collapsed="false" customWidth="true" hidden="false" outlineLevel="0" max="61" min="61" style="1" width="14.42"/>
    <col collapsed="false" customWidth="true" hidden="false" outlineLevel="0" max="62" min="62" style="1" width="13.62"/>
    <col collapsed="false" customWidth="true" hidden="false" outlineLevel="0" max="63" min="63" style="1" width="14.15"/>
    <col collapsed="false" customWidth="true" hidden="false" outlineLevel="0" max="64" min="64" style="1" width="16.99"/>
    <col collapsed="false" customWidth="true" hidden="false" outlineLevel="0" max="65" min="65" style="1" width="13.08"/>
    <col collapsed="false" customWidth="true" hidden="false" outlineLevel="0" max="66" min="66" style="1" width="14.98"/>
    <col collapsed="false" customWidth="true" hidden="false" outlineLevel="0" max="68" min="67" style="1" width="12"/>
    <col collapsed="false" customWidth="true" hidden="false" outlineLevel="0" max="69" min="69" style="1" width="12.14"/>
    <col collapsed="false" customWidth="true" hidden="false" outlineLevel="0" max="70" min="70" style="1" width="12.27"/>
    <col collapsed="false" customWidth="true" hidden="false" outlineLevel="0" max="71" min="71" style="1" width="16.72"/>
    <col collapsed="false" customWidth="true" hidden="false" outlineLevel="0" max="72" min="72" style="1" width="17.26"/>
    <col collapsed="false" customWidth="true" hidden="false" outlineLevel="0" max="73" min="73" style="1" width="12.81"/>
    <col collapsed="false" customWidth="true" hidden="false" outlineLevel="0" max="74" min="74" style="1" width="12"/>
    <col collapsed="false" customWidth="true" hidden="false" outlineLevel="0" max="77" min="75" style="1" width="12.14"/>
    <col collapsed="false" customWidth="true" hidden="false" outlineLevel="0" max="79" min="78" style="1" width="12"/>
    <col collapsed="false" customWidth="true" hidden="false" outlineLevel="0" max="81" min="80" style="1" width="12.14"/>
    <col collapsed="false" customWidth="true" hidden="false" outlineLevel="0" max="82" min="82" style="1" width="12.81"/>
    <col collapsed="false" customWidth="true" hidden="false" outlineLevel="0" max="83" min="83" style="1" width="12.14"/>
    <col collapsed="false" customWidth="true" hidden="false" outlineLevel="0" max="84" min="84" style="1" width="14.03"/>
    <col collapsed="false" customWidth="true" hidden="false" outlineLevel="0" max="85" min="85" style="1" width="9.7"/>
    <col collapsed="false" customWidth="true" hidden="false" outlineLevel="0" max="87" min="86" style="1" width="10.65"/>
    <col collapsed="false" customWidth="true" hidden="false" outlineLevel="0" max="88" min="88" style="1" width="8.63"/>
    <col collapsed="false" customWidth="false" hidden="false" outlineLevel="0" max="91" min="89" style="1" width="9.17"/>
    <col collapsed="false" customWidth="true" hidden="false" outlineLevel="0" max="92" min="92" style="1" width="8.76"/>
    <col collapsed="false" customWidth="true" hidden="false" outlineLevel="0" max="93" min="93" style="1" width="10.65"/>
    <col collapsed="false" customWidth="true" hidden="false" outlineLevel="0" max="94" min="94" style="1" width="12.27"/>
    <col collapsed="false" customWidth="true" hidden="false" outlineLevel="0" max="95" min="95" style="1" width="10.65"/>
    <col collapsed="false" customWidth="true" hidden="false" outlineLevel="0" max="96" min="96" style="1" width="12.14"/>
    <col collapsed="false" customWidth="true" hidden="false" outlineLevel="0" max="97" min="97" style="1" width="12.27"/>
    <col collapsed="false" customWidth="true" hidden="false" outlineLevel="0" max="98" min="98" style="1" width="10.12"/>
    <col collapsed="false" customWidth="true" hidden="false" outlineLevel="0" max="99" min="99" style="1" width="9.31"/>
    <col collapsed="false" customWidth="false" hidden="false" outlineLevel="0" max="100" min="100" style="1" width="9.17"/>
    <col collapsed="false" customWidth="true" hidden="false" outlineLevel="0" max="101" min="101" style="1" width="9.97"/>
    <col collapsed="false" customWidth="true" hidden="false" outlineLevel="0" max="102" min="102" style="1" width="9.04"/>
    <col collapsed="false" customWidth="true" hidden="false" outlineLevel="0" max="103" min="103" style="1" width="9.58"/>
    <col collapsed="false" customWidth="true" hidden="false" outlineLevel="0" max="104" min="104" style="1" width="15.1"/>
    <col collapsed="false" customWidth="false" hidden="false" outlineLevel="0" max="113" min="105" style="1" width="9.17"/>
    <col collapsed="false" customWidth="true" hidden="false" outlineLevel="0" max="114" min="114" style="1" width="8.9"/>
    <col collapsed="false" customWidth="true" hidden="false" outlineLevel="0" max="115" min="115" style="1" width="11.05"/>
    <col collapsed="false" customWidth="true" hidden="false" outlineLevel="0" max="116" min="116" style="1" width="10.65"/>
    <col collapsed="false" customWidth="false" hidden="false" outlineLevel="0" max="165" min="117" style="1" width="9.17"/>
    <col collapsed="false" customWidth="true" hidden="false" outlineLevel="0" max="166" min="166" style="1" width="10.25"/>
    <col collapsed="false" customWidth="false" hidden="false" outlineLevel="0" max="16384" min="167" style="1" width="9.17"/>
  </cols>
  <sheetData>
    <row r="1" customFormat="false" ht="12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J1" s="4" t="s">
        <v>1</v>
      </c>
      <c r="AK1" s="4"/>
      <c r="AL1" s="4"/>
      <c r="AM1" s="4"/>
      <c r="AN1" s="4"/>
      <c r="AO1" s="4"/>
      <c r="AQ1" s="5" t="s">
        <v>2</v>
      </c>
      <c r="AR1" s="5"/>
      <c r="AS1" s="5"/>
      <c r="AT1" s="5"/>
      <c r="AU1" s="5"/>
      <c r="AV1" s="5"/>
      <c r="BM1" s="6"/>
      <c r="BN1" s="6"/>
      <c r="BO1" s="6"/>
      <c r="BP1" s="6"/>
      <c r="BR1" s="6"/>
      <c r="BS1" s="6"/>
      <c r="BT1" s="6"/>
      <c r="BU1" s="6"/>
      <c r="BV1" s="6"/>
      <c r="BW1" s="6"/>
    </row>
    <row r="2" customFormat="false" ht="12.7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J2" s="4"/>
      <c r="AK2" s="4"/>
      <c r="AL2" s="4"/>
      <c r="AM2" s="4"/>
      <c r="AN2" s="4"/>
      <c r="AO2" s="4"/>
      <c r="AQ2" s="5"/>
      <c r="AR2" s="5"/>
      <c r="AS2" s="5"/>
      <c r="AT2" s="5"/>
      <c r="AU2" s="5"/>
      <c r="AV2" s="5"/>
      <c r="BM2" s="6"/>
      <c r="BN2" s="6"/>
      <c r="BO2" s="6"/>
      <c r="BP2" s="6"/>
      <c r="BR2" s="6"/>
      <c r="BS2" s="6"/>
      <c r="BT2" s="6"/>
      <c r="BU2" s="6"/>
      <c r="BV2" s="6"/>
      <c r="BW2" s="6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J3" s="7" t="s">
        <v>3</v>
      </c>
      <c r="AK3" s="8" t="s">
        <v>4</v>
      </c>
      <c r="AL3" s="8"/>
      <c r="AM3" s="8"/>
      <c r="AQ3" s="9" t="s">
        <v>5</v>
      </c>
      <c r="AR3" s="9"/>
      <c r="AS3" s="9"/>
      <c r="AT3" s="9"/>
      <c r="AU3" s="9"/>
      <c r="AV3" s="9"/>
      <c r="BM3" s="6"/>
      <c r="BN3" s="6"/>
      <c r="BO3" s="6"/>
      <c r="BP3" s="6"/>
      <c r="BR3" s="6"/>
      <c r="BS3" s="6"/>
      <c r="BT3" s="6"/>
      <c r="BU3" s="6"/>
      <c r="BV3" s="6"/>
      <c r="BW3" s="6"/>
      <c r="DM3" s="6"/>
      <c r="DN3" s="6"/>
      <c r="DO3" s="6"/>
      <c r="DP3" s="6"/>
      <c r="DQ3" s="6"/>
      <c r="DR3" s="6"/>
    </row>
    <row r="4" customFormat="false" ht="12.75" hidden="false" customHeight="true" outlineLevel="0" collapsed="false">
      <c r="A4" s="10" t="s">
        <v>6</v>
      </c>
      <c r="B4" s="11" t="s">
        <v>7</v>
      </c>
      <c r="C4" s="12" t="s">
        <v>8</v>
      </c>
      <c r="D4" s="13" t="s">
        <v>9</v>
      </c>
      <c r="E4" s="14" t="n">
        <v>1999</v>
      </c>
      <c r="F4" s="14" t="n">
        <v>2000</v>
      </c>
      <c r="G4" s="14" t="n">
        <v>2001</v>
      </c>
      <c r="H4" s="14" t="n">
        <v>2002</v>
      </c>
      <c r="I4" s="14" t="n">
        <v>2003</v>
      </c>
      <c r="J4" s="14" t="n">
        <v>2004</v>
      </c>
      <c r="K4" s="14" t="n">
        <v>2005</v>
      </c>
      <c r="L4" s="14" t="n">
        <v>2006</v>
      </c>
      <c r="M4" s="14" t="n">
        <v>2007</v>
      </c>
      <c r="N4" s="14" t="n">
        <v>2008</v>
      </c>
      <c r="O4" s="14" t="n">
        <v>2009</v>
      </c>
      <c r="P4" s="14" t="n">
        <v>2010</v>
      </c>
      <c r="Q4" s="14" t="n">
        <v>2011</v>
      </c>
      <c r="R4" s="14" t="n">
        <v>2012</v>
      </c>
      <c r="S4" s="14" t="n">
        <v>2013</v>
      </c>
      <c r="T4" s="14" t="n">
        <v>2014</v>
      </c>
      <c r="U4" s="14" t="n">
        <v>2015</v>
      </c>
      <c r="V4" s="14" t="n">
        <v>2016</v>
      </c>
      <c r="W4" s="14" t="n">
        <v>2017</v>
      </c>
      <c r="X4" s="14" t="n">
        <v>2018</v>
      </c>
      <c r="Y4" s="14" t="n">
        <v>2019</v>
      </c>
      <c r="Z4" s="14" t="n">
        <v>2020</v>
      </c>
      <c r="AA4" s="14" t="n">
        <v>2021</v>
      </c>
      <c r="AB4" s="14" t="n">
        <v>2022</v>
      </c>
      <c r="AC4" s="14" t="n">
        <v>2023</v>
      </c>
      <c r="AD4" s="14" t="n">
        <v>2024</v>
      </c>
      <c r="AE4" s="14" t="n">
        <v>2025</v>
      </c>
      <c r="AF4" s="14" t="n">
        <v>2026</v>
      </c>
      <c r="AG4" s="14" t="n">
        <v>2027</v>
      </c>
      <c r="AH4" s="14" t="n">
        <v>2028</v>
      </c>
      <c r="AJ4" s="7"/>
      <c r="AK4" s="15" t="s">
        <v>10</v>
      </c>
      <c r="AL4" s="15"/>
      <c r="AM4" s="15"/>
      <c r="AQ4" s="9"/>
      <c r="AR4" s="9"/>
      <c r="AS4" s="9"/>
      <c r="AT4" s="9"/>
      <c r="AU4" s="9"/>
      <c r="AV4" s="9"/>
      <c r="BM4" s="6"/>
      <c r="BN4" s="6"/>
      <c r="BO4" s="6"/>
      <c r="BP4" s="6"/>
      <c r="BR4" s="6"/>
      <c r="BS4" s="6"/>
      <c r="BT4" s="6"/>
      <c r="BU4" s="6"/>
      <c r="BV4" s="6"/>
      <c r="BW4" s="6"/>
      <c r="DM4" s="6"/>
      <c r="DN4" s="6"/>
      <c r="DO4" s="6"/>
      <c r="DP4" s="6"/>
      <c r="DQ4" s="6"/>
      <c r="DR4" s="6"/>
    </row>
    <row r="5" customFormat="false" ht="12.75" hidden="false" customHeight="false" outlineLevel="0" collapsed="false">
      <c r="A5" s="16" t="s">
        <v>11</v>
      </c>
      <c r="B5" s="17" t="n">
        <f aca="false">AVERAGE(E5:AE5)</f>
        <v>0</v>
      </c>
      <c r="C5" s="2" t="n">
        <f aca="false">MIN(E5:AE5)</f>
        <v>0</v>
      </c>
      <c r="D5" s="18" t="n">
        <f aca="false">MAX(E5:AE5)</f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0</v>
      </c>
      <c r="S5" s="19" t="n">
        <v>0</v>
      </c>
      <c r="T5" s="19" t="n">
        <v>0</v>
      </c>
      <c r="U5" s="19" t="n">
        <v>0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0</v>
      </c>
      <c r="AC5" s="19" t="n">
        <v>0</v>
      </c>
      <c r="AD5" s="19" t="n">
        <v>0</v>
      </c>
      <c r="AE5" s="19" t="n">
        <v>0</v>
      </c>
      <c r="AF5" s="19" t="n">
        <v>0</v>
      </c>
      <c r="AG5" s="19"/>
      <c r="AH5" s="19"/>
      <c r="AJ5" s="7"/>
      <c r="AK5" s="20" t="s">
        <v>12</v>
      </c>
      <c r="AL5" s="20"/>
      <c r="AM5" s="20"/>
      <c r="BM5" s="6"/>
      <c r="BN5" s="6"/>
      <c r="BO5" s="6"/>
      <c r="BP5" s="6"/>
      <c r="BR5" s="6"/>
      <c r="BS5" s="6"/>
      <c r="BT5" s="6"/>
      <c r="BU5" s="6"/>
      <c r="BV5" s="6"/>
      <c r="BW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DM5" s="6"/>
      <c r="DN5" s="6"/>
      <c r="DO5" s="6"/>
      <c r="DP5" s="6"/>
      <c r="DQ5" s="6"/>
      <c r="DR5" s="6"/>
    </row>
    <row r="6" customFormat="false" ht="12.75" hidden="false" customHeight="false" outlineLevel="0" collapsed="false">
      <c r="A6" s="16" t="s">
        <v>13</v>
      </c>
      <c r="B6" s="17" t="n">
        <f aca="false">AVERAGE(E6:AE6)</f>
        <v>0</v>
      </c>
      <c r="C6" s="2" t="n">
        <f aca="false">MIN(E6:AE6)</f>
        <v>0</v>
      </c>
      <c r="D6" s="18" t="n">
        <f aca="false">MAX(E6:AE6)</f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0</v>
      </c>
      <c r="AC6" s="19" t="n">
        <v>0</v>
      </c>
      <c r="AD6" s="19" t="n">
        <v>0</v>
      </c>
      <c r="AE6" s="19" t="n">
        <v>0</v>
      </c>
      <c r="AF6" s="19" t="n">
        <v>0</v>
      </c>
      <c r="AG6" s="19"/>
      <c r="AH6" s="19"/>
      <c r="AJ6" s="21" t="s">
        <v>14</v>
      </c>
      <c r="AK6" s="21"/>
      <c r="AL6" s="21"/>
      <c r="AM6" s="21"/>
      <c r="AN6" s="21"/>
      <c r="BM6" s="6"/>
      <c r="BN6" s="6"/>
      <c r="BO6" s="6"/>
      <c r="BP6" s="6"/>
      <c r="BR6" s="6"/>
      <c r="BS6" s="6"/>
      <c r="BT6" s="6"/>
      <c r="BU6" s="6"/>
      <c r="BV6" s="6"/>
      <c r="BW6" s="6"/>
      <c r="DM6" s="6"/>
      <c r="DN6" s="6"/>
      <c r="DO6" s="6"/>
      <c r="DP6" s="6"/>
      <c r="DQ6" s="6"/>
      <c r="DR6" s="6"/>
    </row>
    <row r="7" customFormat="false" ht="12.75" hidden="false" customHeight="false" outlineLevel="0" collapsed="false">
      <c r="A7" s="16" t="s">
        <v>15</v>
      </c>
      <c r="B7" s="17" t="n">
        <f aca="false">AVERAGE(E7:AE7)</f>
        <v>0.037037037037037</v>
      </c>
      <c r="C7" s="2" t="n">
        <f aca="false">MIN(E7:AE7)</f>
        <v>0</v>
      </c>
      <c r="D7" s="18" t="n">
        <f aca="false">MAX(E7:AE7)</f>
        <v>1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1</v>
      </c>
      <c r="Y7" s="19" t="n">
        <v>0</v>
      </c>
      <c r="Z7" s="19" t="n">
        <v>0</v>
      </c>
      <c r="AA7" s="19" t="n">
        <v>0</v>
      </c>
      <c r="AB7" s="22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/>
      <c r="AH7" s="19"/>
      <c r="BD7" s="6"/>
      <c r="BE7" s="6"/>
      <c r="BF7" s="6"/>
      <c r="BG7" s="6"/>
      <c r="BH7" s="23" t="s">
        <v>16</v>
      </c>
      <c r="BI7" s="24" t="s">
        <v>17</v>
      </c>
      <c r="BJ7" s="25" t="s">
        <v>18</v>
      </c>
      <c r="BK7" s="26" t="s">
        <v>19</v>
      </c>
      <c r="BL7" s="27" t="s">
        <v>20</v>
      </c>
      <c r="BP7" s="2"/>
      <c r="BR7" s="6"/>
      <c r="BS7" s="6"/>
      <c r="BT7" s="6"/>
      <c r="BU7" s="6"/>
      <c r="BV7" s="6"/>
      <c r="BW7" s="6"/>
      <c r="CB7" s="28" t="s">
        <v>21</v>
      </c>
      <c r="CC7" s="28"/>
      <c r="CD7" s="28"/>
      <c r="CE7" s="28"/>
      <c r="CF7" s="28"/>
      <c r="CG7" s="29"/>
      <c r="CH7" s="14" t="s">
        <v>22</v>
      </c>
      <c r="CI7" s="14" t="s">
        <v>23</v>
      </c>
      <c r="CJ7" s="14" t="s">
        <v>24</v>
      </c>
      <c r="CK7" s="14" t="s">
        <v>25</v>
      </c>
      <c r="CL7" s="14" t="s">
        <v>26</v>
      </c>
      <c r="CM7" s="14" t="s">
        <v>27</v>
      </c>
      <c r="CN7" s="14" t="s">
        <v>28</v>
      </c>
      <c r="CO7" s="14" t="s">
        <v>29</v>
      </c>
      <c r="CP7" s="14" t="s">
        <v>30</v>
      </c>
      <c r="CQ7" s="14" t="s">
        <v>31</v>
      </c>
      <c r="CR7" s="14" t="s">
        <v>32</v>
      </c>
      <c r="CS7" s="14" t="s">
        <v>33</v>
      </c>
      <c r="CT7" s="2" t="s">
        <v>34</v>
      </c>
      <c r="DM7" s="6"/>
      <c r="DN7" s="6"/>
      <c r="DO7" s="6"/>
      <c r="DP7" s="6"/>
      <c r="DQ7" s="6"/>
      <c r="DR7" s="6"/>
    </row>
    <row r="8" customFormat="false" ht="12.75" hidden="false" customHeight="false" outlineLevel="0" collapsed="false">
      <c r="A8" s="16" t="s">
        <v>35</v>
      </c>
      <c r="B8" s="17" t="n">
        <f aca="false">AVERAGE(E8:AE8)</f>
        <v>0.0740740740740741</v>
      </c>
      <c r="C8" s="2" t="n">
        <f aca="false">MIN(E8:AE8)</f>
        <v>0</v>
      </c>
      <c r="D8" s="18" t="n">
        <f aca="false">MAX(E8:AE8)</f>
        <v>1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30" t="n">
        <v>1</v>
      </c>
      <c r="X8" s="19" t="n">
        <v>1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/>
      <c r="AH8" s="19"/>
      <c r="AJ8" s="31"/>
      <c r="AK8" s="31"/>
      <c r="AL8" s="31"/>
      <c r="AM8" s="31"/>
      <c r="AN8" s="31"/>
      <c r="AO8" s="31"/>
      <c r="AP8" s="31"/>
      <c r="AQ8" s="31"/>
      <c r="AR8" s="31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CG8" s="32" t="n">
        <v>1999</v>
      </c>
      <c r="CH8" s="19" t="n">
        <v>0</v>
      </c>
      <c r="CI8" s="19" t="n">
        <v>0</v>
      </c>
      <c r="CJ8" s="19" t="n">
        <v>0</v>
      </c>
      <c r="CK8" s="19" t="n">
        <v>1</v>
      </c>
      <c r="CL8" s="19" t="n">
        <v>6</v>
      </c>
      <c r="CM8" s="19" t="n">
        <v>4</v>
      </c>
      <c r="CN8" s="19" t="n">
        <v>5</v>
      </c>
      <c r="CO8" s="19" t="n">
        <v>1</v>
      </c>
      <c r="CP8" s="19" t="n">
        <v>3</v>
      </c>
      <c r="CQ8" s="19" t="n">
        <v>0</v>
      </c>
      <c r="CR8" s="19" t="n">
        <v>0</v>
      </c>
      <c r="CS8" s="19" t="n">
        <v>0</v>
      </c>
      <c r="CT8" s="2" t="n">
        <f aca="false">SUM(CH8:CS8)</f>
        <v>20</v>
      </c>
      <c r="DM8" s="6"/>
      <c r="DN8" s="6"/>
      <c r="DO8" s="6"/>
      <c r="DP8" s="6"/>
      <c r="DQ8" s="6"/>
      <c r="DR8" s="6"/>
    </row>
    <row r="9" customFormat="false" ht="12.75" hidden="false" customHeight="false" outlineLevel="0" collapsed="false">
      <c r="A9" s="16" t="s">
        <v>36</v>
      </c>
      <c r="B9" s="17" t="n">
        <f aca="false">AVERAGE(E9:AE9)</f>
        <v>0.111111111111111</v>
      </c>
      <c r="C9" s="2" t="n">
        <f aca="false">MIN(E9:AE9)</f>
        <v>0</v>
      </c>
      <c r="D9" s="18" t="n">
        <f aca="false">MAX(E9:AE9)</f>
        <v>1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30" t="n">
        <v>1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1</v>
      </c>
      <c r="X9" s="19" t="n">
        <v>1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/>
      <c r="AH9" s="19"/>
      <c r="AJ9" s="31"/>
      <c r="AK9" s="31"/>
      <c r="AL9" s="31"/>
      <c r="AM9" s="31"/>
      <c r="AN9" s="31"/>
      <c r="AO9" s="31"/>
      <c r="AP9" s="31"/>
      <c r="AQ9" s="31"/>
      <c r="AR9" s="31"/>
      <c r="BD9" s="23" t="s">
        <v>37</v>
      </c>
      <c r="BE9" s="33"/>
      <c r="BF9" s="33"/>
      <c r="BG9" s="10" t="s">
        <v>38</v>
      </c>
      <c r="BH9" s="34"/>
      <c r="BI9" s="24" t="s">
        <v>17</v>
      </c>
      <c r="BJ9" s="35" t="s">
        <v>39</v>
      </c>
      <c r="BK9" s="36" t="s">
        <v>40</v>
      </c>
      <c r="BL9" s="27" t="s">
        <v>41</v>
      </c>
      <c r="BM9" s="6"/>
      <c r="BN9" s="37" t="s">
        <v>42</v>
      </c>
      <c r="BO9" s="38"/>
      <c r="BP9" s="38"/>
      <c r="BQ9" s="6"/>
      <c r="BR9" s="37" t="s">
        <v>43</v>
      </c>
      <c r="BS9" s="39" t="s">
        <v>44</v>
      </c>
      <c r="BT9" s="39"/>
      <c r="BU9" s="40" t="s">
        <v>45</v>
      </c>
      <c r="BV9" s="40"/>
      <c r="BW9" s="40"/>
      <c r="BX9" s="40"/>
      <c r="BY9" s="41" t="n">
        <v>0</v>
      </c>
      <c r="BZ9" s="42" t="s">
        <v>46</v>
      </c>
      <c r="CA9" s="42"/>
      <c r="CB9" s="43"/>
      <c r="CC9" s="44"/>
      <c r="CD9" s="44"/>
      <c r="CG9" s="32" t="n">
        <v>2000</v>
      </c>
      <c r="CH9" s="19" t="n">
        <v>0</v>
      </c>
      <c r="CI9" s="19" t="n">
        <v>0</v>
      </c>
      <c r="CJ9" s="19" t="n">
        <v>2</v>
      </c>
      <c r="CK9" s="19" t="n">
        <v>2</v>
      </c>
      <c r="CL9" s="19" t="n">
        <v>6</v>
      </c>
      <c r="CM9" s="19" t="n">
        <v>7</v>
      </c>
      <c r="CN9" s="19" t="n">
        <v>6</v>
      </c>
      <c r="CO9" s="19" t="n">
        <v>4</v>
      </c>
      <c r="CP9" s="19" t="n">
        <v>0</v>
      </c>
      <c r="CQ9" s="19" t="n">
        <v>0</v>
      </c>
      <c r="CR9" s="19" t="n">
        <v>1</v>
      </c>
      <c r="CS9" s="19" t="n">
        <v>0</v>
      </c>
      <c r="CT9" s="2" t="n">
        <f aca="false">SUM(CH9:CS9)</f>
        <v>28</v>
      </c>
      <c r="CU9" s="6"/>
      <c r="CV9" s="6"/>
      <c r="CW9" s="6"/>
      <c r="CX9" s="6"/>
      <c r="CY9" s="6"/>
      <c r="CZ9" s="6"/>
      <c r="DA9" s="6"/>
      <c r="DE9" s="6"/>
      <c r="DF9" s="6"/>
      <c r="DG9" s="6"/>
      <c r="DH9" s="6"/>
      <c r="DI9" s="6"/>
      <c r="DJ9" s="6"/>
      <c r="DM9" s="6"/>
      <c r="DN9" s="6"/>
      <c r="DO9" s="6"/>
      <c r="DP9" s="6"/>
      <c r="DQ9" s="6"/>
      <c r="DR9" s="6"/>
    </row>
    <row r="10" customFormat="false" ht="12.75" hidden="false" customHeight="false" outlineLevel="0" collapsed="false">
      <c r="A10" s="16" t="s">
        <v>47</v>
      </c>
      <c r="B10" s="17" t="n">
        <f aca="false">AVERAGE(E10:AE10)</f>
        <v>0.111111111111111</v>
      </c>
      <c r="C10" s="2" t="n">
        <f aca="false">MIN(E10:AE10)</f>
        <v>0</v>
      </c>
      <c r="D10" s="18" t="n">
        <f aca="false">MAX(E10:AE10)</f>
        <v>1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1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1</v>
      </c>
      <c r="X10" s="19" t="n">
        <v>1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/>
      <c r="AH10" s="19"/>
      <c r="AJ10" s="31"/>
      <c r="AK10" s="31"/>
      <c r="AL10" s="31"/>
      <c r="AM10" s="31"/>
      <c r="AN10" s="31"/>
      <c r="AO10" s="31"/>
      <c r="AP10" s="31"/>
      <c r="AQ10" s="31"/>
      <c r="AR10" s="31"/>
      <c r="BE10" s="32" t="n">
        <v>1999</v>
      </c>
      <c r="BF10" s="19" t="n">
        <v>20</v>
      </c>
      <c r="BH10" s="45" t="n">
        <v>1999</v>
      </c>
      <c r="BI10" s="46" t="n">
        <v>1</v>
      </c>
      <c r="BJ10" s="46" t="n">
        <v>1</v>
      </c>
      <c r="BK10" s="46" t="n">
        <v>0</v>
      </c>
      <c r="BL10" s="46" t="n">
        <v>9</v>
      </c>
      <c r="BM10" s="6"/>
      <c r="BN10" s="6"/>
      <c r="BO10" s="47" t="n">
        <v>1999</v>
      </c>
      <c r="BP10" s="48" t="n">
        <f aca="false">BF10-BL10</f>
        <v>11</v>
      </c>
      <c r="BQ10" s="6"/>
      <c r="BR10" s="6"/>
      <c r="BS10" s="49"/>
      <c r="BT10" s="49"/>
      <c r="BU10" s="50"/>
      <c r="BV10" s="50"/>
      <c r="BW10" s="50"/>
      <c r="BX10" s="50"/>
      <c r="BY10" s="51"/>
      <c r="BZ10" s="6"/>
      <c r="CA10" s="6"/>
      <c r="CB10" s="52" t="n">
        <v>1999</v>
      </c>
      <c r="CC10" s="53" t="str">
        <f aca="false">IFERROR("1 : " &amp; TEXT(BF10/BP10, "0,00"), "")</f>
        <v>1 : 1,82</v>
      </c>
      <c r="CD10" s="54" t="n">
        <f aca="false">IFERROR(BF10/BP10, "")</f>
        <v>1.81818181818182</v>
      </c>
      <c r="CG10" s="32" t="n">
        <v>2001</v>
      </c>
      <c r="CH10" s="19" t="n">
        <v>0</v>
      </c>
      <c r="CI10" s="19" t="n">
        <v>0</v>
      </c>
      <c r="CJ10" s="19" t="n">
        <v>0</v>
      </c>
      <c r="CK10" s="19" t="n">
        <v>1</v>
      </c>
      <c r="CL10" s="19" t="n">
        <v>4</v>
      </c>
      <c r="CM10" s="19" t="n">
        <v>5</v>
      </c>
      <c r="CN10" s="19" t="n">
        <v>4</v>
      </c>
      <c r="CO10" s="19" t="n">
        <v>8</v>
      </c>
      <c r="CP10" s="19" t="n">
        <v>0</v>
      </c>
      <c r="CQ10" s="19" t="n">
        <v>0</v>
      </c>
      <c r="CR10" s="19" t="n">
        <v>0</v>
      </c>
      <c r="CS10" s="19" t="n">
        <v>0</v>
      </c>
      <c r="CT10" s="2" t="n">
        <f aca="false">SUM(CH10:CS10)</f>
        <v>22</v>
      </c>
      <c r="CU10" s="6"/>
      <c r="CV10" s="6"/>
      <c r="DE10" s="6"/>
      <c r="DF10" s="6"/>
      <c r="DG10" s="6"/>
      <c r="DH10" s="6"/>
      <c r="DI10" s="6"/>
      <c r="DJ10" s="6"/>
      <c r="DM10" s="6"/>
      <c r="DN10" s="6"/>
      <c r="DO10" s="6"/>
      <c r="DP10" s="6"/>
      <c r="DQ10" s="6"/>
      <c r="DR10" s="6"/>
    </row>
    <row r="11" customFormat="false" ht="12.75" hidden="false" customHeight="false" outlineLevel="0" collapsed="false">
      <c r="A11" s="16" t="s">
        <v>48</v>
      </c>
      <c r="B11" s="17" t="n">
        <f aca="false">AVERAGE(E11:AE11)</f>
        <v>0.111111111111111</v>
      </c>
      <c r="C11" s="2" t="n">
        <f aca="false">MIN(E11:AE11)</f>
        <v>0</v>
      </c>
      <c r="D11" s="18" t="n">
        <f aca="false">MAX(E11:AE11)</f>
        <v>1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1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1</v>
      </c>
      <c r="X11" s="19" t="n">
        <v>1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/>
      <c r="AH11" s="19"/>
      <c r="AJ11" s="31"/>
      <c r="AK11" s="31"/>
      <c r="AL11" s="31"/>
      <c r="AM11" s="31"/>
      <c r="AN11" s="31"/>
      <c r="AO11" s="31"/>
      <c r="AP11" s="31"/>
      <c r="AQ11" s="31"/>
      <c r="AR11" s="31"/>
      <c r="BE11" s="32" t="n">
        <v>2000</v>
      </c>
      <c r="BF11" s="19" t="n">
        <v>28</v>
      </c>
      <c r="BH11" s="32" t="n">
        <v>2000</v>
      </c>
      <c r="BI11" s="19" t="n">
        <v>0</v>
      </c>
      <c r="BJ11" s="19" t="n">
        <v>1</v>
      </c>
      <c r="BK11" s="19" t="n">
        <v>0</v>
      </c>
      <c r="BL11" s="19" t="n">
        <v>15</v>
      </c>
      <c r="BM11" s="6"/>
      <c r="BN11" s="6"/>
      <c r="BO11" s="47" t="n">
        <v>2000</v>
      </c>
      <c r="BP11" s="48" t="n">
        <f aca="false">BF11-BL11</f>
        <v>13</v>
      </c>
      <c r="BQ11" s="6"/>
      <c r="BR11" s="6"/>
      <c r="BS11" s="47" t="s">
        <v>49</v>
      </c>
      <c r="BT11" s="47"/>
      <c r="BU11" s="55" t="s">
        <v>50</v>
      </c>
      <c r="BV11" s="55"/>
      <c r="BW11" s="55"/>
      <c r="BX11" s="55"/>
      <c r="BY11" s="51" t="n">
        <v>-1</v>
      </c>
      <c r="BZ11" s="6"/>
      <c r="CA11" s="6"/>
      <c r="CB11" s="56" t="n">
        <v>2000</v>
      </c>
      <c r="CC11" s="53" t="str">
        <f aca="false">IFERROR("1 : " &amp; TEXT(BF11/BP11, "0,00"), "")</f>
        <v>1 : 2,15</v>
      </c>
      <c r="CD11" s="57" t="n">
        <f aca="false">IFERROR(BF11/BP11, "")</f>
        <v>2.15384615384615</v>
      </c>
      <c r="CG11" s="32" t="n">
        <v>2002</v>
      </c>
      <c r="CH11" s="19" t="n">
        <v>0</v>
      </c>
      <c r="CI11" s="19" t="n">
        <v>2</v>
      </c>
      <c r="CJ11" s="19" t="n">
        <v>0</v>
      </c>
      <c r="CK11" s="19" t="n">
        <v>1</v>
      </c>
      <c r="CL11" s="19" t="n">
        <v>5</v>
      </c>
      <c r="CM11" s="19" t="n">
        <v>4</v>
      </c>
      <c r="CN11" s="19" t="n">
        <v>7</v>
      </c>
      <c r="CO11" s="19" t="n">
        <v>6</v>
      </c>
      <c r="CP11" s="19" t="n">
        <v>5</v>
      </c>
      <c r="CQ11" s="19" t="n">
        <v>0</v>
      </c>
      <c r="CR11" s="19" t="n">
        <v>0</v>
      </c>
      <c r="CS11" s="19" t="n">
        <v>0</v>
      </c>
      <c r="CT11" s="2" t="n">
        <f aca="false">SUM(CH11:CS11)</f>
        <v>30</v>
      </c>
      <c r="CU11" s="6"/>
      <c r="CV11" s="6"/>
      <c r="DE11" s="6"/>
      <c r="DF11" s="6"/>
      <c r="DG11" s="6"/>
      <c r="DH11" s="6"/>
      <c r="DI11" s="6"/>
      <c r="DJ11" s="6"/>
      <c r="DM11" s="6"/>
      <c r="DN11" s="6"/>
      <c r="DO11" s="6"/>
      <c r="DP11" s="6"/>
      <c r="DQ11" s="6"/>
      <c r="DR11" s="6"/>
    </row>
    <row r="12" customFormat="false" ht="12.75" hidden="false" customHeight="false" outlineLevel="0" collapsed="false">
      <c r="A12" s="16" t="s">
        <v>51</v>
      </c>
      <c r="B12" s="17" t="n">
        <f aca="false">AVERAGE(E12:AE12)</f>
        <v>0.111111111111111</v>
      </c>
      <c r="C12" s="2" t="n">
        <f aca="false">MIN(E12:AE12)</f>
        <v>0</v>
      </c>
      <c r="D12" s="18" t="n">
        <f aca="false">MAX(E12:AE12)</f>
        <v>1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1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1</v>
      </c>
      <c r="X12" s="19" t="n">
        <v>1</v>
      </c>
      <c r="Y12" s="22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/>
      <c r="AH12" s="19"/>
      <c r="AJ12" s="31"/>
      <c r="AK12" s="31"/>
      <c r="AL12" s="31"/>
      <c r="AM12" s="31"/>
      <c r="AN12" s="31"/>
      <c r="AO12" s="31"/>
      <c r="AP12" s="31"/>
      <c r="AQ12" s="31"/>
      <c r="AR12" s="31"/>
      <c r="BE12" s="32" t="n">
        <v>2001</v>
      </c>
      <c r="BF12" s="19" t="n">
        <v>22</v>
      </c>
      <c r="BH12" s="32" t="n">
        <v>2001</v>
      </c>
      <c r="BI12" s="19" t="n">
        <v>2</v>
      </c>
      <c r="BJ12" s="19" t="n">
        <v>1</v>
      </c>
      <c r="BK12" s="19" t="n">
        <v>0</v>
      </c>
      <c r="BL12" s="19" t="n">
        <v>8</v>
      </c>
      <c r="BM12" s="6"/>
      <c r="BN12" s="6"/>
      <c r="BO12" s="47" t="n">
        <v>2001</v>
      </c>
      <c r="BP12" s="48" t="n">
        <f aca="false">BF12-BL12</f>
        <v>14</v>
      </c>
      <c r="BQ12" s="6"/>
      <c r="BR12" s="6"/>
      <c r="BS12" s="47" t="s">
        <v>52</v>
      </c>
      <c r="BT12" s="47"/>
      <c r="BU12" s="55" t="s">
        <v>53</v>
      </c>
      <c r="BV12" s="55"/>
      <c r="BW12" s="55"/>
      <c r="BX12" s="55"/>
      <c r="BY12" s="51" t="n">
        <v>-2</v>
      </c>
      <c r="BZ12" s="6"/>
      <c r="CA12" s="6"/>
      <c r="CB12" s="56" t="n">
        <v>2001</v>
      </c>
      <c r="CC12" s="53" t="str">
        <f aca="false">IFERROR("1 : " &amp; TEXT(BF12/BP12, "0,00"), "")</f>
        <v>1 : 1,57</v>
      </c>
      <c r="CD12" s="57" t="n">
        <f aca="false">IFERROR(BF12/BP12, "")</f>
        <v>1.57142857142857</v>
      </c>
      <c r="CG12" s="32" t="n">
        <v>2003</v>
      </c>
      <c r="CH12" s="19" t="n">
        <v>0</v>
      </c>
      <c r="CI12" s="19" t="n">
        <v>0</v>
      </c>
      <c r="CJ12" s="19" t="n">
        <v>0</v>
      </c>
      <c r="CK12" s="19" t="n">
        <v>1</v>
      </c>
      <c r="CL12" s="19" t="n">
        <v>7</v>
      </c>
      <c r="CM12" s="19" t="n">
        <v>7</v>
      </c>
      <c r="CN12" s="19" t="n">
        <v>10</v>
      </c>
      <c r="CO12" s="19" t="n">
        <v>4</v>
      </c>
      <c r="CP12" s="19" t="n">
        <v>0</v>
      </c>
      <c r="CQ12" s="19" t="n">
        <v>0</v>
      </c>
      <c r="CR12" s="19" t="n">
        <v>0</v>
      </c>
      <c r="CS12" s="19" t="n">
        <v>1</v>
      </c>
      <c r="CT12" s="2" t="n">
        <f aca="false">SUM(CH12:CS12)</f>
        <v>30</v>
      </c>
      <c r="CU12" s="6"/>
      <c r="CV12" s="6"/>
      <c r="DE12" s="6"/>
      <c r="DF12" s="6"/>
      <c r="DG12" s="6"/>
      <c r="DH12" s="6"/>
      <c r="DI12" s="6"/>
      <c r="DJ12" s="6"/>
      <c r="DM12" s="6"/>
      <c r="DN12" s="6"/>
      <c r="DO12" s="6"/>
      <c r="DP12" s="6"/>
      <c r="DQ12" s="6"/>
      <c r="DR12" s="6"/>
    </row>
    <row r="13" customFormat="false" ht="12.75" hidden="false" customHeight="false" outlineLevel="0" collapsed="false">
      <c r="A13" s="16" t="s">
        <v>54</v>
      </c>
      <c r="B13" s="17" t="n">
        <f aca="false">AVERAGE(E13:AE13)</f>
        <v>0.111111111111111</v>
      </c>
      <c r="C13" s="2" t="n">
        <f aca="false">MIN(E13:AE13)</f>
        <v>0</v>
      </c>
      <c r="D13" s="18" t="n">
        <f aca="false">MAX(E13:AE13)</f>
        <v>1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0</v>
      </c>
      <c r="R13" s="19" t="n">
        <v>1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1</v>
      </c>
      <c r="X13" s="19" t="n">
        <v>1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/>
      <c r="AH13" s="19"/>
      <c r="AJ13" s="31"/>
      <c r="AK13" s="31"/>
      <c r="AL13" s="31"/>
      <c r="AM13" s="31"/>
      <c r="AN13" s="31"/>
      <c r="AO13" s="31"/>
      <c r="AP13" s="31"/>
      <c r="AQ13" s="31"/>
      <c r="AR13" s="31"/>
      <c r="BE13" s="32" t="n">
        <v>2002</v>
      </c>
      <c r="BF13" s="19" t="n">
        <v>30</v>
      </c>
      <c r="BH13" s="32" t="n">
        <v>2002</v>
      </c>
      <c r="BI13" s="19" t="n">
        <v>2</v>
      </c>
      <c r="BJ13" s="19" t="n">
        <v>3</v>
      </c>
      <c r="BK13" s="19" t="n">
        <v>0</v>
      </c>
      <c r="BL13" s="19" t="n">
        <v>9</v>
      </c>
      <c r="BM13" s="6"/>
      <c r="BN13" s="6"/>
      <c r="BO13" s="47" t="n">
        <v>2002</v>
      </c>
      <c r="BP13" s="48" t="n">
        <f aca="false">BF13-BL13</f>
        <v>21</v>
      </c>
      <c r="BQ13" s="6"/>
      <c r="BR13" s="6"/>
      <c r="BS13" s="47" t="s">
        <v>55</v>
      </c>
      <c r="BT13" s="47"/>
      <c r="BU13" s="55" t="s">
        <v>56</v>
      </c>
      <c r="BV13" s="55"/>
      <c r="BW13" s="55"/>
      <c r="BX13" s="55"/>
      <c r="BY13" s="51" t="n">
        <v>-3</v>
      </c>
      <c r="BZ13" s="6"/>
      <c r="CA13" s="6"/>
      <c r="CB13" s="56" t="n">
        <v>2002</v>
      </c>
      <c r="CC13" s="53" t="str">
        <f aca="false">IFERROR("1 : " &amp; TEXT(BF13/BP13, "0,00"), "")</f>
        <v>1 : 1,43</v>
      </c>
      <c r="CD13" s="57" t="n">
        <f aca="false">IFERROR(BF13/BP13, "")</f>
        <v>1.42857142857143</v>
      </c>
      <c r="CG13" s="32" t="n">
        <v>2004</v>
      </c>
      <c r="CH13" s="19" t="n">
        <v>0</v>
      </c>
      <c r="CI13" s="19" t="n">
        <v>0</v>
      </c>
      <c r="CJ13" s="19" t="n">
        <v>0</v>
      </c>
      <c r="CK13" s="19" t="n">
        <v>3</v>
      </c>
      <c r="CL13" s="19" t="n">
        <v>8</v>
      </c>
      <c r="CM13" s="19" t="n">
        <v>5</v>
      </c>
      <c r="CN13" s="19" t="n">
        <v>9</v>
      </c>
      <c r="CO13" s="19" t="n">
        <v>8</v>
      </c>
      <c r="CP13" s="19" t="n">
        <v>0</v>
      </c>
      <c r="CQ13" s="19" t="n">
        <v>1</v>
      </c>
      <c r="CR13" s="19" t="n">
        <v>0</v>
      </c>
      <c r="CS13" s="19" t="n">
        <v>0</v>
      </c>
      <c r="CT13" s="2" t="n">
        <f aca="false">SUM(CH13:CS13)</f>
        <v>34</v>
      </c>
      <c r="CU13" s="6"/>
      <c r="CV13" s="6"/>
      <c r="DE13" s="6"/>
      <c r="DF13" s="6"/>
      <c r="DG13" s="6"/>
      <c r="DH13" s="6"/>
      <c r="DI13" s="6"/>
      <c r="DJ13" s="6"/>
      <c r="DM13" s="6"/>
      <c r="DN13" s="6"/>
      <c r="DO13" s="6"/>
      <c r="DP13" s="6"/>
      <c r="DQ13" s="6"/>
      <c r="DR13" s="6"/>
    </row>
    <row r="14" customFormat="false" ht="12.75" hidden="false" customHeight="false" outlineLevel="0" collapsed="false">
      <c r="A14" s="16" t="s">
        <v>57</v>
      </c>
      <c r="B14" s="17" t="n">
        <f aca="false">AVERAGE(E14:AE14)</f>
        <v>0.111111111111111</v>
      </c>
      <c r="C14" s="2" t="n">
        <f aca="false">MIN(E14:AE14)</f>
        <v>0</v>
      </c>
      <c r="D14" s="18" t="n">
        <f aca="false">MAX(E14:AE14)</f>
        <v>1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1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1</v>
      </c>
      <c r="X14" s="19" t="n">
        <v>1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/>
      <c r="AH14" s="19"/>
      <c r="AJ14" s="31"/>
      <c r="AK14" s="31"/>
      <c r="AL14" s="31"/>
      <c r="AM14" s="31"/>
      <c r="AN14" s="31"/>
      <c r="AO14" s="31"/>
      <c r="AP14" s="31"/>
      <c r="AQ14" s="31"/>
      <c r="AR14" s="31"/>
      <c r="BE14" s="32" t="n">
        <v>2003</v>
      </c>
      <c r="BF14" s="19" t="n">
        <v>30</v>
      </c>
      <c r="BH14" s="32" t="n">
        <v>2003</v>
      </c>
      <c r="BI14" s="19" t="n">
        <v>2</v>
      </c>
      <c r="BJ14" s="19" t="n">
        <v>5</v>
      </c>
      <c r="BK14" s="19" t="n">
        <v>0</v>
      </c>
      <c r="BL14" s="19" t="n">
        <v>11</v>
      </c>
      <c r="BM14" s="6"/>
      <c r="BN14" s="6"/>
      <c r="BO14" s="47" t="n">
        <v>2003</v>
      </c>
      <c r="BP14" s="48" t="n">
        <f aca="false">BF14-BL14</f>
        <v>19</v>
      </c>
      <c r="BQ14" s="6"/>
      <c r="BR14" s="6"/>
      <c r="BS14" s="49"/>
      <c r="BT14" s="49"/>
      <c r="BU14" s="50"/>
      <c r="BV14" s="50"/>
      <c r="BW14" s="50"/>
      <c r="BX14" s="50"/>
      <c r="BY14" s="51"/>
      <c r="BZ14" s="6"/>
      <c r="CA14" s="6"/>
      <c r="CB14" s="56" t="n">
        <v>2003</v>
      </c>
      <c r="CC14" s="53" t="str">
        <f aca="false">IFERROR("1 : " &amp; TEXT(BF14/BP14, "0,00"), "")</f>
        <v>1 : 1,58</v>
      </c>
      <c r="CD14" s="57" t="n">
        <f aca="false">IFERROR(BF14/BP14, "")</f>
        <v>1.57894736842105</v>
      </c>
      <c r="CG14" s="32" t="n">
        <v>2005</v>
      </c>
      <c r="CH14" s="19" t="n">
        <v>0</v>
      </c>
      <c r="CI14" s="19" t="n">
        <v>0</v>
      </c>
      <c r="CJ14" s="19" t="n">
        <v>0</v>
      </c>
      <c r="CK14" s="19" t="n">
        <v>2</v>
      </c>
      <c r="CL14" s="19" t="n">
        <v>6</v>
      </c>
      <c r="CM14" s="19" t="n">
        <v>5</v>
      </c>
      <c r="CN14" s="19" t="n">
        <v>9</v>
      </c>
      <c r="CO14" s="19" t="n">
        <v>4</v>
      </c>
      <c r="CP14" s="19" t="n">
        <v>1</v>
      </c>
      <c r="CQ14" s="19" t="n">
        <v>0</v>
      </c>
      <c r="CR14" s="19" t="n">
        <v>0</v>
      </c>
      <c r="CS14" s="19" t="n">
        <v>1</v>
      </c>
      <c r="CT14" s="2" t="n">
        <f aca="false">SUM(CH14:CS14)</f>
        <v>28</v>
      </c>
      <c r="CU14" s="6"/>
      <c r="CV14" s="6"/>
      <c r="DE14" s="6"/>
      <c r="DF14" s="6"/>
      <c r="DG14" s="6"/>
      <c r="DH14" s="6"/>
      <c r="DI14" s="6"/>
      <c r="DJ14" s="6"/>
      <c r="DM14" s="6"/>
      <c r="DN14" s="6"/>
      <c r="DO14" s="6"/>
      <c r="DP14" s="6"/>
      <c r="DQ14" s="6"/>
      <c r="DR14" s="6"/>
    </row>
    <row r="15" customFormat="false" ht="12.75" hidden="false" customHeight="false" outlineLevel="0" collapsed="false">
      <c r="A15" s="16" t="s">
        <v>58</v>
      </c>
      <c r="B15" s="17" t="n">
        <f aca="false">AVERAGE(E15:AE15)</f>
        <v>0.111111111111111</v>
      </c>
      <c r="C15" s="2" t="n">
        <f aca="false">MIN(E15:AE15)</f>
        <v>0</v>
      </c>
      <c r="D15" s="18" t="n">
        <f aca="false">MAX(E15:AE15)</f>
        <v>1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1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1</v>
      </c>
      <c r="X15" s="19" t="n">
        <v>1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/>
      <c r="AH15" s="19"/>
      <c r="AJ15" s="31"/>
      <c r="AK15" s="31"/>
      <c r="AL15" s="31"/>
      <c r="AM15" s="31"/>
      <c r="AN15" s="31"/>
      <c r="AO15" s="31"/>
      <c r="AP15" s="31"/>
      <c r="AQ15" s="31"/>
      <c r="AR15" s="31"/>
      <c r="BE15" s="32" t="n">
        <v>2004</v>
      </c>
      <c r="BF15" s="19" t="n">
        <v>34</v>
      </c>
      <c r="BH15" s="32" t="n">
        <v>2004</v>
      </c>
      <c r="BI15" s="19" t="n">
        <v>3</v>
      </c>
      <c r="BJ15" s="19" t="n">
        <v>0</v>
      </c>
      <c r="BK15" s="19" t="n">
        <v>0</v>
      </c>
      <c r="BL15" s="19" t="n">
        <v>15</v>
      </c>
      <c r="BM15" s="6"/>
      <c r="BN15" s="6"/>
      <c r="BO15" s="47" t="n">
        <v>2004</v>
      </c>
      <c r="BP15" s="48" t="n">
        <f aca="false">BF15-BL15</f>
        <v>19</v>
      </c>
      <c r="BQ15" s="6"/>
      <c r="BR15" s="6"/>
      <c r="BS15" s="47" t="s">
        <v>59</v>
      </c>
      <c r="BT15" s="47"/>
      <c r="BU15" s="55" t="s">
        <v>60</v>
      </c>
      <c r="BV15" s="55"/>
      <c r="BW15" s="55"/>
      <c r="BX15" s="55"/>
      <c r="BY15" s="51" t="n">
        <v>1</v>
      </c>
      <c r="CB15" s="56" t="n">
        <v>2004</v>
      </c>
      <c r="CC15" s="53" t="str">
        <f aca="false">IFERROR("1 : " &amp; TEXT(BF15/BP15, "0,00"), "")</f>
        <v>1 : 1,79</v>
      </c>
      <c r="CD15" s="57" t="n">
        <f aca="false">IFERROR(BF15/BP15, "0,00")</f>
        <v>1.78947368421053</v>
      </c>
      <c r="CG15" s="32" t="n">
        <v>2006</v>
      </c>
      <c r="CH15" s="19" t="n">
        <v>0</v>
      </c>
      <c r="CI15" s="19" t="n">
        <v>0</v>
      </c>
      <c r="CJ15" s="19" t="n">
        <v>0</v>
      </c>
      <c r="CK15" s="19" t="n">
        <v>4</v>
      </c>
      <c r="CL15" s="19" t="n">
        <v>4</v>
      </c>
      <c r="CM15" s="19" t="n">
        <v>6</v>
      </c>
      <c r="CN15" s="19" t="n">
        <v>11</v>
      </c>
      <c r="CO15" s="19" t="n">
        <v>4</v>
      </c>
      <c r="CP15" s="19" t="n">
        <v>0</v>
      </c>
      <c r="CQ15" s="19" t="n">
        <v>2</v>
      </c>
      <c r="CR15" s="19" t="n">
        <v>0</v>
      </c>
      <c r="CS15" s="19" t="n">
        <v>0</v>
      </c>
      <c r="CT15" s="2" t="n">
        <f aca="false">SUM(CH15:CS15)</f>
        <v>31</v>
      </c>
      <c r="CU15" s="6"/>
      <c r="CV15" s="6"/>
      <c r="DE15" s="6"/>
      <c r="DF15" s="6"/>
      <c r="DG15" s="6"/>
      <c r="DH15" s="6"/>
      <c r="DI15" s="6"/>
      <c r="DJ15" s="6"/>
      <c r="DM15" s="6"/>
      <c r="DN15" s="6"/>
      <c r="DO15" s="6"/>
      <c r="DP15" s="6"/>
      <c r="DQ15" s="6"/>
      <c r="DR15" s="6"/>
    </row>
    <row r="16" customFormat="false" ht="12.75" hidden="false" customHeight="false" outlineLevel="0" collapsed="false">
      <c r="A16" s="16" t="s">
        <v>61</v>
      </c>
      <c r="B16" s="17" t="n">
        <f aca="false">AVERAGE(E16:AE16)</f>
        <v>0.148148148148148</v>
      </c>
      <c r="C16" s="2" t="n">
        <f aca="false">MIN(E16:AE16)</f>
        <v>0</v>
      </c>
      <c r="D16" s="18" t="n">
        <f aca="false">MAX(E16:AE16)</f>
        <v>2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2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1</v>
      </c>
      <c r="X16" s="19" t="n">
        <v>1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/>
      <c r="AH16" s="19"/>
      <c r="AJ16" s="31"/>
      <c r="AK16" s="31"/>
      <c r="AL16" s="31"/>
      <c r="AM16" s="31"/>
      <c r="AN16" s="31"/>
      <c r="AO16" s="31"/>
      <c r="AP16" s="31"/>
      <c r="AQ16" s="31"/>
      <c r="AR16" s="31"/>
      <c r="BE16" s="32" t="n">
        <v>2005</v>
      </c>
      <c r="BF16" s="19" t="n">
        <v>28</v>
      </c>
      <c r="BH16" s="32" t="n">
        <v>2005</v>
      </c>
      <c r="BI16" s="19" t="n">
        <v>1</v>
      </c>
      <c r="BJ16" s="19" t="n">
        <v>1</v>
      </c>
      <c r="BK16" s="19" t="n">
        <v>2</v>
      </c>
      <c r="BL16" s="19" t="n">
        <v>8</v>
      </c>
      <c r="BM16" s="6"/>
      <c r="BN16" s="6"/>
      <c r="BO16" s="47" t="n">
        <v>2005</v>
      </c>
      <c r="BP16" s="48" t="n">
        <f aca="false">BF16-BL16</f>
        <v>20</v>
      </c>
      <c r="BQ16" s="6"/>
      <c r="BR16" s="6"/>
      <c r="BS16" s="47" t="s">
        <v>62</v>
      </c>
      <c r="BT16" s="47"/>
      <c r="BU16" s="55" t="s">
        <v>63</v>
      </c>
      <c r="BV16" s="55"/>
      <c r="BW16" s="55"/>
      <c r="BX16" s="55"/>
      <c r="BY16" s="51" t="n">
        <v>2</v>
      </c>
      <c r="CA16" s="2"/>
      <c r="CB16" s="56" t="n">
        <v>2005</v>
      </c>
      <c r="CC16" s="53" t="str">
        <f aca="false">IFERROR("1 : " &amp; TEXT(BF16/BP16, "0,00"), "")</f>
        <v>1 : 1,40</v>
      </c>
      <c r="CD16" s="57" t="n">
        <f aca="false">IFERROR(BF16/BP16, "")</f>
        <v>1.4</v>
      </c>
      <c r="CG16" s="32" t="n">
        <v>2007</v>
      </c>
      <c r="CH16" s="19" t="n">
        <v>1</v>
      </c>
      <c r="CI16" s="19" t="n">
        <v>1</v>
      </c>
      <c r="CJ16" s="19" t="n">
        <v>0</v>
      </c>
      <c r="CK16" s="19" t="n">
        <v>1</v>
      </c>
      <c r="CL16" s="19" t="n">
        <v>6</v>
      </c>
      <c r="CM16" s="19" t="n">
        <v>7</v>
      </c>
      <c r="CN16" s="19" t="n">
        <v>7</v>
      </c>
      <c r="CO16" s="19" t="n">
        <v>9</v>
      </c>
      <c r="CP16" s="19" t="n">
        <v>0</v>
      </c>
      <c r="CQ16" s="19" t="n">
        <v>0</v>
      </c>
      <c r="CR16" s="19" t="n">
        <v>0</v>
      </c>
      <c r="CS16" s="19" t="n">
        <v>1</v>
      </c>
      <c r="CT16" s="2" t="n">
        <f aca="false">SUM(CH16:CS16)</f>
        <v>33</v>
      </c>
      <c r="CU16" s="6"/>
      <c r="CV16" s="6"/>
      <c r="DE16" s="6"/>
      <c r="DF16" s="6"/>
      <c r="DG16" s="6"/>
      <c r="DH16" s="6"/>
      <c r="DI16" s="6"/>
      <c r="DJ16" s="6"/>
      <c r="DM16" s="6"/>
      <c r="DN16" s="6"/>
      <c r="DO16" s="6"/>
      <c r="DP16" s="6"/>
      <c r="DQ16" s="6"/>
      <c r="DR16" s="6"/>
    </row>
    <row r="17" customFormat="false" ht="12.75" hidden="false" customHeight="false" outlineLevel="0" collapsed="false">
      <c r="A17" s="16" t="s">
        <v>64</v>
      </c>
      <c r="B17" s="17" t="n">
        <f aca="false">AVERAGE(E17:AE17)</f>
        <v>0.148148148148148</v>
      </c>
      <c r="C17" s="2" t="n">
        <f aca="false">MIN(E17:AE17)</f>
        <v>0</v>
      </c>
      <c r="D17" s="18" t="n">
        <f aca="false">MAX(E17:AE17)</f>
        <v>2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22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9" t="n">
        <v>2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1</v>
      </c>
      <c r="X17" s="19" t="n">
        <v>1</v>
      </c>
      <c r="Y17" s="22" t="n">
        <v>0</v>
      </c>
      <c r="Z17" s="19" t="n">
        <v>0</v>
      </c>
      <c r="AA17" s="22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/>
      <c r="AH17" s="19"/>
      <c r="AJ17" s="31"/>
      <c r="AK17" s="31"/>
      <c r="AL17" s="31"/>
      <c r="AM17" s="31"/>
      <c r="AN17" s="31"/>
      <c r="AO17" s="31"/>
      <c r="AP17" s="31"/>
      <c r="AQ17" s="31"/>
      <c r="AR17" s="31"/>
      <c r="BE17" s="32" t="n">
        <v>2006</v>
      </c>
      <c r="BF17" s="19" t="n">
        <v>31</v>
      </c>
      <c r="BH17" s="32" t="n">
        <v>2006</v>
      </c>
      <c r="BI17" s="19" t="n">
        <v>2</v>
      </c>
      <c r="BJ17" s="19" t="n">
        <v>2</v>
      </c>
      <c r="BK17" s="19" t="n">
        <v>0</v>
      </c>
      <c r="BL17" s="19" t="n">
        <v>9</v>
      </c>
      <c r="BM17" s="6"/>
      <c r="BN17" s="6"/>
      <c r="BO17" s="47" t="n">
        <v>2006</v>
      </c>
      <c r="BP17" s="48" t="n">
        <f aca="false">BF17-BL17</f>
        <v>22</v>
      </c>
      <c r="BQ17" s="6"/>
      <c r="BR17" s="6"/>
      <c r="BS17" s="58" t="s">
        <v>65</v>
      </c>
      <c r="BT17" s="58"/>
      <c r="BU17" s="59" t="s">
        <v>66</v>
      </c>
      <c r="BV17" s="59"/>
      <c r="BW17" s="59"/>
      <c r="BX17" s="59"/>
      <c r="BY17" s="60" t="n">
        <v>3</v>
      </c>
      <c r="CA17" s="2"/>
      <c r="CB17" s="56" t="n">
        <v>2006</v>
      </c>
      <c r="CC17" s="53" t="str">
        <f aca="false">IFERROR("1 : " &amp; TEXT(BF17/BP17, "0,00"), "")</f>
        <v>1 : 1,41</v>
      </c>
      <c r="CD17" s="57" t="n">
        <f aca="false">IFERROR(BF17/BP17, "")</f>
        <v>1.40909090909091</v>
      </c>
      <c r="CG17" s="32" t="n">
        <v>2008</v>
      </c>
      <c r="CH17" s="19" t="n">
        <v>0</v>
      </c>
      <c r="CI17" s="19" t="n">
        <v>0</v>
      </c>
      <c r="CJ17" s="19" t="n">
        <v>1</v>
      </c>
      <c r="CK17" s="19" t="n">
        <v>2</v>
      </c>
      <c r="CL17" s="19" t="n">
        <v>7</v>
      </c>
      <c r="CM17" s="19" t="n">
        <v>8</v>
      </c>
      <c r="CN17" s="19" t="n">
        <v>3</v>
      </c>
      <c r="CO17" s="19" t="n">
        <v>4</v>
      </c>
      <c r="CP17" s="19" t="n">
        <v>1</v>
      </c>
      <c r="CQ17" s="19" t="n">
        <v>0</v>
      </c>
      <c r="CR17" s="19" t="n">
        <v>0</v>
      </c>
      <c r="CS17" s="19" t="n">
        <v>0</v>
      </c>
      <c r="CT17" s="2" t="n">
        <f aca="false">SUM(CH17:CS17)</f>
        <v>26</v>
      </c>
      <c r="CU17" s="6"/>
      <c r="CV17" s="6"/>
      <c r="DE17" s="6"/>
      <c r="DF17" s="6"/>
      <c r="DG17" s="6"/>
      <c r="DH17" s="6"/>
      <c r="DI17" s="6"/>
      <c r="DJ17" s="6"/>
      <c r="DM17" s="6"/>
      <c r="DN17" s="6"/>
      <c r="DO17" s="6"/>
      <c r="DP17" s="6"/>
      <c r="DQ17" s="6"/>
      <c r="DR17" s="6"/>
    </row>
    <row r="18" customFormat="false" ht="12.75" hidden="false" customHeight="false" outlineLevel="0" collapsed="false">
      <c r="A18" s="16" t="s">
        <v>67</v>
      </c>
      <c r="B18" s="17" t="n">
        <f aca="false">AVERAGE(E18:AE18)</f>
        <v>0.185185185185185</v>
      </c>
      <c r="C18" s="2" t="n">
        <f aca="false">MIN(E18:AE18)</f>
        <v>0</v>
      </c>
      <c r="D18" s="18" t="n">
        <f aca="false">MAX(E18:AE18)</f>
        <v>2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2</v>
      </c>
      <c r="S18" s="19" t="n">
        <v>0</v>
      </c>
      <c r="T18" s="19" t="n">
        <v>0</v>
      </c>
      <c r="U18" s="19" t="n">
        <v>0</v>
      </c>
      <c r="V18" s="19" t="n">
        <v>0</v>
      </c>
      <c r="W18" s="19" t="n">
        <v>1</v>
      </c>
      <c r="X18" s="19" t="n">
        <v>1</v>
      </c>
      <c r="Y18" s="30" t="n">
        <v>1</v>
      </c>
      <c r="Z18" s="19" t="n">
        <v>0</v>
      </c>
      <c r="AA18" s="19" t="n">
        <v>0</v>
      </c>
      <c r="AB18" s="19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  <c r="AG18" s="19"/>
      <c r="AH18" s="19"/>
      <c r="AJ18" s="31"/>
      <c r="AK18" s="31"/>
      <c r="AL18" s="31"/>
      <c r="AM18" s="31"/>
      <c r="AN18" s="31"/>
      <c r="AO18" s="31"/>
      <c r="AP18" s="31"/>
      <c r="AQ18" s="31"/>
      <c r="AR18" s="31"/>
      <c r="BE18" s="32" t="n">
        <v>2007</v>
      </c>
      <c r="BF18" s="19" t="n">
        <v>33</v>
      </c>
      <c r="BH18" s="32" t="n">
        <v>2007</v>
      </c>
      <c r="BI18" s="19" t="n">
        <v>3</v>
      </c>
      <c r="BJ18" s="19" t="n">
        <v>3</v>
      </c>
      <c r="BK18" s="19" t="n">
        <v>0</v>
      </c>
      <c r="BL18" s="19" t="n">
        <v>12</v>
      </c>
      <c r="BM18" s="6"/>
      <c r="BN18" s="6"/>
      <c r="BO18" s="47" t="n">
        <v>2007</v>
      </c>
      <c r="BP18" s="48" t="n">
        <f aca="false">BF18-BL18</f>
        <v>21</v>
      </c>
      <c r="BQ18" s="6"/>
      <c r="BR18" s="6"/>
      <c r="BS18" s="61" t="s">
        <v>43</v>
      </c>
      <c r="BT18" s="61"/>
      <c r="BU18" s="62" t="s">
        <v>68</v>
      </c>
      <c r="BV18" s="63" t="s">
        <v>69</v>
      </c>
      <c r="BW18" s="63"/>
      <c r="BX18" s="63"/>
      <c r="BY18" s="62" t="s">
        <v>70</v>
      </c>
      <c r="CA18" s="6"/>
      <c r="CB18" s="56" t="n">
        <v>2007</v>
      </c>
      <c r="CC18" s="53" t="str">
        <f aca="false">IFERROR("1 : " &amp; TEXT(BF18/BP18, "0,00"), "")</f>
        <v>1 : 1,57</v>
      </c>
      <c r="CD18" s="57" t="n">
        <f aca="false">IFERROR(BF18/BP18, "")</f>
        <v>1.57142857142857</v>
      </c>
      <c r="CG18" s="32" t="n">
        <v>2009</v>
      </c>
      <c r="CH18" s="19" t="n">
        <v>0</v>
      </c>
      <c r="CI18" s="19" t="n">
        <v>0</v>
      </c>
      <c r="CJ18" s="19" t="n">
        <v>1</v>
      </c>
      <c r="CK18" s="19" t="n">
        <v>1</v>
      </c>
      <c r="CL18" s="19" t="n">
        <v>7</v>
      </c>
      <c r="CM18" s="19" t="n">
        <v>7</v>
      </c>
      <c r="CN18" s="19" t="n">
        <v>8</v>
      </c>
      <c r="CO18" s="19" t="n">
        <v>5</v>
      </c>
      <c r="CP18" s="19" t="n">
        <v>0</v>
      </c>
      <c r="CQ18" s="19" t="n">
        <v>0</v>
      </c>
      <c r="CR18" s="19" t="n">
        <v>0</v>
      </c>
      <c r="CS18" s="19" t="n">
        <v>0</v>
      </c>
      <c r="CT18" s="2" t="n">
        <f aca="false">SUM(CH18:CS18)</f>
        <v>29</v>
      </c>
      <c r="CU18" s="6"/>
      <c r="CV18" s="6"/>
      <c r="DE18" s="6"/>
      <c r="DF18" s="6"/>
      <c r="DG18" s="6"/>
      <c r="DH18" s="6"/>
      <c r="DI18" s="6"/>
      <c r="DJ18" s="6"/>
      <c r="DM18" s="6"/>
      <c r="DN18" s="6"/>
      <c r="DO18" s="6"/>
      <c r="DP18" s="6"/>
      <c r="DQ18" s="6"/>
      <c r="DR18" s="6"/>
    </row>
    <row r="19" customFormat="false" ht="12.75" hidden="false" customHeight="false" outlineLevel="0" collapsed="false">
      <c r="A19" s="16" t="s">
        <v>71</v>
      </c>
      <c r="B19" s="17" t="n">
        <f aca="false">AVERAGE(E19:AE19)</f>
        <v>0.185185185185185</v>
      </c>
      <c r="C19" s="2" t="n">
        <f aca="false">MIN(E19:AE19)</f>
        <v>0</v>
      </c>
      <c r="D19" s="18" t="n">
        <f aca="false">MAX(E19:AE19)</f>
        <v>2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2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1</v>
      </c>
      <c r="X19" s="19" t="n">
        <v>1</v>
      </c>
      <c r="Y19" s="19" t="n">
        <v>1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19"/>
      <c r="AH19" s="19"/>
      <c r="AJ19" s="31"/>
      <c r="AK19" s="31"/>
      <c r="AL19" s="31"/>
      <c r="AM19" s="31"/>
      <c r="AN19" s="31"/>
      <c r="AO19" s="31"/>
      <c r="AP19" s="31"/>
      <c r="AQ19" s="31"/>
      <c r="AR19" s="31"/>
      <c r="BE19" s="32" t="n">
        <v>2008</v>
      </c>
      <c r="BF19" s="19" t="n">
        <v>26</v>
      </c>
      <c r="BH19" s="32" t="n">
        <v>2008</v>
      </c>
      <c r="BI19" s="19" t="n">
        <v>1</v>
      </c>
      <c r="BJ19" s="19" t="n">
        <v>0</v>
      </c>
      <c r="BK19" s="19" t="n">
        <v>1</v>
      </c>
      <c r="BL19" s="19" t="n">
        <v>8</v>
      </c>
      <c r="BM19" s="6"/>
      <c r="BN19" s="6"/>
      <c r="BO19" s="47" t="n">
        <v>2008</v>
      </c>
      <c r="BP19" s="48" t="n">
        <f aca="false">BF19-BL19</f>
        <v>18</v>
      </c>
      <c r="BQ19" s="6"/>
      <c r="BR19" s="6"/>
      <c r="BS19" s="64" t="s">
        <v>72</v>
      </c>
      <c r="BT19" s="64"/>
      <c r="BU19" s="48" t="n">
        <v>20</v>
      </c>
      <c r="BV19" s="65" t="s">
        <v>73</v>
      </c>
      <c r="BW19" s="65"/>
      <c r="BX19" s="65"/>
      <c r="BY19" s="51" t="n">
        <v>-3</v>
      </c>
      <c r="CA19" s="6"/>
      <c r="CB19" s="56" t="n">
        <v>2008</v>
      </c>
      <c r="CC19" s="53" t="str">
        <f aca="false">IFERROR("1 : " &amp; TEXT(BF19/BP19, "0,00"), "")</f>
        <v>1 : 1,44</v>
      </c>
      <c r="CD19" s="57" t="n">
        <f aca="false">IFERROR(BF19/BP19, "")</f>
        <v>1.44444444444444</v>
      </c>
      <c r="CG19" s="32" t="n">
        <v>2010</v>
      </c>
      <c r="CH19" s="19" t="n">
        <v>0</v>
      </c>
      <c r="CI19" s="19" t="n">
        <v>0</v>
      </c>
      <c r="CJ19" s="19" t="n">
        <v>3</v>
      </c>
      <c r="CK19" s="19" t="n">
        <v>0</v>
      </c>
      <c r="CL19" s="19" t="n">
        <v>3</v>
      </c>
      <c r="CM19" s="19" t="n">
        <v>3</v>
      </c>
      <c r="CN19" s="19" t="n">
        <v>7</v>
      </c>
      <c r="CO19" s="19" t="n">
        <v>4</v>
      </c>
      <c r="CP19" s="19" t="n">
        <v>0</v>
      </c>
      <c r="CQ19" s="19" t="n">
        <v>0</v>
      </c>
      <c r="CR19" s="19" t="n">
        <v>0</v>
      </c>
      <c r="CS19" s="19" t="n">
        <v>0</v>
      </c>
      <c r="CT19" s="2" t="n">
        <f aca="false">SUM(CH19:CS19)</f>
        <v>20</v>
      </c>
      <c r="CU19" s="6"/>
      <c r="CV19" s="6"/>
      <c r="DE19" s="6"/>
      <c r="DF19" s="6"/>
      <c r="DG19" s="6"/>
      <c r="DH19" s="6"/>
      <c r="DI19" s="6"/>
      <c r="DJ19" s="6"/>
      <c r="DM19" s="6"/>
      <c r="DN19" s="6"/>
      <c r="DO19" s="6"/>
      <c r="DP19" s="6"/>
      <c r="DQ19" s="6"/>
      <c r="DR19" s="6"/>
    </row>
    <row r="20" customFormat="false" ht="12.75" hidden="false" customHeight="false" outlineLevel="0" collapsed="false">
      <c r="A20" s="16" t="s">
        <v>74</v>
      </c>
      <c r="B20" s="17" t="n">
        <f aca="false">AVERAGE(E20:AE20)</f>
        <v>0.222222222222222</v>
      </c>
      <c r="C20" s="2" t="n">
        <f aca="false">MIN(E20:AE20)</f>
        <v>0</v>
      </c>
      <c r="D20" s="18" t="n">
        <f aca="false">MAX(E20:AE20)</f>
        <v>2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0</v>
      </c>
      <c r="R20" s="19" t="n">
        <v>2</v>
      </c>
      <c r="S20" s="19" t="n">
        <v>0</v>
      </c>
      <c r="T20" s="19" t="n">
        <v>0</v>
      </c>
      <c r="U20" s="19" t="n">
        <v>0</v>
      </c>
      <c r="V20" s="19" t="n">
        <v>0</v>
      </c>
      <c r="W20" s="19" t="n">
        <v>1</v>
      </c>
      <c r="X20" s="30" t="n">
        <v>2</v>
      </c>
      <c r="Y20" s="19" t="n">
        <v>1</v>
      </c>
      <c r="Z20" s="19" t="n">
        <v>0</v>
      </c>
      <c r="AA20" s="19" t="n">
        <v>0</v>
      </c>
      <c r="AB20" s="19" t="n">
        <v>0</v>
      </c>
      <c r="AC20" s="19" t="n">
        <v>0</v>
      </c>
      <c r="AD20" s="19" t="n">
        <v>0</v>
      </c>
      <c r="AE20" s="19" t="n">
        <v>0</v>
      </c>
      <c r="AF20" s="19" t="n">
        <v>0</v>
      </c>
      <c r="AG20" s="19"/>
      <c r="AH20" s="19"/>
      <c r="AJ20" s="31"/>
      <c r="AK20" s="31"/>
      <c r="AL20" s="31"/>
      <c r="AM20" s="31"/>
      <c r="AN20" s="31"/>
      <c r="AO20" s="31"/>
      <c r="AP20" s="31"/>
      <c r="AQ20" s="31"/>
      <c r="AR20" s="31"/>
      <c r="BE20" s="32" t="n">
        <v>2009</v>
      </c>
      <c r="BF20" s="19" t="n">
        <v>29</v>
      </c>
      <c r="BH20" s="32" t="n">
        <v>2009</v>
      </c>
      <c r="BI20" s="19" t="n">
        <v>3</v>
      </c>
      <c r="BJ20" s="19" t="n">
        <v>3</v>
      </c>
      <c r="BK20" s="19" t="n">
        <v>1</v>
      </c>
      <c r="BL20" s="19" t="n">
        <v>11</v>
      </c>
      <c r="BM20" s="6"/>
      <c r="BN20" s="6"/>
      <c r="BO20" s="47" t="n">
        <v>2009</v>
      </c>
      <c r="BP20" s="48" t="n">
        <f aca="false">BF20-BL20</f>
        <v>18</v>
      </c>
      <c r="BQ20" s="6"/>
      <c r="BR20" s="6"/>
      <c r="BS20" s="66" t="s">
        <v>75</v>
      </c>
      <c r="BT20" s="66"/>
      <c r="BU20" s="48" t="n">
        <v>28</v>
      </c>
      <c r="BV20" s="65" t="s">
        <v>76</v>
      </c>
      <c r="BW20" s="65"/>
      <c r="BX20" s="65"/>
      <c r="BY20" s="51" t="n">
        <v>0</v>
      </c>
      <c r="CA20" s="2"/>
      <c r="CB20" s="56" t="n">
        <v>2009</v>
      </c>
      <c r="CC20" s="53" t="str">
        <f aca="false">IFERROR("1 : " &amp; TEXT(BF20/BP20, "0,00"), "")</f>
        <v>1 : 1,61</v>
      </c>
      <c r="CD20" s="57" t="n">
        <f aca="false">IFERROR(BF20/BP20, "")</f>
        <v>1.61111111111111</v>
      </c>
      <c r="CG20" s="32" t="n">
        <v>2011</v>
      </c>
      <c r="CH20" s="19" t="n">
        <v>0</v>
      </c>
      <c r="CI20" s="19" t="n">
        <v>0</v>
      </c>
      <c r="CJ20" s="19" t="n">
        <v>0</v>
      </c>
      <c r="CK20" s="19" t="n">
        <v>2</v>
      </c>
      <c r="CL20" s="19" t="n">
        <v>7</v>
      </c>
      <c r="CM20" s="19" t="n">
        <v>8</v>
      </c>
      <c r="CN20" s="19" t="n">
        <v>7</v>
      </c>
      <c r="CO20" s="19" t="n">
        <v>5</v>
      </c>
      <c r="CP20" s="19" t="n">
        <v>3</v>
      </c>
      <c r="CQ20" s="19" t="n">
        <v>0</v>
      </c>
      <c r="CR20" s="19" t="n">
        <v>0</v>
      </c>
      <c r="CS20" s="19" t="n">
        <v>0</v>
      </c>
      <c r="CT20" s="2" t="n">
        <f aca="false">SUM(CH20:CS20)</f>
        <v>32</v>
      </c>
      <c r="CU20" s="6"/>
      <c r="CV20" s="6"/>
      <c r="DE20" s="6"/>
      <c r="DF20" s="6"/>
      <c r="DG20" s="6"/>
      <c r="DH20" s="6"/>
      <c r="DI20" s="6"/>
      <c r="DJ20" s="6"/>
      <c r="DM20" s="6"/>
      <c r="DN20" s="6"/>
      <c r="DO20" s="6"/>
      <c r="DP20" s="6"/>
      <c r="DQ20" s="6"/>
      <c r="DR20" s="6"/>
    </row>
    <row r="21" customFormat="false" ht="12.75" hidden="false" customHeight="false" outlineLevel="0" collapsed="false">
      <c r="A21" s="16" t="s">
        <v>77</v>
      </c>
      <c r="B21" s="17" t="n">
        <f aca="false">AVERAGE(E21:AE21)</f>
        <v>0.222222222222222</v>
      </c>
      <c r="C21" s="2" t="n">
        <f aca="false">MIN(E21:AE21)</f>
        <v>0</v>
      </c>
      <c r="D21" s="18" t="n">
        <f aca="false">MAX(E21:AE21)</f>
        <v>2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2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1</v>
      </c>
      <c r="X21" s="19" t="n">
        <v>2</v>
      </c>
      <c r="Y21" s="19" t="n">
        <v>1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  <c r="AG21" s="19"/>
      <c r="AH21" s="19"/>
      <c r="AJ21" s="31"/>
      <c r="AK21" s="31"/>
      <c r="AL21" s="31"/>
      <c r="AM21" s="31"/>
      <c r="AN21" s="31"/>
      <c r="AO21" s="31"/>
      <c r="AP21" s="31"/>
      <c r="AQ21" s="31"/>
      <c r="AR21" s="31"/>
      <c r="BE21" s="32" t="n">
        <v>2010</v>
      </c>
      <c r="BF21" s="19" t="n">
        <v>20</v>
      </c>
      <c r="BH21" s="32" t="n">
        <v>2010</v>
      </c>
      <c r="BI21" s="19" t="n">
        <v>0</v>
      </c>
      <c r="BJ21" s="19" t="n">
        <v>2</v>
      </c>
      <c r="BK21" s="19" t="n">
        <v>0</v>
      </c>
      <c r="BL21" s="19" t="n">
        <v>8</v>
      </c>
      <c r="BM21" s="6"/>
      <c r="BN21" s="6"/>
      <c r="BO21" s="47" t="n">
        <v>2010</v>
      </c>
      <c r="BP21" s="48" t="n">
        <f aca="false">BF21-BL21</f>
        <v>12</v>
      </c>
      <c r="BQ21" s="6"/>
      <c r="BR21" s="6"/>
      <c r="BS21" s="66" t="s">
        <v>78</v>
      </c>
      <c r="BT21" s="66"/>
      <c r="BU21" s="48" t="n">
        <v>22</v>
      </c>
      <c r="BV21" s="67" t="s">
        <v>79</v>
      </c>
      <c r="BW21" s="67"/>
      <c r="BX21" s="67"/>
      <c r="BY21" s="51" t="n">
        <v>-2</v>
      </c>
      <c r="CA21" s="2"/>
      <c r="CB21" s="56" t="n">
        <v>2010</v>
      </c>
      <c r="CC21" s="53" t="str">
        <f aca="false">IFERROR("1 : " &amp; TEXT(BF21/BP21, "0,00"), "")</f>
        <v>1 : 1,67</v>
      </c>
      <c r="CD21" s="57" t="n">
        <f aca="false">IFERROR(BF21/BP21, "")</f>
        <v>1.66666666666667</v>
      </c>
      <c r="CG21" s="32" t="n">
        <v>2012</v>
      </c>
      <c r="CH21" s="19" t="n">
        <v>2</v>
      </c>
      <c r="CI21" s="19" t="n">
        <v>0</v>
      </c>
      <c r="CJ21" s="19" t="n">
        <v>0</v>
      </c>
      <c r="CK21" s="19" t="n">
        <v>1</v>
      </c>
      <c r="CL21" s="19" t="n">
        <v>6</v>
      </c>
      <c r="CM21" s="19" t="n">
        <v>6</v>
      </c>
      <c r="CN21" s="19" t="n">
        <v>10</v>
      </c>
      <c r="CO21" s="19" t="n">
        <v>6</v>
      </c>
      <c r="CP21" s="19" t="n">
        <v>2</v>
      </c>
      <c r="CQ21" s="19" t="n">
        <v>0</v>
      </c>
      <c r="CR21" s="19" t="n">
        <v>0</v>
      </c>
      <c r="CS21" s="19" t="n">
        <v>0</v>
      </c>
      <c r="CT21" s="2" t="n">
        <f aca="false">SUM(CH21:CS21)</f>
        <v>33</v>
      </c>
      <c r="CU21" s="6"/>
      <c r="CV21" s="6"/>
      <c r="DE21" s="6"/>
      <c r="DF21" s="6"/>
      <c r="DG21" s="6"/>
      <c r="DH21" s="6"/>
      <c r="DI21" s="6"/>
      <c r="DJ21" s="6"/>
      <c r="DM21" s="6"/>
      <c r="DN21" s="6"/>
      <c r="DO21" s="6"/>
      <c r="DP21" s="6"/>
      <c r="DQ21" s="6"/>
      <c r="DR21" s="6"/>
    </row>
    <row r="22" customFormat="false" ht="12.75" hidden="false" customHeight="false" outlineLevel="0" collapsed="false">
      <c r="A22" s="16" t="s">
        <v>80</v>
      </c>
      <c r="B22" s="17" t="n">
        <f aca="false">AVERAGE(E22:AE22)</f>
        <v>0.259259259259259</v>
      </c>
      <c r="C22" s="2" t="n">
        <f aca="false">MIN(E22:AE22)</f>
        <v>0</v>
      </c>
      <c r="D22" s="18" t="n">
        <f aca="false">MAX(E22:AE22)</f>
        <v>2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68" t="n">
        <v>1</v>
      </c>
      <c r="N22" s="19" t="n">
        <v>0</v>
      </c>
      <c r="O22" s="19" t="n">
        <v>0</v>
      </c>
      <c r="P22" s="19" t="n">
        <v>0</v>
      </c>
      <c r="Q22" s="19" t="n">
        <v>0</v>
      </c>
      <c r="R22" s="19" t="n">
        <v>2</v>
      </c>
      <c r="S22" s="19" t="n">
        <v>0</v>
      </c>
      <c r="T22" s="19" t="n">
        <v>0</v>
      </c>
      <c r="U22" s="19" t="n">
        <v>0</v>
      </c>
      <c r="V22" s="19" t="n">
        <v>0</v>
      </c>
      <c r="W22" s="19" t="n">
        <v>1</v>
      </c>
      <c r="X22" s="19" t="n">
        <v>2</v>
      </c>
      <c r="Y22" s="19" t="n">
        <v>1</v>
      </c>
      <c r="Z22" s="19" t="n">
        <v>0</v>
      </c>
      <c r="AA22" s="19" t="n">
        <v>0</v>
      </c>
      <c r="AB22" s="19" t="n">
        <v>0</v>
      </c>
      <c r="AC22" s="19" t="n">
        <v>0</v>
      </c>
      <c r="AD22" s="19" t="n">
        <v>0</v>
      </c>
      <c r="AE22" s="19" t="n">
        <v>0</v>
      </c>
      <c r="AF22" s="19" t="n">
        <v>0</v>
      </c>
      <c r="AG22" s="19"/>
      <c r="AH22" s="19"/>
      <c r="AJ22" s="31"/>
      <c r="AK22" s="31"/>
      <c r="AL22" s="31"/>
      <c r="AM22" s="31"/>
      <c r="AN22" s="31"/>
      <c r="AO22" s="31"/>
      <c r="AP22" s="31"/>
      <c r="AQ22" s="31"/>
      <c r="AR22" s="31"/>
      <c r="BE22" s="32" t="n">
        <v>2011</v>
      </c>
      <c r="BF22" s="19" t="n">
        <v>32</v>
      </c>
      <c r="BH22" s="32" t="n">
        <v>2011</v>
      </c>
      <c r="BI22" s="19" t="n">
        <v>4</v>
      </c>
      <c r="BJ22" s="19" t="n">
        <v>1</v>
      </c>
      <c r="BK22" s="19" t="n">
        <v>0</v>
      </c>
      <c r="BL22" s="19" t="n">
        <v>8</v>
      </c>
      <c r="BM22" s="6"/>
      <c r="BN22" s="6"/>
      <c r="BO22" s="47" t="n">
        <v>2011</v>
      </c>
      <c r="BP22" s="48" t="n">
        <f aca="false">BF22-BL22</f>
        <v>24</v>
      </c>
      <c r="BQ22" s="6"/>
      <c r="BR22" s="6"/>
      <c r="BS22" s="66" t="s">
        <v>81</v>
      </c>
      <c r="BT22" s="66"/>
      <c r="BU22" s="51" t="n">
        <v>30</v>
      </c>
      <c r="BV22" s="67" t="s">
        <v>76</v>
      </c>
      <c r="BW22" s="67"/>
      <c r="BX22" s="67"/>
      <c r="BY22" s="51" t="n">
        <v>0</v>
      </c>
      <c r="CA22" s="2"/>
      <c r="CB22" s="56" t="n">
        <v>2011</v>
      </c>
      <c r="CC22" s="53" t="str">
        <f aca="false">IFERROR("1 : " &amp; TEXT(BF22/BP22, "0,00"), "")</f>
        <v>1 : 1,33</v>
      </c>
      <c r="CD22" s="57" t="n">
        <f aca="false">IFERROR(BF22/BP22, "")</f>
        <v>1.33333333333333</v>
      </c>
      <c r="CG22" s="32" t="n">
        <v>2013</v>
      </c>
      <c r="CH22" s="19" t="n">
        <v>0</v>
      </c>
      <c r="CI22" s="19" t="n">
        <v>0</v>
      </c>
      <c r="CJ22" s="19" t="n">
        <v>0</v>
      </c>
      <c r="CK22" s="19" t="n">
        <v>2</v>
      </c>
      <c r="CL22" s="19" t="n">
        <v>6</v>
      </c>
      <c r="CM22" s="19" t="n">
        <v>4</v>
      </c>
      <c r="CN22" s="19" t="n">
        <v>3</v>
      </c>
      <c r="CO22" s="19" t="n">
        <v>4</v>
      </c>
      <c r="CP22" s="19" t="n">
        <v>1</v>
      </c>
      <c r="CQ22" s="19" t="n">
        <v>0</v>
      </c>
      <c r="CR22" s="19" t="n">
        <v>0</v>
      </c>
      <c r="CS22" s="19" t="n">
        <v>0</v>
      </c>
      <c r="CT22" s="2" t="n">
        <f aca="false">SUM(CH22:CS22)</f>
        <v>20</v>
      </c>
      <c r="CU22" s="6"/>
      <c r="CV22" s="6"/>
      <c r="DE22" s="6"/>
      <c r="DF22" s="6"/>
      <c r="DG22" s="6"/>
      <c r="DH22" s="6"/>
      <c r="DI22" s="6"/>
      <c r="DJ22" s="6"/>
      <c r="DM22" s="6"/>
      <c r="DN22" s="6"/>
      <c r="DO22" s="6"/>
      <c r="DP22" s="6"/>
      <c r="DQ22" s="6"/>
      <c r="DR22" s="6"/>
    </row>
    <row r="23" customFormat="false" ht="12.75" hidden="false" customHeight="false" outlineLevel="0" collapsed="false">
      <c r="A23" s="16" t="s">
        <v>82</v>
      </c>
      <c r="B23" s="17" t="n">
        <f aca="false">AVERAGE(E23:AE23)</f>
        <v>0.259259259259259</v>
      </c>
      <c r="C23" s="2" t="n">
        <f aca="false">MIN(E23:AE23)</f>
        <v>0</v>
      </c>
      <c r="D23" s="18" t="n">
        <f aca="false">MAX(E23:AE23)</f>
        <v>2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1</v>
      </c>
      <c r="N23" s="19" t="n">
        <v>0</v>
      </c>
      <c r="O23" s="19" t="n">
        <v>0</v>
      </c>
      <c r="P23" s="19" t="n">
        <v>0</v>
      </c>
      <c r="Q23" s="19" t="n">
        <v>0</v>
      </c>
      <c r="R23" s="19" t="n">
        <v>2</v>
      </c>
      <c r="S23" s="19" t="n">
        <v>0</v>
      </c>
      <c r="T23" s="19" t="n">
        <v>0</v>
      </c>
      <c r="U23" s="19" t="n">
        <v>0</v>
      </c>
      <c r="V23" s="19" t="n">
        <v>0</v>
      </c>
      <c r="W23" s="19" t="n">
        <v>1</v>
      </c>
      <c r="X23" s="19" t="n">
        <v>2</v>
      </c>
      <c r="Y23" s="19" t="n">
        <v>1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/>
      <c r="AH23" s="19"/>
      <c r="AJ23" s="31"/>
      <c r="AK23" s="31"/>
      <c r="AL23" s="31"/>
      <c r="AM23" s="31"/>
      <c r="AN23" s="31"/>
      <c r="AO23" s="31"/>
      <c r="AP23" s="31"/>
      <c r="AQ23" s="31"/>
      <c r="AR23" s="31"/>
      <c r="BE23" s="32" t="n">
        <v>2012</v>
      </c>
      <c r="BF23" s="19" t="n">
        <v>33</v>
      </c>
      <c r="BH23" s="32" t="n">
        <v>2012</v>
      </c>
      <c r="BI23" s="19" t="n">
        <v>2</v>
      </c>
      <c r="BJ23" s="19" t="n">
        <v>2</v>
      </c>
      <c r="BK23" s="19" t="n">
        <v>0</v>
      </c>
      <c r="BL23" s="19" t="n">
        <v>8</v>
      </c>
      <c r="BM23" s="6"/>
      <c r="BN23" s="6"/>
      <c r="BO23" s="47" t="n">
        <v>2012</v>
      </c>
      <c r="BP23" s="48" t="n">
        <f aca="false">BF23-BL23</f>
        <v>25</v>
      </c>
      <c r="BQ23" s="6"/>
      <c r="BR23" s="6"/>
      <c r="BS23" s="66" t="s">
        <v>83</v>
      </c>
      <c r="BT23" s="66"/>
      <c r="BU23" s="51" t="n">
        <v>30</v>
      </c>
      <c r="BV23" s="55" t="s">
        <v>84</v>
      </c>
      <c r="BW23" s="55"/>
      <c r="BX23" s="55"/>
      <c r="BY23" s="51" t="n">
        <v>0</v>
      </c>
      <c r="CA23" s="2"/>
      <c r="CB23" s="56" t="n">
        <v>2012</v>
      </c>
      <c r="CC23" s="53" t="str">
        <f aca="false">IFERROR("1 : " &amp; TEXT(BF23/BP23, "0,00"), "")</f>
        <v>1 : 1,32</v>
      </c>
      <c r="CD23" s="57" t="n">
        <f aca="false">IFERROR(BF23/BP23, "")</f>
        <v>1.32</v>
      </c>
      <c r="CG23" s="32" t="n">
        <v>2014</v>
      </c>
      <c r="CH23" s="19" t="n">
        <v>0</v>
      </c>
      <c r="CI23" s="19" t="n">
        <v>0</v>
      </c>
      <c r="CJ23" s="19" t="n">
        <v>0</v>
      </c>
      <c r="CK23" s="19" t="n">
        <v>6</v>
      </c>
      <c r="CL23" s="19" t="n">
        <v>7</v>
      </c>
      <c r="CM23" s="19" t="n">
        <v>3</v>
      </c>
      <c r="CN23" s="19" t="n">
        <v>13</v>
      </c>
      <c r="CO23" s="19" t="n">
        <v>5</v>
      </c>
      <c r="CP23" s="19" t="n">
        <v>5</v>
      </c>
      <c r="CQ23" s="19" t="n">
        <v>1</v>
      </c>
      <c r="CR23" s="19" t="n">
        <v>0</v>
      </c>
      <c r="CS23" s="19" t="n">
        <v>0</v>
      </c>
      <c r="CT23" s="2" t="n">
        <f aca="false">SUM(CH23:CS23)</f>
        <v>40</v>
      </c>
      <c r="CU23" s="6"/>
      <c r="CV23" s="6"/>
      <c r="DE23" s="6"/>
      <c r="DF23" s="6"/>
      <c r="DG23" s="6"/>
      <c r="DH23" s="6"/>
      <c r="DI23" s="6"/>
      <c r="DJ23" s="6"/>
      <c r="DM23" s="6"/>
      <c r="DN23" s="6"/>
      <c r="DO23" s="6"/>
      <c r="DP23" s="6"/>
      <c r="DQ23" s="6"/>
      <c r="DR23" s="6"/>
    </row>
    <row r="24" customFormat="false" ht="12.75" hidden="false" customHeight="false" outlineLevel="0" collapsed="false">
      <c r="A24" s="16" t="s">
        <v>85</v>
      </c>
      <c r="B24" s="17" t="n">
        <f aca="false">AVERAGE(E24:AE24)</f>
        <v>0.259259259259259</v>
      </c>
      <c r="C24" s="2" t="n">
        <f aca="false">MIN(E24:AE24)</f>
        <v>0</v>
      </c>
      <c r="D24" s="18" t="n">
        <f aca="false">MAX(E24:AE24)</f>
        <v>2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1</v>
      </c>
      <c r="N24" s="19" t="n">
        <v>0</v>
      </c>
      <c r="O24" s="19" t="n">
        <v>0</v>
      </c>
      <c r="P24" s="19" t="n">
        <v>0</v>
      </c>
      <c r="Q24" s="19" t="n">
        <v>0</v>
      </c>
      <c r="R24" s="19" t="n">
        <v>2</v>
      </c>
      <c r="S24" s="19" t="n">
        <v>0</v>
      </c>
      <c r="T24" s="19" t="n">
        <v>0</v>
      </c>
      <c r="U24" s="19" t="n">
        <v>0</v>
      </c>
      <c r="V24" s="19" t="n">
        <v>0</v>
      </c>
      <c r="W24" s="19" t="n">
        <v>1</v>
      </c>
      <c r="X24" s="19" t="n">
        <v>2</v>
      </c>
      <c r="Y24" s="19" t="n">
        <v>1</v>
      </c>
      <c r="Z24" s="19" t="n">
        <v>0</v>
      </c>
      <c r="AA24" s="19" t="n">
        <v>0</v>
      </c>
      <c r="AB24" s="22" t="n">
        <v>0</v>
      </c>
      <c r="AC24" s="19" t="n">
        <v>0</v>
      </c>
      <c r="AD24" s="19" t="n">
        <v>0</v>
      </c>
      <c r="AE24" s="19" t="n">
        <v>0</v>
      </c>
      <c r="AF24" s="19" t="n">
        <v>0</v>
      </c>
      <c r="AG24" s="19"/>
      <c r="AH24" s="19"/>
      <c r="AJ24" s="31"/>
      <c r="AK24" s="31"/>
      <c r="AL24" s="31"/>
      <c r="AM24" s="31"/>
      <c r="AN24" s="31"/>
      <c r="AO24" s="31"/>
      <c r="AP24" s="31"/>
      <c r="AQ24" s="31"/>
      <c r="AR24" s="31"/>
      <c r="BE24" s="32" t="n">
        <v>2013</v>
      </c>
      <c r="BF24" s="19" t="n">
        <v>20</v>
      </c>
      <c r="BH24" s="32" t="n">
        <v>2013</v>
      </c>
      <c r="BI24" s="19" t="n">
        <v>1</v>
      </c>
      <c r="BJ24" s="19" t="n">
        <v>1</v>
      </c>
      <c r="BK24" s="19" t="n">
        <v>0</v>
      </c>
      <c r="BL24" s="19" t="n">
        <v>8</v>
      </c>
      <c r="BM24" s="6"/>
      <c r="BN24" s="6"/>
      <c r="BO24" s="47" t="n">
        <v>2013</v>
      </c>
      <c r="BP24" s="48" t="n">
        <f aca="false">BF24-BL24</f>
        <v>12</v>
      </c>
      <c r="BQ24" s="6"/>
      <c r="BR24" s="6"/>
      <c r="BS24" s="66" t="s">
        <v>86</v>
      </c>
      <c r="BT24" s="66"/>
      <c r="BU24" s="51" t="n">
        <v>34</v>
      </c>
      <c r="BV24" s="69" t="s">
        <v>87</v>
      </c>
      <c r="BW24" s="69"/>
      <c r="BX24" s="69"/>
      <c r="BY24" s="51" t="n">
        <v>2</v>
      </c>
      <c r="BZ24" s="6"/>
      <c r="CA24" s="6"/>
      <c r="CB24" s="56" t="n">
        <v>2013</v>
      </c>
      <c r="CC24" s="53" t="str">
        <f aca="false">IFERROR("1 : " &amp; TEXT(BF24/BP24, "0,00"), "")</f>
        <v>1 : 1,67</v>
      </c>
      <c r="CD24" s="57" t="n">
        <f aca="false">IFERROR(BF24/BP24, "")</f>
        <v>1.66666666666667</v>
      </c>
      <c r="CG24" s="32" t="n">
        <v>2015</v>
      </c>
      <c r="CH24" s="19" t="n">
        <v>0</v>
      </c>
      <c r="CI24" s="19" t="n">
        <v>0</v>
      </c>
      <c r="CJ24" s="19" t="n">
        <v>1</v>
      </c>
      <c r="CK24" s="19" t="n">
        <v>3</v>
      </c>
      <c r="CL24" s="19" t="n">
        <v>2</v>
      </c>
      <c r="CM24" s="19" t="n">
        <v>7</v>
      </c>
      <c r="CN24" s="19" t="n">
        <v>9</v>
      </c>
      <c r="CO24" s="19" t="n">
        <v>4</v>
      </c>
      <c r="CP24" s="19" t="n">
        <v>2</v>
      </c>
      <c r="CQ24" s="19" t="n">
        <v>0</v>
      </c>
      <c r="CR24" s="19" t="n">
        <v>0</v>
      </c>
      <c r="CS24" s="19" t="n">
        <v>0</v>
      </c>
      <c r="CT24" s="2" t="n">
        <f aca="false">SUM(CH24:CS24)</f>
        <v>28</v>
      </c>
      <c r="CU24" s="6"/>
      <c r="CV24" s="6"/>
      <c r="DE24" s="6"/>
      <c r="DF24" s="6"/>
      <c r="DG24" s="6"/>
      <c r="DH24" s="6"/>
      <c r="DI24" s="6"/>
      <c r="DJ24" s="6"/>
      <c r="DM24" s="6"/>
      <c r="DN24" s="6"/>
      <c r="DO24" s="6"/>
      <c r="DP24" s="6"/>
      <c r="DQ24" s="6"/>
      <c r="DR24" s="6"/>
    </row>
    <row r="25" customFormat="false" ht="12.75" hidden="false" customHeight="false" outlineLevel="0" collapsed="false">
      <c r="A25" s="16" t="s">
        <v>88</v>
      </c>
      <c r="B25" s="17" t="n">
        <f aca="false">AVERAGE(E25:AE25)</f>
        <v>0.259259259259259</v>
      </c>
      <c r="C25" s="2" t="n">
        <f aca="false">MIN(E25:AE25)</f>
        <v>0</v>
      </c>
      <c r="D25" s="18" t="n">
        <f aca="false">MAX(E25:AE25)</f>
        <v>2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</v>
      </c>
      <c r="N25" s="19" t="n">
        <v>0</v>
      </c>
      <c r="O25" s="19" t="n">
        <v>0</v>
      </c>
      <c r="P25" s="19" t="n">
        <v>0</v>
      </c>
      <c r="Q25" s="19" t="n">
        <v>0</v>
      </c>
      <c r="R25" s="19" t="n">
        <v>2</v>
      </c>
      <c r="S25" s="19" t="n">
        <v>0</v>
      </c>
      <c r="T25" s="19" t="n">
        <v>0</v>
      </c>
      <c r="U25" s="19" t="n">
        <v>0</v>
      </c>
      <c r="V25" s="19" t="n">
        <v>0</v>
      </c>
      <c r="W25" s="19" t="n">
        <v>1</v>
      </c>
      <c r="X25" s="19" t="n">
        <v>2</v>
      </c>
      <c r="Y25" s="19" t="n">
        <v>1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/>
      <c r="AH25" s="19"/>
      <c r="AJ25" s="31"/>
      <c r="AK25" s="31"/>
      <c r="AL25" s="31"/>
      <c r="AM25" s="31"/>
      <c r="AN25" s="31"/>
      <c r="AO25" s="31"/>
      <c r="AP25" s="31"/>
      <c r="AQ25" s="31"/>
      <c r="AR25" s="31"/>
      <c r="BE25" s="32" t="n">
        <v>2014</v>
      </c>
      <c r="BF25" s="19" t="n">
        <v>40</v>
      </c>
      <c r="BH25" s="32" t="n">
        <v>2014</v>
      </c>
      <c r="BI25" s="19" t="n">
        <v>0</v>
      </c>
      <c r="BJ25" s="19" t="n">
        <v>1</v>
      </c>
      <c r="BK25" s="19" t="n">
        <v>0</v>
      </c>
      <c r="BL25" s="19" t="n">
        <v>11</v>
      </c>
      <c r="BM25" s="6"/>
      <c r="BN25" s="6"/>
      <c r="BO25" s="47" t="n">
        <v>2014</v>
      </c>
      <c r="BP25" s="48" t="n">
        <f aca="false">BF25-BL25</f>
        <v>29</v>
      </c>
      <c r="BQ25" s="6"/>
      <c r="BR25" s="6"/>
      <c r="BS25" s="66" t="s">
        <v>89</v>
      </c>
      <c r="BT25" s="66"/>
      <c r="BU25" s="51" t="n">
        <v>28</v>
      </c>
      <c r="BV25" s="69" t="s">
        <v>76</v>
      </c>
      <c r="BW25" s="69"/>
      <c r="BX25" s="69"/>
      <c r="BY25" s="51" t="n">
        <v>0</v>
      </c>
      <c r="BZ25" s="6"/>
      <c r="CA25" s="6"/>
      <c r="CB25" s="56" t="n">
        <v>2014</v>
      </c>
      <c r="CC25" s="53" t="str">
        <f aca="false">IFERROR("1 : " &amp; TEXT(BF25/BP25, "0,00"), "")</f>
        <v>1 : 1,38</v>
      </c>
      <c r="CD25" s="57" t="n">
        <f aca="false">IFERROR(BF25/BP25, "")</f>
        <v>1.37931034482759</v>
      </c>
      <c r="CG25" s="32" t="n">
        <v>2016</v>
      </c>
      <c r="CH25" s="19" t="n">
        <v>0</v>
      </c>
      <c r="CI25" s="19" t="n">
        <v>0</v>
      </c>
      <c r="CJ25" s="19" t="n">
        <v>0</v>
      </c>
      <c r="CK25" s="19" t="n">
        <v>1</v>
      </c>
      <c r="CL25" s="19" t="n">
        <v>5</v>
      </c>
      <c r="CM25" s="19" t="n">
        <v>13</v>
      </c>
      <c r="CN25" s="19" t="n">
        <v>11</v>
      </c>
      <c r="CO25" s="19" t="n">
        <v>2</v>
      </c>
      <c r="CP25" s="19" t="n">
        <v>1</v>
      </c>
      <c r="CQ25" s="19" t="n">
        <v>0</v>
      </c>
      <c r="CR25" s="19" t="n">
        <v>0</v>
      </c>
      <c r="CS25" s="19" t="n">
        <v>0</v>
      </c>
      <c r="CT25" s="2" t="n">
        <f aca="false">SUM(CH25:CS25)</f>
        <v>33</v>
      </c>
      <c r="CU25" s="6"/>
      <c r="CV25" s="6"/>
      <c r="DE25" s="6"/>
      <c r="DF25" s="6"/>
      <c r="DG25" s="6"/>
      <c r="DH25" s="6"/>
      <c r="DI25" s="6"/>
      <c r="DJ25" s="6"/>
      <c r="DM25" s="6"/>
      <c r="DN25" s="6"/>
      <c r="DO25" s="6"/>
      <c r="DP25" s="6"/>
      <c r="DQ25" s="6"/>
      <c r="DR25" s="6"/>
    </row>
    <row r="26" customFormat="false" ht="12.75" hidden="false" customHeight="false" outlineLevel="0" collapsed="false">
      <c r="A26" s="16" t="s">
        <v>90</v>
      </c>
      <c r="B26" s="17" t="n">
        <f aca="false">AVERAGE(E26:AE26)</f>
        <v>0.259259259259259</v>
      </c>
      <c r="C26" s="2" t="n">
        <f aca="false">MIN(E26:AE26)</f>
        <v>0</v>
      </c>
      <c r="D26" s="18" t="n">
        <f aca="false">MAX(E26:AE26)</f>
        <v>2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1</v>
      </c>
      <c r="N26" s="19" t="n">
        <v>0</v>
      </c>
      <c r="O26" s="19" t="n">
        <v>0</v>
      </c>
      <c r="P26" s="19" t="n">
        <v>0</v>
      </c>
      <c r="Q26" s="19" t="n">
        <v>0</v>
      </c>
      <c r="R26" s="19" t="n">
        <v>2</v>
      </c>
      <c r="S26" s="19" t="n">
        <v>0</v>
      </c>
      <c r="T26" s="19" t="n">
        <v>0</v>
      </c>
      <c r="U26" s="19" t="n">
        <v>0</v>
      </c>
      <c r="V26" s="19" t="n">
        <v>0</v>
      </c>
      <c r="W26" s="19" t="n">
        <v>1</v>
      </c>
      <c r="X26" s="19" t="n">
        <v>2</v>
      </c>
      <c r="Y26" s="19" t="n">
        <v>1</v>
      </c>
      <c r="Z26" s="19" t="n">
        <v>0</v>
      </c>
      <c r="AA26" s="19" t="n">
        <v>0</v>
      </c>
      <c r="AB26" s="19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  <c r="AG26" s="19"/>
      <c r="AH26" s="19"/>
      <c r="BE26" s="32" t="n">
        <v>2015</v>
      </c>
      <c r="BF26" s="19" t="n">
        <v>28</v>
      </c>
      <c r="BH26" s="32" t="n">
        <v>2015</v>
      </c>
      <c r="BI26" s="19" t="n">
        <v>1</v>
      </c>
      <c r="BJ26" s="19" t="n">
        <v>2</v>
      </c>
      <c r="BK26" s="19" t="n">
        <v>0</v>
      </c>
      <c r="BL26" s="19" t="n">
        <v>9</v>
      </c>
      <c r="BM26" s="6"/>
      <c r="BN26" s="6"/>
      <c r="BO26" s="47" t="n">
        <v>2015</v>
      </c>
      <c r="BP26" s="48" t="n">
        <f aca="false">BF26-BL26</f>
        <v>19</v>
      </c>
      <c r="BQ26" s="6"/>
      <c r="BR26" s="6"/>
      <c r="BS26" s="66" t="s">
        <v>91</v>
      </c>
      <c r="BT26" s="66"/>
      <c r="BU26" s="51" t="n">
        <v>31</v>
      </c>
      <c r="BV26" s="69" t="s">
        <v>92</v>
      </c>
      <c r="BW26" s="69"/>
      <c r="BX26" s="69"/>
      <c r="BY26" s="51" t="n">
        <v>1</v>
      </c>
      <c r="BZ26" s="6"/>
      <c r="CA26" s="6"/>
      <c r="CB26" s="56" t="n">
        <v>2015</v>
      </c>
      <c r="CC26" s="53" t="str">
        <f aca="false">IFERROR("1 : " &amp; TEXT(BF26/BP26, "0,00"), "")</f>
        <v>1 : 1,47</v>
      </c>
      <c r="CD26" s="57" t="n">
        <f aca="false">IFERROR(BF26/BP26, "")</f>
        <v>1.47368421052632</v>
      </c>
      <c r="CG26" s="32" t="n">
        <v>2017</v>
      </c>
      <c r="CH26" s="19" t="n">
        <v>1</v>
      </c>
      <c r="CI26" s="19" t="n">
        <v>0</v>
      </c>
      <c r="CJ26" s="19" t="n">
        <v>0</v>
      </c>
      <c r="CK26" s="19" t="n">
        <v>0</v>
      </c>
      <c r="CL26" s="19" t="n">
        <v>5</v>
      </c>
      <c r="CM26" s="19" t="n">
        <v>8</v>
      </c>
      <c r="CN26" s="19" t="n">
        <v>10</v>
      </c>
      <c r="CO26" s="19" t="n">
        <v>7</v>
      </c>
      <c r="CP26" s="19" t="n">
        <v>1</v>
      </c>
      <c r="CQ26" s="19" t="n">
        <v>1</v>
      </c>
      <c r="CR26" s="19" t="n">
        <v>0</v>
      </c>
      <c r="CS26" s="19" t="n">
        <v>0</v>
      </c>
      <c r="CT26" s="2" t="n">
        <f aca="false">SUM(CH26:CS26)</f>
        <v>33</v>
      </c>
      <c r="CU26" s="6"/>
      <c r="CV26" s="6"/>
      <c r="DE26" s="6"/>
      <c r="DF26" s="6"/>
      <c r="DG26" s="6"/>
      <c r="DH26" s="6"/>
      <c r="DI26" s="6"/>
      <c r="DJ26" s="6"/>
      <c r="DM26" s="6"/>
      <c r="DN26" s="6"/>
      <c r="DO26" s="6"/>
      <c r="DP26" s="6"/>
      <c r="DQ26" s="6"/>
      <c r="DR26" s="6"/>
    </row>
    <row r="27" customFormat="false" ht="12.75" hidden="false" customHeight="false" outlineLevel="0" collapsed="false">
      <c r="A27" s="16" t="s">
        <v>93</v>
      </c>
      <c r="B27" s="17" t="n">
        <f aca="false">AVERAGE(E27:AE27)</f>
        <v>0.259259259259259</v>
      </c>
      <c r="C27" s="2" t="n">
        <f aca="false">MIN(E27:AE27)</f>
        <v>0</v>
      </c>
      <c r="D27" s="18" t="n">
        <f aca="false">MAX(E27:AE27)</f>
        <v>2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22" t="n">
        <v>0</v>
      </c>
      <c r="L27" s="19" t="n">
        <v>0</v>
      </c>
      <c r="M27" s="19" t="n">
        <v>1</v>
      </c>
      <c r="N27" s="19" t="n">
        <v>0</v>
      </c>
      <c r="O27" s="19" t="n">
        <v>0</v>
      </c>
      <c r="P27" s="19" t="n">
        <v>0</v>
      </c>
      <c r="Q27" s="19" t="n">
        <v>0</v>
      </c>
      <c r="R27" s="19" t="n">
        <v>2</v>
      </c>
      <c r="S27" s="19" t="n">
        <v>0</v>
      </c>
      <c r="T27" s="19" t="n">
        <v>0</v>
      </c>
      <c r="U27" s="19" t="n">
        <v>0</v>
      </c>
      <c r="V27" s="19" t="n">
        <v>0</v>
      </c>
      <c r="W27" s="19" t="n">
        <v>1</v>
      </c>
      <c r="X27" s="19" t="n">
        <v>2</v>
      </c>
      <c r="Y27" s="19" t="n">
        <v>1</v>
      </c>
      <c r="Z27" s="19" t="n">
        <v>0</v>
      </c>
      <c r="AA27" s="19" t="n">
        <v>0</v>
      </c>
      <c r="AB27" s="19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  <c r="AG27" s="19"/>
      <c r="AH27" s="19"/>
      <c r="BE27" s="32" t="n">
        <v>2016</v>
      </c>
      <c r="BF27" s="19" t="n">
        <v>33</v>
      </c>
      <c r="BH27" s="32" t="n">
        <v>2016</v>
      </c>
      <c r="BI27" s="19" t="n">
        <v>0</v>
      </c>
      <c r="BJ27" s="19" t="n">
        <v>1</v>
      </c>
      <c r="BK27" s="19" t="n">
        <v>2</v>
      </c>
      <c r="BL27" s="19" t="n">
        <v>14</v>
      </c>
      <c r="BM27" s="6"/>
      <c r="BN27" s="6"/>
      <c r="BO27" s="47" t="n">
        <v>2016</v>
      </c>
      <c r="BP27" s="48" t="n">
        <f aca="false">BF27-BL27</f>
        <v>19</v>
      </c>
      <c r="BQ27" s="6"/>
      <c r="BR27" s="6"/>
      <c r="BS27" s="66" t="s">
        <v>94</v>
      </c>
      <c r="BT27" s="66"/>
      <c r="BU27" s="51" t="n">
        <v>33</v>
      </c>
      <c r="BV27" s="69" t="s">
        <v>87</v>
      </c>
      <c r="BW27" s="69"/>
      <c r="BX27" s="69"/>
      <c r="BY27" s="51" t="n">
        <v>2</v>
      </c>
      <c r="BZ27" s="6"/>
      <c r="CA27" s="6"/>
      <c r="CB27" s="56" t="n">
        <v>2016</v>
      </c>
      <c r="CC27" s="53" t="str">
        <f aca="false">IFERROR("1 : " &amp; TEXT(BF27/BP27, "0,00"), "")</f>
        <v>1 : 1,74</v>
      </c>
      <c r="CD27" s="57" t="n">
        <f aca="false">IFERROR(BF27/BP27, "")</f>
        <v>1.73684210526316</v>
      </c>
      <c r="CG27" s="32" t="n">
        <v>2018</v>
      </c>
      <c r="CH27" s="19" t="n">
        <v>2</v>
      </c>
      <c r="CI27" s="19" t="n">
        <v>0</v>
      </c>
      <c r="CJ27" s="19" t="n">
        <v>0</v>
      </c>
      <c r="CK27" s="19" t="n">
        <v>2</v>
      </c>
      <c r="CL27" s="19" t="n">
        <v>6</v>
      </c>
      <c r="CM27" s="19" t="n">
        <v>3</v>
      </c>
      <c r="CN27" s="19" t="n">
        <v>4</v>
      </c>
      <c r="CO27" s="19" t="n">
        <v>9</v>
      </c>
      <c r="CP27" s="19" t="n">
        <v>3</v>
      </c>
      <c r="CQ27" s="19" t="n">
        <v>0</v>
      </c>
      <c r="CR27" s="19" t="n">
        <v>0</v>
      </c>
      <c r="CS27" s="19" t="n">
        <v>0</v>
      </c>
      <c r="CT27" s="2" t="n">
        <f aca="false">SUM(CH27:CS27)</f>
        <v>29</v>
      </c>
      <c r="CU27" s="6"/>
      <c r="CV27" s="6"/>
      <c r="DE27" s="6"/>
      <c r="DF27" s="6"/>
      <c r="DG27" s="6"/>
      <c r="DH27" s="6"/>
      <c r="DI27" s="6"/>
      <c r="DJ27" s="6"/>
      <c r="DM27" s="6"/>
      <c r="DN27" s="6"/>
      <c r="DO27" s="6"/>
      <c r="DP27" s="6"/>
      <c r="DQ27" s="6"/>
      <c r="DR27" s="6"/>
    </row>
    <row r="28" customFormat="false" ht="12.75" hidden="false" customHeight="false" outlineLevel="0" collapsed="false">
      <c r="A28" s="16" t="s">
        <v>95</v>
      </c>
      <c r="B28" s="17" t="n">
        <f aca="false">AVERAGE(E28:AE28)</f>
        <v>0.259259259259259</v>
      </c>
      <c r="C28" s="2" t="n">
        <f aca="false">MIN(E28:AE28)</f>
        <v>0</v>
      </c>
      <c r="D28" s="18" t="n">
        <f aca="false">MAX(E28:AE28)</f>
        <v>2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1</v>
      </c>
      <c r="N28" s="19" t="n">
        <v>0</v>
      </c>
      <c r="O28" s="19" t="n">
        <v>0</v>
      </c>
      <c r="P28" s="19" t="n">
        <v>0</v>
      </c>
      <c r="Q28" s="19" t="n">
        <v>0</v>
      </c>
      <c r="R28" s="19" t="n">
        <v>2</v>
      </c>
      <c r="S28" s="19" t="n">
        <v>0</v>
      </c>
      <c r="T28" s="19" t="n">
        <v>0</v>
      </c>
      <c r="U28" s="19" t="n">
        <v>0</v>
      </c>
      <c r="V28" s="19" t="n">
        <v>0</v>
      </c>
      <c r="W28" s="19" t="n">
        <v>1</v>
      </c>
      <c r="X28" s="19" t="n">
        <v>2</v>
      </c>
      <c r="Y28" s="19" t="n">
        <v>1</v>
      </c>
      <c r="Z28" s="19" t="n">
        <v>0</v>
      </c>
      <c r="AA28" s="19" t="n">
        <v>0</v>
      </c>
      <c r="AB28" s="19" t="n">
        <v>0</v>
      </c>
      <c r="AC28" s="19" t="n">
        <v>0</v>
      </c>
      <c r="AD28" s="19" t="n">
        <v>0</v>
      </c>
      <c r="AE28" s="19" t="n">
        <v>0</v>
      </c>
      <c r="AF28" s="19" t="n">
        <v>0</v>
      </c>
      <c r="AG28" s="19"/>
      <c r="AH28" s="19"/>
      <c r="BE28" s="32" t="n">
        <v>2017</v>
      </c>
      <c r="BF28" s="19" t="n">
        <v>33</v>
      </c>
      <c r="BH28" s="32" t="n">
        <v>2017</v>
      </c>
      <c r="BI28" s="19" t="n">
        <v>3</v>
      </c>
      <c r="BJ28" s="19" t="n">
        <v>4</v>
      </c>
      <c r="BK28" s="19" t="n">
        <v>0</v>
      </c>
      <c r="BL28" s="19" t="n">
        <v>11</v>
      </c>
      <c r="BM28" s="6"/>
      <c r="BN28" s="6"/>
      <c r="BO28" s="47" t="n">
        <v>2017</v>
      </c>
      <c r="BP28" s="48" t="n">
        <f aca="false">BF28-BL28</f>
        <v>22</v>
      </c>
      <c r="BQ28" s="6"/>
      <c r="BR28" s="6"/>
      <c r="BS28" s="66" t="s">
        <v>96</v>
      </c>
      <c r="BT28" s="66"/>
      <c r="BU28" s="51" t="n">
        <v>27</v>
      </c>
      <c r="BV28" s="69" t="s">
        <v>76</v>
      </c>
      <c r="BW28" s="69"/>
      <c r="BX28" s="69"/>
      <c r="BY28" s="51" t="n">
        <v>0</v>
      </c>
      <c r="BZ28" s="6"/>
      <c r="CA28" s="6"/>
      <c r="CB28" s="56" t="n">
        <v>2017</v>
      </c>
      <c r="CC28" s="53" t="str">
        <f aca="false">IFERROR("1 : " &amp; TEXT(BF28/BP28, "0,00"), "")</f>
        <v>1 : 1,50</v>
      </c>
      <c r="CD28" s="57" t="n">
        <f aca="false">IFERROR(BF28/BP28, "")</f>
        <v>1.5</v>
      </c>
      <c r="CG28" s="32" t="n">
        <v>2019</v>
      </c>
      <c r="CH28" s="19" t="n">
        <v>1</v>
      </c>
      <c r="CI28" s="19" t="n">
        <v>0</v>
      </c>
      <c r="CJ28" s="19" t="n">
        <v>1</v>
      </c>
      <c r="CK28" s="19" t="n">
        <v>1</v>
      </c>
      <c r="CL28" s="19" t="n">
        <v>1</v>
      </c>
      <c r="CM28" s="19" t="n">
        <v>5</v>
      </c>
      <c r="CN28" s="19" t="n">
        <v>6</v>
      </c>
      <c r="CO28" s="19" t="n">
        <v>9</v>
      </c>
      <c r="CP28" s="19" t="n">
        <v>1</v>
      </c>
      <c r="CQ28" s="19" t="n">
        <v>0</v>
      </c>
      <c r="CR28" s="19" t="n">
        <v>0</v>
      </c>
      <c r="CS28" s="19" t="n">
        <v>0</v>
      </c>
      <c r="CT28" s="2" t="n">
        <f aca="false">SUM(CH28:CS28)</f>
        <v>25</v>
      </c>
      <c r="CU28" s="6"/>
      <c r="CV28" s="6"/>
      <c r="DE28" s="6"/>
      <c r="DF28" s="6"/>
      <c r="DG28" s="6"/>
      <c r="DH28" s="6"/>
      <c r="DI28" s="6"/>
      <c r="DJ28" s="6"/>
      <c r="DM28" s="6"/>
      <c r="DN28" s="6"/>
      <c r="DO28" s="6"/>
      <c r="DP28" s="6"/>
      <c r="DQ28" s="6"/>
      <c r="DR28" s="6"/>
    </row>
    <row r="29" customFormat="false" ht="12.75" hidden="false" customHeight="false" outlineLevel="0" collapsed="false">
      <c r="A29" s="16" t="s">
        <v>97</v>
      </c>
      <c r="B29" s="17" t="n">
        <f aca="false">AVERAGE(E29:AE29)</f>
        <v>0.259259259259259</v>
      </c>
      <c r="C29" s="2" t="n">
        <f aca="false">MIN(E29:AE29)</f>
        <v>0</v>
      </c>
      <c r="D29" s="18" t="n">
        <f aca="false">MAX(E29:AE29)</f>
        <v>2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1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2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1</v>
      </c>
      <c r="X29" s="19" t="n">
        <v>2</v>
      </c>
      <c r="Y29" s="19" t="n">
        <v>1</v>
      </c>
      <c r="Z29" s="19" t="n">
        <v>0</v>
      </c>
      <c r="AA29" s="19" t="n">
        <v>0</v>
      </c>
      <c r="AB29" s="19" t="n">
        <v>0</v>
      </c>
      <c r="AC29" s="19" t="n">
        <v>0</v>
      </c>
      <c r="AD29" s="19" t="n">
        <v>0</v>
      </c>
      <c r="AE29" s="19" t="n">
        <v>0</v>
      </c>
      <c r="AF29" s="19" t="n">
        <v>0</v>
      </c>
      <c r="AG29" s="19"/>
      <c r="AH29" s="19"/>
      <c r="BE29" s="32" t="n">
        <v>2018</v>
      </c>
      <c r="BF29" s="19" t="n">
        <v>29</v>
      </c>
      <c r="BH29" s="32" t="n">
        <v>2018</v>
      </c>
      <c r="BI29" s="19" t="n">
        <v>2</v>
      </c>
      <c r="BJ29" s="19" t="n">
        <v>3</v>
      </c>
      <c r="BK29" s="19" t="n">
        <v>0</v>
      </c>
      <c r="BL29" s="19" t="n">
        <v>12</v>
      </c>
      <c r="BM29" s="6"/>
      <c r="BN29" s="6"/>
      <c r="BO29" s="47" t="n">
        <v>2018</v>
      </c>
      <c r="BP29" s="48" t="n">
        <f aca="false">BF29-BL29</f>
        <v>17</v>
      </c>
      <c r="BQ29" s="6"/>
      <c r="BR29" s="6"/>
      <c r="BS29" s="66" t="s">
        <v>98</v>
      </c>
      <c r="BT29" s="66"/>
      <c r="BU29" s="51" t="n">
        <v>30</v>
      </c>
      <c r="BV29" s="69" t="s">
        <v>76</v>
      </c>
      <c r="BW29" s="69"/>
      <c r="BX29" s="69"/>
      <c r="BY29" s="51" t="n">
        <v>0</v>
      </c>
      <c r="BZ29" s="6"/>
      <c r="CA29" s="6"/>
      <c r="CB29" s="56" t="n">
        <v>2018</v>
      </c>
      <c r="CC29" s="53" t="str">
        <f aca="false">IFERROR("1 : " &amp; TEXT(BF29/BP29, "0,00"), "")</f>
        <v>1 : 1,71</v>
      </c>
      <c r="CD29" s="57" t="n">
        <f aca="false">IFERROR(BF29/BP29, "")</f>
        <v>1.70588235294118</v>
      </c>
      <c r="CG29" s="32" t="n">
        <v>2020</v>
      </c>
      <c r="CH29" s="19" t="n">
        <v>0</v>
      </c>
      <c r="CI29" s="19" t="n">
        <v>2</v>
      </c>
      <c r="CJ29" s="19" t="n">
        <v>0</v>
      </c>
      <c r="CK29" s="19" t="n">
        <v>0</v>
      </c>
      <c r="CL29" s="19" t="n">
        <v>0</v>
      </c>
      <c r="CM29" s="19" t="n">
        <v>8</v>
      </c>
      <c r="CN29" s="19" t="n">
        <v>4</v>
      </c>
      <c r="CO29" s="19" t="n">
        <v>6</v>
      </c>
      <c r="CP29" s="19" t="n">
        <v>2</v>
      </c>
      <c r="CQ29" s="19" t="n">
        <v>0</v>
      </c>
      <c r="CR29" s="19" t="n">
        <v>0</v>
      </c>
      <c r="CS29" s="19" t="n">
        <v>0</v>
      </c>
      <c r="CT29" s="2" t="n">
        <f aca="false">SUM(CH29:CS29)</f>
        <v>22</v>
      </c>
      <c r="CU29" s="6"/>
      <c r="CV29" s="6"/>
      <c r="DE29" s="6"/>
      <c r="DF29" s="6"/>
      <c r="DG29" s="6"/>
      <c r="DH29" s="6"/>
      <c r="DI29" s="6"/>
      <c r="DJ29" s="6"/>
    </row>
    <row r="30" customFormat="false" ht="12.75" hidden="false" customHeight="false" outlineLevel="0" collapsed="false">
      <c r="A30" s="16" t="s">
        <v>99</v>
      </c>
      <c r="B30" s="17" t="n">
        <f aca="false">AVERAGE(E30:AE30)</f>
        <v>0.259259259259259</v>
      </c>
      <c r="C30" s="2" t="n">
        <f aca="false">MIN(E30:AE30)</f>
        <v>0</v>
      </c>
      <c r="D30" s="18" t="n">
        <f aca="false">MAX(E30:AE30)</f>
        <v>2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1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2</v>
      </c>
      <c r="S30" s="19" t="n">
        <v>0</v>
      </c>
      <c r="T30" s="19" t="n">
        <v>0</v>
      </c>
      <c r="U30" s="19" t="n">
        <v>0</v>
      </c>
      <c r="V30" s="19" t="n">
        <v>0</v>
      </c>
      <c r="W30" s="19" t="n">
        <v>1</v>
      </c>
      <c r="X30" s="19" t="n">
        <v>2</v>
      </c>
      <c r="Y30" s="19" t="n">
        <v>1</v>
      </c>
      <c r="Z30" s="19" t="n">
        <v>0</v>
      </c>
      <c r="AA30" s="19" t="n">
        <v>0</v>
      </c>
      <c r="AB30" s="19" t="n">
        <v>0</v>
      </c>
      <c r="AC30" s="19" t="n">
        <v>0</v>
      </c>
      <c r="AD30" s="19" t="n">
        <v>0</v>
      </c>
      <c r="AE30" s="19" t="n">
        <v>0</v>
      </c>
      <c r="AF30" s="19" t="n">
        <v>0</v>
      </c>
      <c r="AG30" s="19"/>
      <c r="AH30" s="19"/>
      <c r="BE30" s="32" t="n">
        <v>2019</v>
      </c>
      <c r="BF30" s="19" t="n">
        <v>25</v>
      </c>
      <c r="BH30" s="32" t="n">
        <v>2019</v>
      </c>
      <c r="BI30" s="19" t="n">
        <v>1</v>
      </c>
      <c r="BJ30" s="19" t="n">
        <v>1</v>
      </c>
      <c r="BK30" s="19" t="n">
        <v>3</v>
      </c>
      <c r="BL30" s="19" t="n">
        <v>10</v>
      </c>
      <c r="BM30" s="6"/>
      <c r="BN30" s="6"/>
      <c r="BO30" s="47" t="n">
        <v>2019</v>
      </c>
      <c r="BP30" s="48" t="n">
        <f aca="false">BF30-BL30</f>
        <v>15</v>
      </c>
      <c r="BQ30" s="6"/>
      <c r="BR30" s="6"/>
      <c r="BS30" s="66" t="s">
        <v>100</v>
      </c>
      <c r="BT30" s="66"/>
      <c r="BU30" s="51" t="n">
        <v>20</v>
      </c>
      <c r="BV30" s="69" t="s">
        <v>73</v>
      </c>
      <c r="BW30" s="69"/>
      <c r="BX30" s="69"/>
      <c r="BY30" s="51" t="n">
        <v>-3</v>
      </c>
      <c r="BZ30" s="6"/>
      <c r="CA30" s="6"/>
      <c r="CB30" s="56" t="n">
        <v>2019</v>
      </c>
      <c r="CC30" s="53" t="str">
        <f aca="false">IFERROR("1 : " &amp; TEXT(BF30/BP30, "0,00"), "")</f>
        <v>1 : 1,67</v>
      </c>
      <c r="CD30" s="57" t="n">
        <f aca="false">IFERROR(BF30/BP30, "")</f>
        <v>1.66666666666667</v>
      </c>
      <c r="CG30" s="32" t="n">
        <v>2021</v>
      </c>
      <c r="CH30" s="19" t="n">
        <v>0</v>
      </c>
      <c r="CI30" s="19" t="n">
        <v>0</v>
      </c>
      <c r="CJ30" s="19" t="n">
        <v>0</v>
      </c>
      <c r="CK30" s="19" t="n">
        <v>0</v>
      </c>
      <c r="CL30" s="19" t="n">
        <v>5</v>
      </c>
      <c r="CM30" s="19" t="n">
        <v>8</v>
      </c>
      <c r="CN30" s="19" t="n">
        <v>7</v>
      </c>
      <c r="CO30" s="19" t="n">
        <v>6</v>
      </c>
      <c r="CP30" s="19" t="n">
        <v>2</v>
      </c>
      <c r="CQ30" s="19" t="n">
        <v>0</v>
      </c>
      <c r="CR30" s="19" t="n">
        <v>0</v>
      </c>
      <c r="CS30" s="19" t="n">
        <v>0</v>
      </c>
      <c r="CT30" s="2" t="n">
        <f aca="false">SUM(CH30:CS30)</f>
        <v>28</v>
      </c>
      <c r="CU30" s="6"/>
      <c r="CV30" s="6"/>
      <c r="DE30" s="6"/>
      <c r="DF30" s="6"/>
      <c r="DG30" s="6"/>
      <c r="DH30" s="6"/>
      <c r="DI30" s="6"/>
      <c r="DJ30" s="6"/>
    </row>
    <row r="31" customFormat="false" ht="12.75" hidden="false" customHeight="false" outlineLevel="0" collapsed="false">
      <c r="A31" s="16" t="s">
        <v>101</v>
      </c>
      <c r="B31" s="17" t="n">
        <f aca="false">AVERAGE(E31:AE31)</f>
        <v>0.259259259259259</v>
      </c>
      <c r="C31" s="2" t="n">
        <f aca="false">MIN(E31:AE31)</f>
        <v>0</v>
      </c>
      <c r="D31" s="18" t="n">
        <f aca="false">MAX(E31:AE31)</f>
        <v>2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1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2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1</v>
      </c>
      <c r="X31" s="19" t="n">
        <v>2</v>
      </c>
      <c r="Y31" s="19" t="n">
        <v>1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/>
      <c r="AH31" s="19"/>
      <c r="BE31" s="32" t="n">
        <v>2020</v>
      </c>
      <c r="BF31" s="19" t="n">
        <v>22</v>
      </c>
      <c r="BH31" s="32" t="n">
        <v>2020</v>
      </c>
      <c r="BI31" s="19" t="n">
        <v>0</v>
      </c>
      <c r="BJ31" s="19" t="n">
        <v>1</v>
      </c>
      <c r="BK31" s="19" t="n">
        <v>3</v>
      </c>
      <c r="BL31" s="19" t="n">
        <v>10</v>
      </c>
      <c r="BM31" s="6"/>
      <c r="BN31" s="6"/>
      <c r="BO31" s="47" t="n">
        <v>2020</v>
      </c>
      <c r="BP31" s="48" t="n">
        <f aca="false">BF31-BL31</f>
        <v>12</v>
      </c>
      <c r="BQ31" s="6"/>
      <c r="BR31" s="6"/>
      <c r="BS31" s="66" t="s">
        <v>102</v>
      </c>
      <c r="BT31" s="66"/>
      <c r="BU31" s="19" t="n">
        <v>32</v>
      </c>
      <c r="BV31" s="69" t="s">
        <v>92</v>
      </c>
      <c r="BW31" s="69"/>
      <c r="BX31" s="69"/>
      <c r="BY31" s="51" t="n">
        <v>1</v>
      </c>
      <c r="BZ31" s="6"/>
      <c r="CA31" s="6"/>
      <c r="CB31" s="56" t="n">
        <v>2020</v>
      </c>
      <c r="CC31" s="53" t="str">
        <f aca="false">IFERROR("1 : " &amp; TEXT(BF31/BP31, "0,00"), "")</f>
        <v>1 : 1,83</v>
      </c>
      <c r="CD31" s="57" t="n">
        <f aca="false">IFERROR(BF31/BP31, "")</f>
        <v>1.83333333333333</v>
      </c>
      <c r="CG31" s="32" t="n">
        <v>2022</v>
      </c>
      <c r="CH31" s="19" t="n">
        <v>0</v>
      </c>
      <c r="CI31" s="19" t="n">
        <v>1</v>
      </c>
      <c r="CJ31" s="19" t="n">
        <v>0</v>
      </c>
      <c r="CK31" s="19" t="n">
        <v>1</v>
      </c>
      <c r="CL31" s="19" t="n">
        <v>4</v>
      </c>
      <c r="CM31" s="19" t="n">
        <v>5</v>
      </c>
      <c r="CN31" s="19" t="n">
        <v>4</v>
      </c>
      <c r="CO31" s="19" t="n">
        <v>5</v>
      </c>
      <c r="CP31" s="19" t="n">
        <v>5</v>
      </c>
      <c r="CQ31" s="19" t="n">
        <v>1</v>
      </c>
      <c r="CR31" s="19" t="n">
        <v>0</v>
      </c>
      <c r="CS31" s="19" t="n">
        <v>0</v>
      </c>
      <c r="CT31" s="2" t="n">
        <f aca="false">SUM(CH31:CS31)</f>
        <v>26</v>
      </c>
      <c r="CU31" s="6"/>
      <c r="CV31" s="6"/>
      <c r="DE31" s="6"/>
      <c r="DF31" s="6"/>
      <c r="DG31" s="6"/>
      <c r="DH31" s="6"/>
      <c r="DI31" s="6"/>
      <c r="DJ31" s="6"/>
    </row>
    <row r="32" customFormat="false" ht="12.75" hidden="false" customHeight="false" outlineLevel="0" collapsed="false">
      <c r="A32" s="16" t="s">
        <v>103</v>
      </c>
      <c r="B32" s="17" t="n">
        <f aca="false">AVERAGE(E32:AE32)</f>
        <v>0.259259259259259</v>
      </c>
      <c r="C32" s="2" t="n">
        <f aca="false">MIN(E32:AE32)</f>
        <v>0</v>
      </c>
      <c r="D32" s="18" t="n">
        <f aca="false">MAX(E32:AE32)</f>
        <v>2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1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2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1</v>
      </c>
      <c r="X32" s="19" t="n">
        <v>2</v>
      </c>
      <c r="Y32" s="19" t="n">
        <v>1</v>
      </c>
      <c r="Z32" s="19" t="n">
        <v>0</v>
      </c>
      <c r="AA32" s="19" t="n">
        <v>0</v>
      </c>
      <c r="AB32" s="19" t="n">
        <v>0</v>
      </c>
      <c r="AC32" s="19" t="n">
        <v>0</v>
      </c>
      <c r="AD32" s="19" t="n">
        <v>0</v>
      </c>
      <c r="AE32" s="19" t="n">
        <v>0</v>
      </c>
      <c r="AF32" s="19" t="n">
        <v>0</v>
      </c>
      <c r="AG32" s="19"/>
      <c r="AH32" s="19"/>
      <c r="BE32" s="32" t="n">
        <v>2021</v>
      </c>
      <c r="BF32" s="19" t="n">
        <v>28</v>
      </c>
      <c r="BH32" s="32" t="n">
        <v>2021</v>
      </c>
      <c r="BI32" s="19" t="n">
        <v>2</v>
      </c>
      <c r="BJ32" s="19" t="n">
        <v>0</v>
      </c>
      <c r="BK32" s="19" t="n">
        <v>2</v>
      </c>
      <c r="BL32" s="19" t="n">
        <v>9</v>
      </c>
      <c r="BM32" s="6"/>
      <c r="BN32" s="6"/>
      <c r="BO32" s="47" t="n">
        <v>2021</v>
      </c>
      <c r="BP32" s="48" t="n">
        <f aca="false">BF32-BL32</f>
        <v>19</v>
      </c>
      <c r="BQ32" s="6"/>
      <c r="BR32" s="6"/>
      <c r="BS32" s="66" t="s">
        <v>104</v>
      </c>
      <c r="BT32" s="66"/>
      <c r="BU32" s="19" t="n">
        <v>33</v>
      </c>
      <c r="BV32" s="69" t="s">
        <v>87</v>
      </c>
      <c r="BW32" s="69"/>
      <c r="BX32" s="69"/>
      <c r="BY32" s="51" t="n">
        <v>2</v>
      </c>
      <c r="BZ32" s="6"/>
      <c r="CA32" s="6"/>
      <c r="CB32" s="56" t="n">
        <v>2021</v>
      </c>
      <c r="CC32" s="53" t="str">
        <f aca="false">IFERROR("1 : " &amp; TEXT(BF32/BP32, "0,00"), "")</f>
        <v>1 : 1,47</v>
      </c>
      <c r="CD32" s="57" t="n">
        <f aca="false">IFERROR(BF32/BP32, "")</f>
        <v>1.47368421052632</v>
      </c>
      <c r="CG32" s="32" t="n">
        <v>2023</v>
      </c>
      <c r="CH32" s="19" t="n">
        <v>0</v>
      </c>
      <c r="CI32" s="19" t="n">
        <v>1</v>
      </c>
      <c r="CJ32" s="19" t="n">
        <v>1</v>
      </c>
      <c r="CK32" s="19" t="n">
        <v>1</v>
      </c>
      <c r="CL32" s="19" t="n">
        <v>1</v>
      </c>
      <c r="CM32" s="19" t="n">
        <v>10</v>
      </c>
      <c r="CN32" s="19" t="n">
        <v>6</v>
      </c>
      <c r="CO32" s="19" t="n">
        <v>5</v>
      </c>
      <c r="CP32" s="19" t="n">
        <v>2</v>
      </c>
      <c r="CQ32" s="19" t="n">
        <v>1</v>
      </c>
      <c r="CR32" s="19" t="n">
        <v>0</v>
      </c>
      <c r="CS32" s="19" t="n">
        <v>2</v>
      </c>
      <c r="CT32" s="2" t="n">
        <f aca="false">SUM(CH32:CS32)</f>
        <v>30</v>
      </c>
      <c r="CU32" s="6"/>
      <c r="CV32" s="6"/>
      <c r="DE32" s="6"/>
      <c r="DF32" s="6"/>
      <c r="DG32" s="6"/>
      <c r="DH32" s="6"/>
      <c r="DI32" s="6"/>
      <c r="DJ32" s="6"/>
    </row>
    <row r="33" customFormat="false" ht="12.75" hidden="false" customHeight="false" outlineLevel="0" collapsed="false">
      <c r="A33" s="16" t="s">
        <v>105</v>
      </c>
      <c r="B33" s="17" t="n">
        <f aca="false">AVERAGE(E33:AE33)</f>
        <v>0.259259259259259</v>
      </c>
      <c r="C33" s="2" t="n">
        <f aca="false">MIN(E33:AE33)</f>
        <v>0</v>
      </c>
      <c r="D33" s="18" t="n">
        <f aca="false">MAX(E33:AE33)</f>
        <v>2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1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2</v>
      </c>
      <c r="S33" s="19" t="n">
        <v>0</v>
      </c>
      <c r="T33" s="19" t="n">
        <v>0</v>
      </c>
      <c r="U33" s="19" t="n">
        <v>0</v>
      </c>
      <c r="V33" s="19" t="n">
        <v>0</v>
      </c>
      <c r="W33" s="19" t="n">
        <v>1</v>
      </c>
      <c r="X33" s="19" t="n">
        <v>2</v>
      </c>
      <c r="Y33" s="19" t="n">
        <v>1</v>
      </c>
      <c r="Z33" s="19" t="n">
        <v>0</v>
      </c>
      <c r="AA33" s="19" t="n">
        <v>0</v>
      </c>
      <c r="AB33" s="19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  <c r="AG33" s="19"/>
      <c r="AH33" s="19"/>
      <c r="BC33" s="2"/>
      <c r="BE33" s="32" t="n">
        <v>2022</v>
      </c>
      <c r="BF33" s="19" t="n">
        <v>26</v>
      </c>
      <c r="BH33" s="32" t="n">
        <v>2022</v>
      </c>
      <c r="BI33" s="19" t="n">
        <v>2</v>
      </c>
      <c r="BJ33" s="19" t="n">
        <v>2</v>
      </c>
      <c r="BK33" s="19" t="n">
        <v>4</v>
      </c>
      <c r="BL33" s="19" t="n">
        <v>10</v>
      </c>
      <c r="BM33" s="6"/>
      <c r="BN33" s="6"/>
      <c r="BO33" s="47" t="n">
        <v>2022</v>
      </c>
      <c r="BP33" s="48" t="n">
        <f aca="false">BF33-BL33</f>
        <v>16</v>
      </c>
      <c r="BQ33" s="6"/>
      <c r="BR33" s="6"/>
      <c r="BS33" s="66" t="s">
        <v>106</v>
      </c>
      <c r="BT33" s="66"/>
      <c r="BU33" s="19" t="n">
        <v>20</v>
      </c>
      <c r="BV33" s="69" t="s">
        <v>73</v>
      </c>
      <c r="BW33" s="69"/>
      <c r="BX33" s="69"/>
      <c r="BY33" s="51" t="n">
        <v>-3</v>
      </c>
      <c r="BZ33" s="6"/>
      <c r="CA33" s="6"/>
      <c r="CB33" s="56" t="n">
        <v>2022</v>
      </c>
      <c r="CC33" s="53" t="str">
        <f aca="false">IFERROR("1 : " &amp; TEXT(BF33/BP33, "0,00"), "")</f>
        <v>1 : 1,63</v>
      </c>
      <c r="CD33" s="57" t="n">
        <f aca="false">IFERROR(BF33/BP33, "")</f>
        <v>1.625</v>
      </c>
      <c r="CG33" s="32" t="n">
        <v>2024</v>
      </c>
      <c r="CH33" s="19" t="n">
        <v>0</v>
      </c>
      <c r="CI33" s="19" t="n">
        <v>0</v>
      </c>
      <c r="CJ33" s="19" t="n">
        <v>0</v>
      </c>
      <c r="CK33" s="19" t="n">
        <v>1</v>
      </c>
      <c r="CL33" s="19" t="n">
        <v>7</v>
      </c>
      <c r="CM33" s="19" t="n">
        <v>6</v>
      </c>
      <c r="CN33" s="19" t="n">
        <v>6</v>
      </c>
      <c r="CO33" s="19" t="n">
        <v>9</v>
      </c>
      <c r="CP33" s="19" t="n">
        <v>1</v>
      </c>
      <c r="CQ33" s="19" t="n">
        <v>0</v>
      </c>
      <c r="CR33" s="19" t="n">
        <v>0</v>
      </c>
      <c r="CS33" s="19" t="n">
        <v>0</v>
      </c>
      <c r="CT33" s="2" t="n">
        <f aca="false">SUM(CH33:CS33)</f>
        <v>30</v>
      </c>
      <c r="CU33" s="6"/>
      <c r="CV33" s="6"/>
      <c r="DE33" s="6"/>
      <c r="DF33" s="6"/>
      <c r="DG33" s="6"/>
      <c r="DH33" s="6"/>
      <c r="DI33" s="6"/>
      <c r="DJ33" s="6"/>
    </row>
    <row r="34" customFormat="false" ht="12.75" hidden="false" customHeight="false" outlineLevel="0" collapsed="false">
      <c r="A34" s="16" t="s">
        <v>107</v>
      </c>
      <c r="B34" s="17" t="n">
        <f aca="false">AVERAGE(E34:AE34)</f>
        <v>0.259259259259259</v>
      </c>
      <c r="C34" s="2" t="n">
        <f aca="false">MIN(E34:AE34)</f>
        <v>0</v>
      </c>
      <c r="D34" s="18" t="n">
        <f aca="false">MAX(E34:AE34)</f>
        <v>2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1</v>
      </c>
      <c r="N34" s="19" t="n">
        <v>0</v>
      </c>
      <c r="O34" s="19" t="n">
        <v>0</v>
      </c>
      <c r="P34" s="19" t="n">
        <v>0</v>
      </c>
      <c r="Q34" s="19" t="n">
        <v>0</v>
      </c>
      <c r="R34" s="19" t="n">
        <v>2</v>
      </c>
      <c r="S34" s="19" t="n">
        <v>0</v>
      </c>
      <c r="T34" s="19" t="n">
        <v>0</v>
      </c>
      <c r="U34" s="19" t="n">
        <v>0</v>
      </c>
      <c r="V34" s="19" t="n">
        <v>0</v>
      </c>
      <c r="W34" s="19" t="n">
        <v>1</v>
      </c>
      <c r="X34" s="19" t="n">
        <v>2</v>
      </c>
      <c r="Y34" s="19" t="n">
        <v>1</v>
      </c>
      <c r="Z34" s="19" t="n">
        <v>0</v>
      </c>
      <c r="AA34" s="19" t="n">
        <v>0</v>
      </c>
      <c r="AB34" s="19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19"/>
      <c r="AH34" s="19"/>
      <c r="BC34" s="2"/>
      <c r="BE34" s="32" t="n">
        <v>2023</v>
      </c>
      <c r="BF34" s="19" t="n">
        <v>29</v>
      </c>
      <c r="BH34" s="32" t="n">
        <v>2023</v>
      </c>
      <c r="BI34" s="19" t="n">
        <v>1</v>
      </c>
      <c r="BJ34" s="19" t="n">
        <v>2</v>
      </c>
      <c r="BK34" s="19" t="n">
        <v>2</v>
      </c>
      <c r="BL34" s="19" t="n">
        <v>13</v>
      </c>
      <c r="BM34" s="6"/>
      <c r="BN34" s="6"/>
      <c r="BO34" s="47" t="n">
        <v>2023</v>
      </c>
      <c r="BP34" s="48" t="n">
        <f aca="false">BF34-BL34</f>
        <v>16</v>
      </c>
      <c r="BQ34" s="6"/>
      <c r="BR34" s="6"/>
      <c r="BS34" s="66" t="s">
        <v>108</v>
      </c>
      <c r="BT34" s="66"/>
      <c r="BU34" s="19" t="n">
        <v>40</v>
      </c>
      <c r="BV34" s="69" t="s">
        <v>109</v>
      </c>
      <c r="BW34" s="69"/>
      <c r="BX34" s="69"/>
      <c r="BY34" s="51" t="n">
        <v>3</v>
      </c>
      <c r="BZ34" s="6"/>
      <c r="CA34" s="6"/>
      <c r="CB34" s="56" t="n">
        <v>2023</v>
      </c>
      <c r="CC34" s="53" t="str">
        <f aca="false">IFERROR("1 : " &amp; TEXT(BF34/BP34, "0,00"), "")</f>
        <v>1 : 1,81</v>
      </c>
      <c r="CD34" s="57" t="n">
        <f aca="false">IFERROR(BF34/BP34, "")</f>
        <v>1.8125</v>
      </c>
      <c r="CG34" s="32" t="n">
        <v>2025</v>
      </c>
      <c r="CH34" s="19" t="n">
        <v>0</v>
      </c>
      <c r="CI34" s="19" t="n">
        <v>0</v>
      </c>
      <c r="CJ34" s="19" t="n">
        <v>0</v>
      </c>
      <c r="CK34" s="19" t="n">
        <v>0</v>
      </c>
      <c r="CL34" s="19" t="n">
        <v>4</v>
      </c>
      <c r="CM34" s="19" t="n">
        <v>3</v>
      </c>
      <c r="CN34" s="19" t="n">
        <v>7</v>
      </c>
      <c r="CO34" s="70" t="n">
        <v>2</v>
      </c>
      <c r="CP34" s="19" t="n">
        <v>3</v>
      </c>
      <c r="CQ34" s="19" t="n">
        <v>0</v>
      </c>
      <c r="CR34" s="19" t="n">
        <v>0</v>
      </c>
      <c r="CS34" s="19" t="n">
        <v>0</v>
      </c>
      <c r="CT34" s="2" t="n">
        <f aca="false">SUM(CH34:CS34)</f>
        <v>19</v>
      </c>
      <c r="CU34" s="6"/>
      <c r="CV34" s="6"/>
      <c r="DE34" s="6"/>
      <c r="DF34" s="6"/>
      <c r="DG34" s="6"/>
      <c r="DH34" s="6"/>
      <c r="DI34" s="6"/>
      <c r="DJ34" s="6"/>
    </row>
    <row r="35" customFormat="false" ht="12.75" hidden="false" customHeight="false" outlineLevel="0" collapsed="false">
      <c r="A35" s="16" t="s">
        <v>110</v>
      </c>
      <c r="B35" s="17" t="n">
        <f aca="false">AVERAGE(E35:AE35)</f>
        <v>0.259259259259259</v>
      </c>
      <c r="C35" s="2" t="n">
        <f aca="false">MIN(E35:AE35)</f>
        <v>0</v>
      </c>
      <c r="D35" s="18" t="n">
        <f aca="false">MAX(E35:AE35)</f>
        <v>2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1</v>
      </c>
      <c r="N35" s="19" t="n">
        <v>0</v>
      </c>
      <c r="O35" s="19" t="n">
        <v>0</v>
      </c>
      <c r="P35" s="19" t="n">
        <v>0</v>
      </c>
      <c r="Q35" s="19" t="n">
        <v>0</v>
      </c>
      <c r="R35" s="19" t="n">
        <v>2</v>
      </c>
      <c r="S35" s="19" t="n">
        <v>0</v>
      </c>
      <c r="T35" s="19" t="n">
        <v>0</v>
      </c>
      <c r="U35" s="19" t="n">
        <v>0</v>
      </c>
      <c r="V35" s="19" t="n">
        <v>0</v>
      </c>
      <c r="W35" s="19" t="n">
        <v>1</v>
      </c>
      <c r="X35" s="19" t="n">
        <v>2</v>
      </c>
      <c r="Y35" s="19" t="n">
        <v>1</v>
      </c>
      <c r="Z35" s="19" t="n">
        <v>0</v>
      </c>
      <c r="AA35" s="19" t="n">
        <v>0</v>
      </c>
      <c r="AB35" s="19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  <c r="AG35" s="19"/>
      <c r="AH35" s="19"/>
      <c r="BC35" s="2"/>
      <c r="BE35" s="32" t="n">
        <v>2024</v>
      </c>
      <c r="BF35" s="19" t="n">
        <v>30</v>
      </c>
      <c r="BH35" s="32" t="n">
        <v>2024</v>
      </c>
      <c r="BI35" s="19" t="n">
        <v>0</v>
      </c>
      <c r="BJ35" s="19" t="n">
        <v>9</v>
      </c>
      <c r="BK35" s="19" t="n">
        <v>0</v>
      </c>
      <c r="BL35" s="19" t="n">
        <v>11</v>
      </c>
      <c r="BM35" s="6"/>
      <c r="BN35" s="6"/>
      <c r="BO35" s="47" t="n">
        <v>2024</v>
      </c>
      <c r="BP35" s="48" t="n">
        <f aca="false">BF35-BL35</f>
        <v>19</v>
      </c>
      <c r="BQ35" s="6"/>
      <c r="BR35" s="6"/>
      <c r="BS35" s="66" t="s">
        <v>111</v>
      </c>
      <c r="BT35" s="66"/>
      <c r="BU35" s="19" t="n">
        <v>28</v>
      </c>
      <c r="BV35" s="69" t="s">
        <v>76</v>
      </c>
      <c r="BW35" s="69"/>
      <c r="BX35" s="69"/>
      <c r="BY35" s="51" t="n">
        <v>0</v>
      </c>
      <c r="BZ35" s="6"/>
      <c r="CA35" s="6"/>
      <c r="CB35" s="56" t="n">
        <v>2024</v>
      </c>
      <c r="CC35" s="53" t="str">
        <f aca="false">IFERROR("1 : " &amp; TEXT(BF35/BP35, "0,00"), "")</f>
        <v>1 : 1,58</v>
      </c>
      <c r="CD35" s="57" t="n">
        <f aca="false">IFERROR(BF35/BP35, "")</f>
        <v>1.57894736842105</v>
      </c>
      <c r="CG35" s="32" t="n">
        <v>2026</v>
      </c>
      <c r="CH35" s="19" t="n">
        <v>0</v>
      </c>
      <c r="CI35" s="19" t="n">
        <v>0</v>
      </c>
      <c r="CJ35" s="19" t="n">
        <v>0</v>
      </c>
      <c r="CK35" s="19" t="n">
        <v>1</v>
      </c>
      <c r="CL35" s="19" t="n">
        <v>4</v>
      </c>
      <c r="CM35" s="19" t="n">
        <v>6</v>
      </c>
      <c r="CN35" s="19" t="n">
        <v>3</v>
      </c>
      <c r="CO35" s="19" t="n">
        <v>8</v>
      </c>
      <c r="CP35" s="19"/>
      <c r="CQ35" s="19"/>
      <c r="CR35" s="19"/>
      <c r="CS35" s="19"/>
      <c r="CU35" s="6"/>
      <c r="CV35" s="6"/>
    </row>
    <row r="36" customFormat="false" ht="12.75" hidden="false" customHeight="false" outlineLevel="0" collapsed="false">
      <c r="A36" s="16" t="s">
        <v>112</v>
      </c>
      <c r="B36" s="17" t="n">
        <f aca="false">AVERAGE(E36:AE36)</f>
        <v>0.296296296296296</v>
      </c>
      <c r="C36" s="2" t="n">
        <f aca="false">MIN(E36:AE36)</f>
        <v>0</v>
      </c>
      <c r="D36" s="18" t="n">
        <f aca="false">MAX(E36:AE36)</f>
        <v>2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1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2</v>
      </c>
      <c r="S36" s="19" t="n">
        <v>0</v>
      </c>
      <c r="T36" s="19" t="n">
        <v>0</v>
      </c>
      <c r="U36" s="19" t="n">
        <v>0</v>
      </c>
      <c r="V36" s="19" t="n">
        <v>0</v>
      </c>
      <c r="W36" s="19" t="n">
        <v>1</v>
      </c>
      <c r="X36" s="19" t="n">
        <v>2</v>
      </c>
      <c r="Y36" s="19" t="n">
        <v>1</v>
      </c>
      <c r="Z36" s="19" t="n">
        <v>0</v>
      </c>
      <c r="AA36" s="19" t="n">
        <v>0</v>
      </c>
      <c r="AB36" s="19" t="n">
        <v>0</v>
      </c>
      <c r="AC36" s="30" t="n">
        <v>1</v>
      </c>
      <c r="AD36" s="19" t="n">
        <v>0</v>
      </c>
      <c r="AE36" s="19" t="n">
        <v>0</v>
      </c>
      <c r="AF36" s="19" t="n">
        <v>0</v>
      </c>
      <c r="AG36" s="19"/>
      <c r="AH36" s="19"/>
      <c r="BC36" s="2"/>
      <c r="BE36" s="32" t="n">
        <v>2025</v>
      </c>
      <c r="BF36" s="19" t="n">
        <v>19</v>
      </c>
      <c r="BH36" s="71" t="n">
        <v>2025</v>
      </c>
      <c r="BI36" s="72" t="n">
        <v>0</v>
      </c>
      <c r="BJ36" s="19" t="n">
        <v>2</v>
      </c>
      <c r="BK36" s="73" t="n">
        <v>0</v>
      </c>
      <c r="BL36" s="73" t="n">
        <v>8</v>
      </c>
      <c r="BM36" s="6"/>
      <c r="BN36" s="6"/>
      <c r="BO36" s="47" t="n">
        <v>2025</v>
      </c>
      <c r="BP36" s="48" t="n">
        <f aca="false">BF36-BL36</f>
        <v>11</v>
      </c>
      <c r="BQ36" s="6"/>
      <c r="BR36" s="6"/>
      <c r="BS36" s="66" t="s">
        <v>113</v>
      </c>
      <c r="BT36" s="66"/>
      <c r="BU36" s="19" t="n">
        <v>33</v>
      </c>
      <c r="BV36" s="69" t="s">
        <v>87</v>
      </c>
      <c r="BW36" s="69"/>
      <c r="BX36" s="69"/>
      <c r="BY36" s="51" t="n">
        <v>2</v>
      </c>
      <c r="BZ36" s="6"/>
      <c r="CA36" s="6"/>
      <c r="CB36" s="56" t="n">
        <v>2025</v>
      </c>
      <c r="CC36" s="53" t="str">
        <f aca="false">IFERROR("1 : " &amp; TEXT(BF36/BP36, "0,00"), "")</f>
        <v>1 : 1,73</v>
      </c>
      <c r="CD36" s="57" t="n">
        <f aca="false">IFERROR(BF36/BP36, "")</f>
        <v>1.72727272727273</v>
      </c>
      <c r="CG36" s="74" t="s">
        <v>114</v>
      </c>
      <c r="CH36" s="75" t="n">
        <f aca="false">AVERAGE(CH8:CH35)</f>
        <v>0.25</v>
      </c>
      <c r="CI36" s="75" t="n">
        <f aca="false">AVERAGE(CI8:CI35)</f>
        <v>0.25</v>
      </c>
      <c r="CJ36" s="75" t="n">
        <f aca="false">AVERAGE(CJ8:CJ35)</f>
        <v>0.357142857142857</v>
      </c>
      <c r="CK36" s="75" t="n">
        <f aca="false">AVERAGE(CK8:CK35)</f>
        <v>1.46428571428571</v>
      </c>
      <c r="CL36" s="75" t="n">
        <f aca="false">AVERAGE(CL8:CL35)</f>
        <v>4.96428571428571</v>
      </c>
      <c r="CM36" s="75" t="n">
        <f aca="false">AVERAGE(CM8:CM35)</f>
        <v>6.10714285714286</v>
      </c>
      <c r="CN36" s="75" t="n">
        <f aca="false">AVERAGE(CN8:CN35)</f>
        <v>7</v>
      </c>
      <c r="CO36" s="75" t="n">
        <f aca="false">AVERAGE(CO8:CO35)</f>
        <v>5.46428571428571</v>
      </c>
      <c r="CP36" s="75" t="n">
        <f aca="false">AVERAGE(CP8:CP35)</f>
        <v>1.62962962962963</v>
      </c>
      <c r="CQ36" s="75" t="n">
        <f aca="false">AVERAGE(CQ8:CQ35)</f>
        <v>0.259259259259259</v>
      </c>
      <c r="CR36" s="75" t="n">
        <f aca="false">AVERAGE(CR8:CR35)</f>
        <v>0.037037037037037</v>
      </c>
      <c r="CS36" s="75" t="n">
        <f aca="false">AVERAGE(CS8:CS35)</f>
        <v>0.185185185185185</v>
      </c>
      <c r="CT36" s="76" t="n">
        <f aca="false">SUM(CH36:CS36)</f>
        <v>27.968253968254</v>
      </c>
      <c r="CU36" s="6"/>
      <c r="CV36" s="6"/>
      <c r="CW36" s="6"/>
      <c r="CX36" s="6"/>
      <c r="CY36" s="6"/>
      <c r="CZ36" s="6"/>
      <c r="DA36" s="6"/>
    </row>
    <row r="37" customFormat="false" ht="12.75" hidden="false" customHeight="false" outlineLevel="0" collapsed="false">
      <c r="A37" s="16" t="s">
        <v>115</v>
      </c>
      <c r="B37" s="17" t="n">
        <f aca="false">AVERAGE(E37:AE37)</f>
        <v>0.296296296296296</v>
      </c>
      <c r="C37" s="2" t="n">
        <f aca="false">MIN(E37:AE37)</f>
        <v>0</v>
      </c>
      <c r="D37" s="18" t="n">
        <f aca="false">MAX(E37:AE37)</f>
        <v>2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1</v>
      </c>
      <c r="N37" s="19" t="n">
        <v>0</v>
      </c>
      <c r="O37" s="19" t="n">
        <v>0</v>
      </c>
      <c r="P37" s="19" t="n">
        <v>0</v>
      </c>
      <c r="Q37" s="19" t="n">
        <v>0</v>
      </c>
      <c r="R37" s="19" t="n">
        <v>2</v>
      </c>
      <c r="S37" s="19" t="n">
        <v>0</v>
      </c>
      <c r="T37" s="19" t="n">
        <v>0</v>
      </c>
      <c r="U37" s="19" t="n">
        <v>0</v>
      </c>
      <c r="V37" s="19" t="n">
        <v>0</v>
      </c>
      <c r="W37" s="19" t="n">
        <v>1</v>
      </c>
      <c r="X37" s="19" t="n">
        <v>2</v>
      </c>
      <c r="Y37" s="19" t="n">
        <v>1</v>
      </c>
      <c r="Z37" s="19" t="n">
        <v>0</v>
      </c>
      <c r="AA37" s="19" t="n">
        <v>0</v>
      </c>
      <c r="AB37" s="19" t="n">
        <v>0</v>
      </c>
      <c r="AC37" s="19" t="n">
        <v>1</v>
      </c>
      <c r="AD37" s="19" t="n">
        <v>0</v>
      </c>
      <c r="AE37" s="19" t="n">
        <v>0</v>
      </c>
      <c r="AF37" s="19" t="n">
        <v>0</v>
      </c>
      <c r="AG37" s="19"/>
      <c r="AH37" s="19"/>
      <c r="BC37" s="2"/>
      <c r="BE37" s="32" t="n">
        <v>2026</v>
      </c>
      <c r="BF37" s="19" t="n">
        <v>22</v>
      </c>
      <c r="BH37" s="71" t="n">
        <v>2026</v>
      </c>
      <c r="BI37" s="72" t="n">
        <v>1</v>
      </c>
      <c r="BJ37" s="19" t="n">
        <v>3</v>
      </c>
      <c r="BK37" s="73" t="n">
        <v>0</v>
      </c>
      <c r="BL37" s="73" t="n">
        <v>10</v>
      </c>
      <c r="BM37" s="6"/>
      <c r="BN37" s="6"/>
      <c r="BO37" s="47" t="n">
        <v>2026</v>
      </c>
      <c r="BP37" s="48" t="n">
        <v>12</v>
      </c>
      <c r="BQ37" s="6"/>
      <c r="BR37" s="6"/>
      <c r="BS37" s="66" t="s">
        <v>116</v>
      </c>
      <c r="BT37" s="66"/>
      <c r="BU37" s="19" t="n">
        <v>33</v>
      </c>
      <c r="BV37" s="69" t="s">
        <v>87</v>
      </c>
      <c r="BW37" s="69"/>
      <c r="BX37" s="69"/>
      <c r="BY37" s="51" t="n">
        <v>2</v>
      </c>
      <c r="BZ37" s="6"/>
      <c r="CA37" s="6"/>
      <c r="CB37" s="56" t="n">
        <v>2026</v>
      </c>
      <c r="CC37" s="53" t="str">
        <f aca="false">IFERROR("1 : " &amp; TEXT(BF37/BP37, "0,00"), "")</f>
        <v>1 : 1,83</v>
      </c>
      <c r="CD37" s="57" t="n">
        <f aca="false">IFERROR(BF37/BP37, "")</f>
        <v>1.83333333333333</v>
      </c>
      <c r="CG37" s="77" t="s">
        <v>34</v>
      </c>
      <c r="CH37" s="78" t="n">
        <f aca="false">SUM(CH8:CH34)</f>
        <v>7</v>
      </c>
      <c r="CI37" s="78" t="n">
        <f aca="false">SUM(CI8:CI34)</f>
        <v>7</v>
      </c>
      <c r="CJ37" s="78" t="n">
        <f aca="false">SUM(CJ8:CJ34)</f>
        <v>10</v>
      </c>
      <c r="CK37" s="78" t="n">
        <f aca="false">SUM(CK8:CK34)</f>
        <v>40</v>
      </c>
      <c r="CL37" s="78" t="n">
        <f aca="false">SUM(CL8:CL34)</f>
        <v>135</v>
      </c>
      <c r="CM37" s="78" t="n">
        <f aca="false">SUM(CM8:CM34)</f>
        <v>165</v>
      </c>
      <c r="CN37" s="78" t="n">
        <f aca="false">SUM(CN8:CN34)</f>
        <v>193</v>
      </c>
      <c r="CO37" s="78" t="n">
        <f aca="false">SUM(CO8:CO34)</f>
        <v>145</v>
      </c>
      <c r="CP37" s="78" t="n">
        <f aca="false">SUM(CP8:CP34)</f>
        <v>44</v>
      </c>
      <c r="CQ37" s="78" t="n">
        <f aca="false">SUM(CQ8:CQ34)</f>
        <v>7</v>
      </c>
      <c r="CR37" s="78" t="n">
        <f aca="false">SUM(CR8:CR34)</f>
        <v>1</v>
      </c>
      <c r="CS37" s="78" t="n">
        <f aca="false">SUM(CS8:CS34)</f>
        <v>5</v>
      </c>
      <c r="CU37" s="6"/>
      <c r="CV37" s="6"/>
      <c r="CW37" s="6"/>
      <c r="CX37" s="6"/>
      <c r="CY37" s="6"/>
      <c r="CZ37" s="6"/>
      <c r="DA37" s="6"/>
    </row>
    <row r="38" customFormat="false" ht="12.75" hidden="false" customHeight="false" outlineLevel="0" collapsed="false">
      <c r="A38" s="16" t="s">
        <v>117</v>
      </c>
      <c r="B38" s="17" t="n">
        <f aca="false">AVERAGE(E38:AE38)</f>
        <v>0.296296296296296</v>
      </c>
      <c r="C38" s="2" t="n">
        <f aca="false">MIN(E38:AE38)</f>
        <v>0</v>
      </c>
      <c r="D38" s="18" t="n">
        <f aca="false">MAX(E38:AE38)</f>
        <v>2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1</v>
      </c>
      <c r="N38" s="19" t="n">
        <v>0</v>
      </c>
      <c r="O38" s="19" t="n">
        <v>0</v>
      </c>
      <c r="P38" s="19" t="n">
        <v>0</v>
      </c>
      <c r="Q38" s="19" t="n">
        <v>0</v>
      </c>
      <c r="R38" s="19" t="n">
        <v>2</v>
      </c>
      <c r="S38" s="19" t="n">
        <v>0</v>
      </c>
      <c r="T38" s="19" t="n">
        <v>0</v>
      </c>
      <c r="U38" s="19" t="n">
        <v>0</v>
      </c>
      <c r="V38" s="19" t="n">
        <v>0</v>
      </c>
      <c r="W38" s="19" t="n">
        <v>1</v>
      </c>
      <c r="X38" s="19" t="n">
        <v>2</v>
      </c>
      <c r="Y38" s="19" t="n">
        <v>1</v>
      </c>
      <c r="Z38" s="19" t="n">
        <v>0</v>
      </c>
      <c r="AA38" s="19" t="n">
        <v>0</v>
      </c>
      <c r="AB38" s="19" t="n">
        <v>0</v>
      </c>
      <c r="AC38" s="19" t="n">
        <v>1</v>
      </c>
      <c r="AD38" s="19" t="n">
        <v>0</v>
      </c>
      <c r="AE38" s="19" t="n">
        <v>0</v>
      </c>
      <c r="AF38" s="19" t="n">
        <v>0</v>
      </c>
      <c r="AG38" s="19"/>
      <c r="AH38" s="19"/>
      <c r="BC38" s="2"/>
      <c r="BE38" s="32" t="n">
        <v>2027</v>
      </c>
      <c r="BF38" s="19"/>
      <c r="BH38" s="71" t="n">
        <v>2027</v>
      </c>
      <c r="BI38" s="72"/>
      <c r="BJ38" s="19"/>
      <c r="BK38" s="73"/>
      <c r="BL38" s="73"/>
      <c r="BM38" s="6"/>
      <c r="BN38" s="6"/>
      <c r="BO38" s="47" t="n">
        <v>2027</v>
      </c>
      <c r="BP38" s="48"/>
      <c r="BQ38" s="2"/>
      <c r="BR38" s="6"/>
      <c r="BS38" s="66" t="s">
        <v>118</v>
      </c>
      <c r="BT38" s="66"/>
      <c r="BU38" s="19" t="n">
        <v>29</v>
      </c>
      <c r="BV38" s="69" t="s">
        <v>76</v>
      </c>
      <c r="BW38" s="69"/>
      <c r="BX38" s="69"/>
      <c r="BY38" s="51" t="n">
        <v>0</v>
      </c>
      <c r="BZ38" s="6"/>
      <c r="CA38" s="6"/>
      <c r="CB38" s="56" t="n">
        <v>2027</v>
      </c>
      <c r="CC38" s="79" t="str">
        <f aca="false">IFERROR("1 : " &amp; TEXT(BF38/BP38, "0,0"), "")</f>
        <v/>
      </c>
      <c r="CD38" s="16"/>
      <c r="CU38" s="6"/>
      <c r="CV38" s="6"/>
      <c r="CW38" s="6"/>
      <c r="CX38" s="6"/>
      <c r="CY38" s="6"/>
      <c r="CZ38" s="6"/>
      <c r="DA38" s="6"/>
    </row>
    <row r="39" customFormat="false" ht="12.75" hidden="false" customHeight="false" outlineLevel="0" collapsed="false">
      <c r="A39" s="16" t="s">
        <v>119</v>
      </c>
      <c r="B39" s="17" t="n">
        <f aca="false">AVERAGE(E39:AE39)</f>
        <v>0.333333333333333</v>
      </c>
      <c r="C39" s="2" t="n">
        <f aca="false">MIN(E39:AE39)</f>
        <v>0</v>
      </c>
      <c r="D39" s="18" t="n">
        <f aca="false">MAX(E39:AE39)</f>
        <v>2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</v>
      </c>
      <c r="N39" s="19" t="n">
        <v>0</v>
      </c>
      <c r="O39" s="19" t="n">
        <v>0</v>
      </c>
      <c r="P39" s="19" t="n">
        <v>0</v>
      </c>
      <c r="Q39" s="19" t="n">
        <v>0</v>
      </c>
      <c r="R39" s="19" t="n">
        <v>2</v>
      </c>
      <c r="S39" s="19" t="n">
        <v>0</v>
      </c>
      <c r="T39" s="19" t="n">
        <v>0</v>
      </c>
      <c r="U39" s="19" t="n">
        <v>0</v>
      </c>
      <c r="V39" s="19" t="n">
        <v>0</v>
      </c>
      <c r="W39" s="19" t="n">
        <v>1</v>
      </c>
      <c r="X39" s="19" t="n">
        <v>2</v>
      </c>
      <c r="Y39" s="19" t="n">
        <v>1</v>
      </c>
      <c r="Z39" s="22" t="n">
        <v>0</v>
      </c>
      <c r="AA39" s="19" t="n">
        <v>0</v>
      </c>
      <c r="AB39" s="30" t="n">
        <v>1</v>
      </c>
      <c r="AC39" s="22" t="n">
        <v>1</v>
      </c>
      <c r="AD39" s="19" t="n">
        <v>0</v>
      </c>
      <c r="AE39" s="19" t="n">
        <v>0</v>
      </c>
      <c r="AF39" s="19" t="n">
        <v>0</v>
      </c>
      <c r="AG39" s="19"/>
      <c r="AH39" s="19"/>
      <c r="BC39" s="2"/>
      <c r="BE39" s="32" t="n">
        <v>2028</v>
      </c>
      <c r="BF39" s="19"/>
      <c r="BH39" s="71" t="n">
        <v>2028</v>
      </c>
      <c r="BI39" s="72"/>
      <c r="BJ39" s="19"/>
      <c r="BK39" s="73"/>
      <c r="BL39" s="73"/>
      <c r="BM39" s="6"/>
      <c r="BN39" s="6"/>
      <c r="BO39" s="47" t="n">
        <v>2028</v>
      </c>
      <c r="BP39" s="48"/>
      <c r="BQ39" s="2"/>
      <c r="BR39" s="6"/>
      <c r="BS39" s="66" t="s">
        <v>120</v>
      </c>
      <c r="BT39" s="66"/>
      <c r="BU39" s="19" t="n">
        <v>25</v>
      </c>
      <c r="BV39" s="69" t="s">
        <v>121</v>
      </c>
      <c r="BW39" s="69"/>
      <c r="BX39" s="69"/>
      <c r="BY39" s="51" t="n">
        <v>-1</v>
      </c>
      <c r="BZ39" s="6"/>
      <c r="CA39" s="6"/>
      <c r="CB39" s="56" t="n">
        <v>2028</v>
      </c>
      <c r="CC39" s="79" t="str">
        <f aca="false">IFERROR("1 : " &amp; TEXT(BF39/BP39, "0,0"), "")</f>
        <v/>
      </c>
      <c r="CD39" s="16"/>
      <c r="CH39" s="1" t="n">
        <f aca="false">SUM(CH25:CH34,CH23)</f>
        <v>4</v>
      </c>
      <c r="CI39" s="1" t="n">
        <f aca="false">SUM(CI25:CI34,CI23)</f>
        <v>4</v>
      </c>
      <c r="CJ39" s="1" t="n">
        <f aca="false">SUM(CJ25:CJ34,CJ23)</f>
        <v>2</v>
      </c>
      <c r="CK39" s="1" t="n">
        <f aca="false">SUM(CK25:CK34,CK23)</f>
        <v>13</v>
      </c>
      <c r="CL39" s="1" t="n">
        <f aca="false">SUM(CL25:CL34,CL23)</f>
        <v>45</v>
      </c>
      <c r="CM39" s="1" t="n">
        <f aca="false">SUM(CM25:CM34,CM23)</f>
        <v>72</v>
      </c>
      <c r="CN39" s="1" t="n">
        <f aca="false">SUM(CN25:CN34,CN23)</f>
        <v>78</v>
      </c>
      <c r="CO39" s="1" t="n">
        <f aca="false">SUM(CO25:CO34,CO23)</f>
        <v>65</v>
      </c>
      <c r="CP39" s="1" t="n">
        <f aca="false">SUM(CP25:CP34,CP23)</f>
        <v>26</v>
      </c>
      <c r="CQ39" s="1" t="n">
        <f aca="false">SUM(CQ25:CQ34,CQ23)</f>
        <v>4</v>
      </c>
      <c r="CR39" s="1" t="n">
        <f aca="false">SUM(CR25:CR34,CR23)</f>
        <v>0</v>
      </c>
      <c r="CS39" s="1" t="n">
        <f aca="false">SUM(CS25:CS34,CS23)</f>
        <v>2</v>
      </c>
      <c r="CU39" s="6"/>
      <c r="CV39" s="6"/>
      <c r="CW39" s="6"/>
      <c r="CX39" s="6"/>
      <c r="CY39" s="6"/>
      <c r="CZ39" s="6"/>
      <c r="DA39" s="6"/>
      <c r="DK39" s="44"/>
    </row>
    <row r="40" customFormat="false" ht="12.75" hidden="false" customHeight="false" outlineLevel="0" collapsed="false">
      <c r="A40" s="16" t="s">
        <v>122</v>
      </c>
      <c r="B40" s="17" t="n">
        <f aca="false">AVERAGE(E40:AE40)</f>
        <v>0.333333333333333</v>
      </c>
      <c r="C40" s="2" t="n">
        <f aca="false">MIN(E40:AE40)</f>
        <v>0</v>
      </c>
      <c r="D40" s="18" t="n">
        <f aca="false">MAX(E40:AE40)</f>
        <v>2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1</v>
      </c>
      <c r="N40" s="19" t="n">
        <v>0</v>
      </c>
      <c r="O40" s="19" t="n">
        <v>0</v>
      </c>
      <c r="P40" s="19" t="n">
        <v>0</v>
      </c>
      <c r="Q40" s="19" t="n">
        <v>0</v>
      </c>
      <c r="R40" s="19" t="n">
        <v>2</v>
      </c>
      <c r="S40" s="19" t="n">
        <v>0</v>
      </c>
      <c r="T40" s="19" t="n">
        <v>0</v>
      </c>
      <c r="U40" s="19" t="n">
        <v>0</v>
      </c>
      <c r="V40" s="19" t="n">
        <v>0</v>
      </c>
      <c r="W40" s="19" t="n">
        <v>1</v>
      </c>
      <c r="X40" s="19" t="n">
        <v>2</v>
      </c>
      <c r="Y40" s="19" t="n">
        <v>1</v>
      </c>
      <c r="Z40" s="19" t="n">
        <v>0</v>
      </c>
      <c r="AA40" s="19" t="n">
        <v>0</v>
      </c>
      <c r="AB40" s="19" t="n">
        <v>1</v>
      </c>
      <c r="AC40" s="19" t="n">
        <v>1</v>
      </c>
      <c r="AD40" s="19" t="n">
        <v>0</v>
      </c>
      <c r="AE40" s="19" t="n">
        <v>0</v>
      </c>
      <c r="AF40" s="19" t="n">
        <v>0</v>
      </c>
      <c r="AG40" s="19"/>
      <c r="AH40" s="19"/>
      <c r="BC40" s="2"/>
      <c r="BE40" s="80" t="n">
        <v>2029</v>
      </c>
      <c r="BF40" s="81"/>
      <c r="BH40" s="82" t="n">
        <v>2029</v>
      </c>
      <c r="BI40" s="83"/>
      <c r="BJ40" s="81"/>
      <c r="BK40" s="84"/>
      <c r="BL40" s="84"/>
      <c r="BM40" s="6"/>
      <c r="BN40" s="6"/>
      <c r="BO40" s="58" t="n">
        <v>2029</v>
      </c>
      <c r="BP40" s="85"/>
      <c r="BQ40" s="2"/>
      <c r="BR40" s="6"/>
      <c r="BS40" s="66" t="s">
        <v>123</v>
      </c>
      <c r="BT40" s="66"/>
      <c r="BU40" s="19" t="n">
        <v>22</v>
      </c>
      <c r="BV40" s="69" t="s">
        <v>79</v>
      </c>
      <c r="BW40" s="69"/>
      <c r="BX40" s="69"/>
      <c r="BY40" s="51" t="n">
        <v>-2</v>
      </c>
      <c r="BZ40" s="6"/>
      <c r="CA40" s="6"/>
      <c r="CB40" s="86" t="n">
        <v>2029</v>
      </c>
      <c r="CC40" s="87" t="str">
        <f aca="false">IFERROR("1 : " &amp; TEXT(BF40/BP40, "0,0"), "")</f>
        <v/>
      </c>
      <c r="CD40" s="88"/>
      <c r="CU40" s="6"/>
      <c r="CV40" s="6"/>
      <c r="CW40" s="6"/>
      <c r="CX40" s="6"/>
      <c r="CY40" s="6"/>
      <c r="CZ40" s="6"/>
      <c r="DA40" s="6"/>
      <c r="DK40" s="44"/>
    </row>
    <row r="41" customFormat="false" ht="12.75" hidden="false" customHeight="false" outlineLevel="0" collapsed="false">
      <c r="A41" s="16" t="s">
        <v>124</v>
      </c>
      <c r="B41" s="17" t="n">
        <f aca="false">AVERAGE(E41:AE41)</f>
        <v>0.333333333333333</v>
      </c>
      <c r="C41" s="2" t="n">
        <f aca="false">MIN(E41:AE41)</f>
        <v>0</v>
      </c>
      <c r="D41" s="18" t="n">
        <f aca="false">MAX(E41:AE41)</f>
        <v>2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1</v>
      </c>
      <c r="N41" s="19" t="n">
        <v>0</v>
      </c>
      <c r="O41" s="19" t="n">
        <v>0</v>
      </c>
      <c r="P41" s="19" t="n">
        <v>0</v>
      </c>
      <c r="Q41" s="19" t="n">
        <v>0</v>
      </c>
      <c r="R41" s="19" t="n">
        <v>2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1</v>
      </c>
      <c r="X41" s="19" t="n">
        <v>2</v>
      </c>
      <c r="Y41" s="19" t="n">
        <v>1</v>
      </c>
      <c r="Z41" s="19" t="n">
        <v>0</v>
      </c>
      <c r="AA41" s="19" t="n">
        <v>0</v>
      </c>
      <c r="AB41" s="19" t="n">
        <v>1</v>
      </c>
      <c r="AC41" s="19" t="n">
        <v>1</v>
      </c>
      <c r="AD41" s="19" t="n">
        <v>0</v>
      </c>
      <c r="AE41" s="19" t="n">
        <v>0</v>
      </c>
      <c r="AF41" s="19" t="n">
        <v>0</v>
      </c>
      <c r="AG41" s="19"/>
      <c r="AH41" s="19"/>
      <c r="BC41" s="2"/>
      <c r="BE41" s="32" t="s">
        <v>125</v>
      </c>
      <c r="BF41" s="19" t="n">
        <v>19</v>
      </c>
      <c r="BM41" s="6"/>
      <c r="BN41" s="6"/>
      <c r="BO41" s="40" t="s">
        <v>125</v>
      </c>
      <c r="BP41" s="40" t="n">
        <f aca="false">MIN(BP10:BP40)</f>
        <v>11</v>
      </c>
      <c r="BQ41" s="2"/>
      <c r="BR41" s="6"/>
      <c r="BS41" s="66" t="s">
        <v>126</v>
      </c>
      <c r="BT41" s="66"/>
      <c r="BU41" s="19" t="n">
        <v>28</v>
      </c>
      <c r="BV41" s="69" t="s">
        <v>76</v>
      </c>
      <c r="BW41" s="69"/>
      <c r="BX41" s="69"/>
      <c r="BY41" s="51" t="n">
        <v>0</v>
      </c>
      <c r="BZ41" s="6"/>
      <c r="CA41" s="6"/>
      <c r="CB41" s="6"/>
      <c r="CU41" s="6"/>
      <c r="CV41" s="6"/>
      <c r="CW41" s="6"/>
      <c r="CX41" s="6"/>
      <c r="CY41" s="6"/>
      <c r="CZ41" s="6"/>
      <c r="DA41" s="6"/>
      <c r="DK41" s="44"/>
    </row>
    <row r="42" customFormat="false" ht="12.75" hidden="false" customHeight="false" outlineLevel="0" collapsed="false">
      <c r="A42" s="16" t="s">
        <v>127</v>
      </c>
      <c r="B42" s="17" t="n">
        <f aca="false">AVERAGE(E42:AE42)</f>
        <v>0.333333333333333</v>
      </c>
      <c r="C42" s="2" t="n">
        <f aca="false">MIN(E42:AE42)</f>
        <v>0</v>
      </c>
      <c r="D42" s="18" t="n">
        <f aca="false">MAX(E42:AE42)</f>
        <v>2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0</v>
      </c>
      <c r="M42" s="19" t="n">
        <v>1</v>
      </c>
      <c r="N42" s="19" t="n">
        <v>0</v>
      </c>
      <c r="O42" s="19" t="n">
        <v>0</v>
      </c>
      <c r="P42" s="19" t="n">
        <v>0</v>
      </c>
      <c r="Q42" s="19" t="n">
        <v>0</v>
      </c>
      <c r="R42" s="19" t="n">
        <v>2</v>
      </c>
      <c r="S42" s="19" t="n">
        <v>0</v>
      </c>
      <c r="T42" s="19" t="n">
        <v>0</v>
      </c>
      <c r="U42" s="19" t="n">
        <v>0</v>
      </c>
      <c r="V42" s="19" t="n">
        <v>0</v>
      </c>
      <c r="W42" s="19" t="n">
        <v>1</v>
      </c>
      <c r="X42" s="19" t="n">
        <v>2</v>
      </c>
      <c r="Y42" s="19" t="n">
        <v>1</v>
      </c>
      <c r="Z42" s="19" t="n">
        <v>0</v>
      </c>
      <c r="AA42" s="19" t="n">
        <v>0</v>
      </c>
      <c r="AB42" s="19" t="n">
        <v>1</v>
      </c>
      <c r="AC42" s="19" t="n">
        <v>1</v>
      </c>
      <c r="AD42" s="19" t="n">
        <v>0</v>
      </c>
      <c r="AE42" s="19" t="n">
        <v>0</v>
      </c>
      <c r="AF42" s="19" t="n">
        <v>0</v>
      </c>
      <c r="AG42" s="19"/>
      <c r="AH42" s="19"/>
      <c r="BC42" s="2"/>
      <c r="BE42" s="32" t="s">
        <v>128</v>
      </c>
      <c r="BF42" s="19" t="n">
        <v>40</v>
      </c>
      <c r="BM42" s="6"/>
      <c r="BN42" s="6"/>
      <c r="BO42" s="55" t="s">
        <v>128</v>
      </c>
      <c r="BP42" s="55" t="n">
        <f aca="false">MAX(BP10:BP40)</f>
        <v>29</v>
      </c>
      <c r="BQ42" s="2"/>
      <c r="BR42" s="6"/>
      <c r="BS42" s="66" t="s">
        <v>129</v>
      </c>
      <c r="BT42" s="66"/>
      <c r="BU42" s="19" t="n">
        <v>26</v>
      </c>
      <c r="BV42" s="69" t="s">
        <v>76</v>
      </c>
      <c r="BW42" s="69"/>
      <c r="BX42" s="69"/>
      <c r="BY42" s="51" t="n">
        <v>0</v>
      </c>
      <c r="BZ42" s="6"/>
      <c r="CA42" s="6"/>
      <c r="CB42" s="6"/>
      <c r="CU42" s="6"/>
      <c r="CV42" s="6"/>
      <c r="CW42" s="6"/>
      <c r="CX42" s="6"/>
      <c r="CY42" s="6"/>
      <c r="CZ42" s="6"/>
      <c r="DA42" s="6"/>
      <c r="DK42" s="43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77" t="s">
        <v>130</v>
      </c>
      <c r="EY42" s="77"/>
      <c r="EZ42" s="89"/>
      <c r="FA42" s="77" t="s">
        <v>22</v>
      </c>
      <c r="FB42" s="77"/>
      <c r="FC42" s="77"/>
      <c r="FD42" s="77"/>
      <c r="FE42" s="77" t="s">
        <v>23</v>
      </c>
      <c r="FF42" s="77"/>
      <c r="FG42" s="77"/>
      <c r="FH42" s="77"/>
      <c r="FI42" s="77" t="s">
        <v>24</v>
      </c>
      <c r="FJ42" s="77"/>
      <c r="FK42" s="77"/>
      <c r="FL42" s="77"/>
      <c r="FM42" s="77" t="s">
        <v>25</v>
      </c>
      <c r="FN42" s="77"/>
      <c r="FO42" s="77"/>
      <c r="FP42" s="77"/>
      <c r="FQ42" s="77" t="s">
        <v>26</v>
      </c>
      <c r="FR42" s="77"/>
      <c r="FS42" s="77"/>
      <c r="FT42" s="77"/>
      <c r="FU42" s="77" t="s">
        <v>27</v>
      </c>
      <c r="FV42" s="77"/>
      <c r="FW42" s="77"/>
      <c r="FX42" s="77"/>
      <c r="FY42" s="77" t="s">
        <v>28</v>
      </c>
      <c r="FZ42" s="77"/>
      <c r="GA42" s="77"/>
      <c r="GB42" s="77"/>
      <c r="GC42" s="77" t="s">
        <v>29</v>
      </c>
      <c r="GD42" s="77"/>
      <c r="GE42" s="77"/>
      <c r="GF42" s="77"/>
      <c r="GG42" s="77" t="s">
        <v>30</v>
      </c>
      <c r="GH42" s="77"/>
      <c r="GI42" s="77"/>
      <c r="GJ42" s="77"/>
      <c r="GK42" s="77" t="s">
        <v>31</v>
      </c>
      <c r="GL42" s="77"/>
      <c r="GM42" s="77"/>
      <c r="GN42" s="77"/>
      <c r="GO42" s="77" t="s">
        <v>32</v>
      </c>
      <c r="GP42" s="77"/>
      <c r="GQ42" s="77"/>
      <c r="GR42" s="77"/>
      <c r="GS42" s="77" t="s">
        <v>33</v>
      </c>
      <c r="GT42" s="77"/>
      <c r="GU42" s="77"/>
      <c r="GV42" s="77"/>
      <c r="GW42" s="90" t="s">
        <v>131</v>
      </c>
      <c r="GX42" s="90"/>
      <c r="GY42" s="91" t="s">
        <v>132</v>
      </c>
      <c r="GZ42" s="92" t="s">
        <v>133</v>
      </c>
      <c r="HA42" s="93" t="s">
        <v>134</v>
      </c>
      <c r="HB42" s="93" t="s">
        <v>135</v>
      </c>
      <c r="HC42" s="93" t="s">
        <v>136</v>
      </c>
      <c r="HD42" s="93" t="s">
        <v>137</v>
      </c>
      <c r="HE42" s="93" t="s">
        <v>138</v>
      </c>
      <c r="HF42" s="93" t="s">
        <v>139</v>
      </c>
      <c r="HG42" s="93" t="s">
        <v>140</v>
      </c>
      <c r="HH42" s="93" t="s">
        <v>141</v>
      </c>
      <c r="HI42" s="93" t="s">
        <v>142</v>
      </c>
      <c r="HJ42" s="94" t="s">
        <v>143</v>
      </c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</row>
    <row r="43" customFormat="false" ht="12.75" hidden="false" customHeight="false" outlineLevel="0" collapsed="false">
      <c r="A43" s="16" t="s">
        <v>144</v>
      </c>
      <c r="B43" s="17" t="n">
        <f aca="false">AVERAGE(E43:AE43)</f>
        <v>0.333333333333333</v>
      </c>
      <c r="C43" s="2" t="n">
        <f aca="false">MIN(E43:AE43)</f>
        <v>0</v>
      </c>
      <c r="D43" s="18" t="n">
        <f aca="false">MAX(E43:AE43)</f>
        <v>2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1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2</v>
      </c>
      <c r="S43" s="19" t="n">
        <v>0</v>
      </c>
      <c r="T43" s="19" t="n">
        <v>0</v>
      </c>
      <c r="U43" s="19" t="n">
        <v>0</v>
      </c>
      <c r="V43" s="19" t="n">
        <v>0</v>
      </c>
      <c r="W43" s="19" t="n">
        <v>1</v>
      </c>
      <c r="X43" s="19" t="n">
        <v>2</v>
      </c>
      <c r="Y43" s="19" t="n">
        <v>1</v>
      </c>
      <c r="Z43" s="19" t="n">
        <v>0</v>
      </c>
      <c r="AA43" s="19" t="n">
        <v>0</v>
      </c>
      <c r="AB43" s="19" t="n">
        <v>1</v>
      </c>
      <c r="AC43" s="19" t="n">
        <v>1</v>
      </c>
      <c r="AD43" s="19" t="n">
        <v>0</v>
      </c>
      <c r="AE43" s="19" t="n">
        <v>0</v>
      </c>
      <c r="AF43" s="19" t="n">
        <v>0</v>
      </c>
      <c r="AG43" s="19"/>
      <c r="AH43" s="19"/>
      <c r="BC43" s="2"/>
      <c r="BE43" s="80" t="s">
        <v>145</v>
      </c>
      <c r="BF43" s="81" t="n">
        <v>28.1</v>
      </c>
      <c r="BM43" s="6"/>
      <c r="BN43" s="6"/>
      <c r="BO43" s="59" t="s">
        <v>145</v>
      </c>
      <c r="BP43" s="95" t="n">
        <f aca="false">AVERAGE(BP10:BP40)</f>
        <v>17.6785714285714</v>
      </c>
      <c r="BQ43" s="2"/>
      <c r="BR43" s="6"/>
      <c r="BS43" s="66" t="s">
        <v>146</v>
      </c>
      <c r="BT43" s="66"/>
      <c r="BU43" s="19" t="n">
        <v>29</v>
      </c>
      <c r="BV43" s="73" t="s">
        <v>76</v>
      </c>
      <c r="BW43" s="73"/>
      <c r="BX43" s="73"/>
      <c r="BY43" s="19" t="n">
        <v>0</v>
      </c>
      <c r="CB43" s="6"/>
      <c r="CU43" s="6"/>
      <c r="CV43" s="6"/>
      <c r="CW43" s="6"/>
      <c r="CX43" s="6"/>
      <c r="CY43" s="6"/>
      <c r="CZ43" s="6"/>
      <c r="DA43" s="6"/>
      <c r="DK43" s="43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96"/>
      <c r="EY43" s="96"/>
      <c r="EZ43" s="32" t="n">
        <v>1999</v>
      </c>
      <c r="FA43" s="97" t="n">
        <v>0</v>
      </c>
      <c r="FB43" s="98" t="n">
        <v>0</v>
      </c>
      <c r="FC43" s="98" t="n">
        <v>0</v>
      </c>
      <c r="FD43" s="99" t="n">
        <v>0</v>
      </c>
      <c r="FE43" s="97" t="n">
        <v>0</v>
      </c>
      <c r="FF43" s="98" t="n">
        <v>0</v>
      </c>
      <c r="FG43" s="98" t="n">
        <v>0</v>
      </c>
      <c r="FH43" s="99" t="n">
        <v>0</v>
      </c>
      <c r="FI43" s="97" t="n">
        <v>0</v>
      </c>
      <c r="FJ43" s="98" t="n">
        <v>0</v>
      </c>
      <c r="FK43" s="98" t="n">
        <v>0</v>
      </c>
      <c r="FL43" s="99" t="n">
        <v>0</v>
      </c>
      <c r="FM43" s="97" t="n">
        <v>0</v>
      </c>
      <c r="FN43" s="98" t="n">
        <v>0</v>
      </c>
      <c r="FO43" s="98" t="n">
        <v>0</v>
      </c>
      <c r="FP43" s="99" t="n">
        <v>0</v>
      </c>
      <c r="FQ43" s="97" t="n">
        <v>0</v>
      </c>
      <c r="FR43" s="98" t="n">
        <v>5</v>
      </c>
      <c r="FS43" s="98" t="n">
        <v>0</v>
      </c>
      <c r="FT43" s="99" t="n">
        <v>0</v>
      </c>
      <c r="FU43" s="97" t="n">
        <v>0</v>
      </c>
      <c r="FV43" s="98" t="n">
        <v>1</v>
      </c>
      <c r="FW43" s="98" t="n">
        <v>0</v>
      </c>
      <c r="FX43" s="99" t="n">
        <v>1</v>
      </c>
      <c r="FY43" s="97" t="n">
        <v>0</v>
      </c>
      <c r="FZ43" s="98" t="n">
        <v>1</v>
      </c>
      <c r="GA43" s="98" t="n">
        <v>1</v>
      </c>
      <c r="GB43" s="99" t="n">
        <v>0</v>
      </c>
      <c r="GC43" s="97" t="n">
        <v>0</v>
      </c>
      <c r="GD43" s="98" t="n">
        <v>1</v>
      </c>
      <c r="GE43" s="98" t="n">
        <v>0</v>
      </c>
      <c r="GF43" s="99" t="n">
        <v>0</v>
      </c>
      <c r="GG43" s="97" t="n">
        <v>0</v>
      </c>
      <c r="GH43" s="98" t="n">
        <v>1</v>
      </c>
      <c r="GI43" s="98" t="n">
        <v>0</v>
      </c>
      <c r="GJ43" s="99" t="n">
        <v>0</v>
      </c>
      <c r="GK43" s="97" t="n">
        <v>0</v>
      </c>
      <c r="GL43" s="98" t="n">
        <v>0</v>
      </c>
      <c r="GM43" s="98" t="n">
        <v>0</v>
      </c>
      <c r="GN43" s="99" t="n">
        <v>0</v>
      </c>
      <c r="GO43" s="97" t="n">
        <v>0</v>
      </c>
      <c r="GP43" s="96" t="n">
        <v>0</v>
      </c>
      <c r="GQ43" s="98" t="n">
        <v>0</v>
      </c>
      <c r="GR43" s="99" t="n">
        <v>0</v>
      </c>
      <c r="GS43" s="97" t="n">
        <v>0</v>
      </c>
      <c r="GT43" s="98" t="n">
        <v>0</v>
      </c>
      <c r="GU43" s="98" t="n">
        <v>0</v>
      </c>
      <c r="GV43" s="99" t="n">
        <v>0</v>
      </c>
      <c r="GW43" s="100"/>
      <c r="GX43" s="52" t="n">
        <v>1999</v>
      </c>
      <c r="GY43" s="67" t="n">
        <v>0</v>
      </c>
      <c r="GZ43" s="67" t="n">
        <v>0</v>
      </c>
      <c r="HA43" s="70" t="n">
        <v>0</v>
      </c>
      <c r="HB43" s="70" t="n">
        <v>1</v>
      </c>
      <c r="HC43" s="70" t="n">
        <f aca="false">CL8-FR43</f>
        <v>1</v>
      </c>
      <c r="HD43" s="70" t="n">
        <f aca="false">CM8-FV43</f>
        <v>3</v>
      </c>
      <c r="HE43" s="70" t="n">
        <f aca="false">CN8-FZ43</f>
        <v>4</v>
      </c>
      <c r="HF43" s="70" t="n">
        <f aca="false">CO8-GD43</f>
        <v>0</v>
      </c>
      <c r="HG43" s="70" t="n">
        <f aca="false">CP8-GH43</f>
        <v>2</v>
      </c>
      <c r="HH43" s="70" t="n">
        <f aca="false">CQ8-GL43</f>
        <v>0</v>
      </c>
      <c r="HI43" s="70" t="n">
        <f aca="false">CR8-GP43</f>
        <v>0</v>
      </c>
      <c r="HJ43" s="15" t="n">
        <f aca="false">CS8-GT43</f>
        <v>0</v>
      </c>
      <c r="HK43" s="101" t="n">
        <f aca="false">SUM(GY43:HJ43)</f>
        <v>11</v>
      </c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</row>
    <row r="44" customFormat="false" ht="12.75" hidden="false" customHeight="false" outlineLevel="0" collapsed="false">
      <c r="A44" s="16" t="s">
        <v>147</v>
      </c>
      <c r="B44" s="17" t="n">
        <f aca="false">AVERAGE(E44:AE44)</f>
        <v>0.333333333333333</v>
      </c>
      <c r="C44" s="2" t="n">
        <f aca="false">MIN(E44:AE44)</f>
        <v>0</v>
      </c>
      <c r="D44" s="18" t="n">
        <f aca="false">MAX(E44:AE44)</f>
        <v>2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1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2</v>
      </c>
      <c r="S44" s="19" t="n">
        <v>0</v>
      </c>
      <c r="T44" s="19" t="n">
        <v>0</v>
      </c>
      <c r="U44" s="19" t="n">
        <v>0</v>
      </c>
      <c r="V44" s="19" t="n">
        <v>0</v>
      </c>
      <c r="W44" s="19" t="n">
        <v>1</v>
      </c>
      <c r="X44" s="19" t="n">
        <v>2</v>
      </c>
      <c r="Y44" s="19" t="n">
        <v>1</v>
      </c>
      <c r="Z44" s="19" t="n">
        <v>0</v>
      </c>
      <c r="AA44" s="19" t="n">
        <v>0</v>
      </c>
      <c r="AB44" s="19" t="n">
        <v>1</v>
      </c>
      <c r="AC44" s="19" t="n">
        <v>1</v>
      </c>
      <c r="AD44" s="19" t="n">
        <v>0</v>
      </c>
      <c r="AE44" s="19" t="n">
        <v>0</v>
      </c>
      <c r="AF44" s="19" t="n">
        <v>0</v>
      </c>
      <c r="AG44" s="19"/>
      <c r="AH44" s="19"/>
      <c r="BC44" s="2"/>
      <c r="BD44" s="2"/>
      <c r="BE44" s="2"/>
      <c r="BF44" s="6"/>
      <c r="BG44" s="6"/>
      <c r="BH44" s="6"/>
      <c r="BI44" s="6"/>
      <c r="BJ44" s="6"/>
      <c r="BK44" s="6"/>
      <c r="BL44" s="6"/>
      <c r="BM44" s="6"/>
      <c r="BN44" s="6"/>
      <c r="BP44" s="2"/>
      <c r="BQ44" s="2"/>
      <c r="BR44" s="6"/>
      <c r="BS44" s="66" t="s">
        <v>148</v>
      </c>
      <c r="BT44" s="66"/>
      <c r="BU44" s="19" t="n">
        <v>30</v>
      </c>
      <c r="BV44" s="73" t="s">
        <v>76</v>
      </c>
      <c r="BW44" s="73"/>
      <c r="BX44" s="73"/>
      <c r="BY44" s="19" t="n">
        <v>0</v>
      </c>
      <c r="CB44" s="6"/>
      <c r="CU44" s="6"/>
      <c r="CV44" s="6"/>
      <c r="CW44" s="6"/>
      <c r="CX44" s="6"/>
      <c r="CY44" s="6"/>
      <c r="CZ44" s="6"/>
      <c r="DA44" s="6"/>
      <c r="DK44" s="43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96"/>
      <c r="EY44" s="96"/>
      <c r="EZ44" s="32" t="n">
        <v>2000</v>
      </c>
      <c r="FA44" s="96" t="n">
        <v>0</v>
      </c>
      <c r="FB44" s="96" t="n">
        <v>0</v>
      </c>
      <c r="FC44" s="96" t="n">
        <v>0</v>
      </c>
      <c r="FD44" s="15" t="n">
        <v>0</v>
      </c>
      <c r="FE44" s="102" t="n">
        <v>0</v>
      </c>
      <c r="FF44" s="96" t="n">
        <v>0</v>
      </c>
      <c r="FG44" s="96" t="n">
        <v>0</v>
      </c>
      <c r="FH44" s="15" t="n">
        <v>0</v>
      </c>
      <c r="FI44" s="102" t="n">
        <v>0</v>
      </c>
      <c r="FJ44" s="96" t="n">
        <v>2</v>
      </c>
      <c r="FK44" s="96" t="n">
        <v>0</v>
      </c>
      <c r="FL44" s="15" t="n">
        <v>0</v>
      </c>
      <c r="FM44" s="102" t="n">
        <v>0</v>
      </c>
      <c r="FN44" s="96" t="n">
        <v>2</v>
      </c>
      <c r="FO44" s="96" t="n">
        <v>0</v>
      </c>
      <c r="FP44" s="15" t="n">
        <v>0</v>
      </c>
      <c r="FQ44" s="102" t="n">
        <v>0</v>
      </c>
      <c r="FR44" s="96" t="n">
        <v>2</v>
      </c>
      <c r="FS44" s="96" t="n">
        <v>0</v>
      </c>
      <c r="FT44" s="15" t="n">
        <v>0</v>
      </c>
      <c r="FU44" s="102" t="n">
        <v>0</v>
      </c>
      <c r="FV44" s="96" t="n">
        <v>2</v>
      </c>
      <c r="FW44" s="96" t="n">
        <v>1</v>
      </c>
      <c r="FX44" s="15" t="n">
        <v>0</v>
      </c>
      <c r="FY44" s="102" t="n">
        <v>0</v>
      </c>
      <c r="FZ44" s="96" t="n">
        <v>5</v>
      </c>
      <c r="GA44" s="96" t="n">
        <v>0</v>
      </c>
      <c r="GB44" s="15" t="n">
        <v>0</v>
      </c>
      <c r="GC44" s="102" t="n">
        <v>0</v>
      </c>
      <c r="GD44" s="96" t="n">
        <v>2</v>
      </c>
      <c r="GE44" s="96" t="n">
        <v>0</v>
      </c>
      <c r="GF44" s="15" t="n">
        <v>0</v>
      </c>
      <c r="GG44" s="102" t="n">
        <v>0</v>
      </c>
      <c r="GH44" s="96" t="n">
        <v>0</v>
      </c>
      <c r="GI44" s="96" t="n">
        <v>0</v>
      </c>
      <c r="GJ44" s="15" t="n">
        <v>0</v>
      </c>
      <c r="GK44" s="102" t="n">
        <v>0</v>
      </c>
      <c r="GL44" s="96" t="n">
        <v>0</v>
      </c>
      <c r="GM44" s="96" t="n">
        <v>0</v>
      </c>
      <c r="GN44" s="15" t="n">
        <v>0</v>
      </c>
      <c r="GO44" s="102" t="n">
        <v>0</v>
      </c>
      <c r="GP44" s="96" t="n">
        <v>0</v>
      </c>
      <c r="GQ44" s="96" t="n">
        <v>0</v>
      </c>
      <c r="GR44" s="15" t="n">
        <v>0</v>
      </c>
      <c r="GS44" s="102" t="n">
        <v>0</v>
      </c>
      <c r="GT44" s="96" t="n">
        <v>0</v>
      </c>
      <c r="GU44" s="96" t="n">
        <v>0</v>
      </c>
      <c r="GV44" s="15" t="n">
        <v>0</v>
      </c>
      <c r="GW44" s="100"/>
      <c r="GX44" s="56" t="n">
        <v>2000</v>
      </c>
      <c r="GY44" s="70" t="n">
        <v>0</v>
      </c>
      <c r="GZ44" s="103" t="n">
        <v>0</v>
      </c>
      <c r="HA44" s="70" t="n">
        <v>0</v>
      </c>
      <c r="HB44" s="70" t="n">
        <v>0</v>
      </c>
      <c r="HC44" s="70" t="n">
        <f aca="false">CL9-FR44</f>
        <v>4</v>
      </c>
      <c r="HD44" s="70" t="n">
        <f aca="false">CM9-FV44</f>
        <v>5</v>
      </c>
      <c r="HE44" s="70" t="n">
        <f aca="false">CN9-FZ44</f>
        <v>1</v>
      </c>
      <c r="HF44" s="70" t="n">
        <f aca="false">CO9-GD44</f>
        <v>2</v>
      </c>
      <c r="HG44" s="70" t="n">
        <f aca="false">CP9-GH44</f>
        <v>0</v>
      </c>
      <c r="HH44" s="70" t="n">
        <f aca="false">CQ9-GL44</f>
        <v>0</v>
      </c>
      <c r="HI44" s="70" t="n">
        <f aca="false">CR9-GP44</f>
        <v>1</v>
      </c>
      <c r="HJ44" s="15" t="n">
        <f aca="false">CS9-GT44</f>
        <v>0</v>
      </c>
      <c r="HK44" s="101" t="n">
        <f aca="false">SUM(GY44:HJ44)</f>
        <v>13</v>
      </c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</row>
    <row r="45" customFormat="false" ht="12.75" hidden="false" customHeight="false" outlineLevel="0" collapsed="false">
      <c r="A45" s="16" t="s">
        <v>149</v>
      </c>
      <c r="B45" s="17" t="n">
        <f aca="false">AVERAGE(E45:AE45)</f>
        <v>0.37037037037037</v>
      </c>
      <c r="C45" s="2" t="n">
        <f aca="false">MIN(E45:AE45)</f>
        <v>0</v>
      </c>
      <c r="D45" s="18" t="n">
        <f aca="false">MAX(E45:AE45)</f>
        <v>2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1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2</v>
      </c>
      <c r="S45" s="19" t="n">
        <v>0</v>
      </c>
      <c r="T45" s="19" t="n">
        <v>0</v>
      </c>
      <c r="U45" s="19" t="n">
        <v>0</v>
      </c>
      <c r="V45" s="19" t="n">
        <v>0</v>
      </c>
      <c r="W45" s="19" t="n">
        <v>1</v>
      </c>
      <c r="X45" s="19" t="n">
        <v>2</v>
      </c>
      <c r="Y45" s="19" t="n">
        <v>1</v>
      </c>
      <c r="Z45" s="30" t="n">
        <v>1</v>
      </c>
      <c r="AA45" s="19" t="n">
        <v>0</v>
      </c>
      <c r="AB45" s="19" t="n">
        <v>1</v>
      </c>
      <c r="AC45" s="19" t="n">
        <v>1</v>
      </c>
      <c r="AD45" s="19" t="n">
        <v>0</v>
      </c>
      <c r="AE45" s="19" t="n">
        <v>0</v>
      </c>
      <c r="AF45" s="19" t="n">
        <v>0</v>
      </c>
      <c r="AG45" s="19"/>
      <c r="AH45" s="19"/>
      <c r="BC45" s="2"/>
      <c r="BD45" s="2"/>
      <c r="BE45" s="2"/>
      <c r="BF45" s="6"/>
      <c r="BG45" s="6"/>
      <c r="BH45" s="6"/>
      <c r="BI45" s="6"/>
      <c r="BJ45" s="6"/>
      <c r="BK45" s="6"/>
      <c r="BL45" s="6"/>
      <c r="BM45" s="6"/>
      <c r="BN45" s="6"/>
      <c r="BR45" s="6"/>
      <c r="BS45" s="66" t="s">
        <v>150</v>
      </c>
      <c r="BT45" s="66"/>
      <c r="BU45" s="19" t="n">
        <v>19</v>
      </c>
      <c r="BV45" s="73" t="s">
        <v>73</v>
      </c>
      <c r="BW45" s="73"/>
      <c r="BX45" s="73"/>
      <c r="BY45" s="19" t="n">
        <v>-3</v>
      </c>
      <c r="CB45" s="6"/>
      <c r="CU45" s="6"/>
      <c r="CV45" s="6"/>
      <c r="CW45" s="6"/>
      <c r="CX45" s="6"/>
      <c r="CY45" s="6"/>
      <c r="CZ45" s="6"/>
      <c r="DA45" s="6"/>
      <c r="DK45" s="43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96"/>
      <c r="EY45" s="96"/>
      <c r="EZ45" s="32" t="n">
        <v>2001</v>
      </c>
      <c r="FA45" s="96" t="n">
        <v>0</v>
      </c>
      <c r="FB45" s="96" t="n">
        <v>0</v>
      </c>
      <c r="FC45" s="96" t="n">
        <v>0</v>
      </c>
      <c r="FD45" s="15" t="n">
        <v>0</v>
      </c>
      <c r="FE45" s="102" t="n">
        <v>0</v>
      </c>
      <c r="FF45" s="96" t="n">
        <v>0</v>
      </c>
      <c r="FG45" s="96" t="n">
        <v>0</v>
      </c>
      <c r="FH45" s="15" t="n">
        <v>0</v>
      </c>
      <c r="FI45" s="102" t="n">
        <v>0</v>
      </c>
      <c r="FJ45" s="96" t="n">
        <v>0</v>
      </c>
      <c r="FK45" s="96" t="n">
        <v>0</v>
      </c>
      <c r="FL45" s="15" t="n">
        <v>0</v>
      </c>
      <c r="FM45" s="102" t="n">
        <v>0</v>
      </c>
      <c r="FN45" s="96" t="n">
        <v>1</v>
      </c>
      <c r="FO45" s="96" t="n">
        <v>0</v>
      </c>
      <c r="FP45" s="15" t="n">
        <v>0</v>
      </c>
      <c r="FQ45" s="102" t="n">
        <v>0</v>
      </c>
      <c r="FR45" s="96" t="n">
        <v>1</v>
      </c>
      <c r="FS45" s="96" t="n">
        <v>0</v>
      </c>
      <c r="FT45" s="15" t="n">
        <v>0</v>
      </c>
      <c r="FU45" s="102" t="n">
        <v>0</v>
      </c>
      <c r="FV45" s="96" t="n">
        <v>2</v>
      </c>
      <c r="FW45" s="96" t="n">
        <v>0</v>
      </c>
      <c r="FX45" s="15" t="n">
        <v>0</v>
      </c>
      <c r="FY45" s="102" t="n">
        <v>0</v>
      </c>
      <c r="FZ45" s="96" t="n">
        <v>1</v>
      </c>
      <c r="GA45" s="96" t="n">
        <v>0</v>
      </c>
      <c r="GB45" s="15" t="n">
        <v>2</v>
      </c>
      <c r="GC45" s="102" t="n">
        <v>0</v>
      </c>
      <c r="GD45" s="96" t="n">
        <v>3</v>
      </c>
      <c r="GE45" s="96" t="n">
        <v>1</v>
      </c>
      <c r="GF45" s="15" t="n">
        <v>0</v>
      </c>
      <c r="GG45" s="102" t="n">
        <v>0</v>
      </c>
      <c r="GH45" s="96" t="n">
        <v>0</v>
      </c>
      <c r="GI45" s="96" t="n">
        <v>0</v>
      </c>
      <c r="GJ45" s="15" t="n">
        <v>0</v>
      </c>
      <c r="GK45" s="102" t="n">
        <v>0</v>
      </c>
      <c r="GL45" s="96" t="n">
        <v>0</v>
      </c>
      <c r="GM45" s="96" t="n">
        <v>0</v>
      </c>
      <c r="GN45" s="15" t="n">
        <v>0</v>
      </c>
      <c r="GO45" s="102" t="n">
        <v>0</v>
      </c>
      <c r="GP45" s="96" t="n">
        <v>0</v>
      </c>
      <c r="GQ45" s="96" t="n">
        <v>0</v>
      </c>
      <c r="GR45" s="15" t="n">
        <v>0</v>
      </c>
      <c r="GS45" s="102" t="n">
        <v>0</v>
      </c>
      <c r="GT45" s="96" t="n">
        <v>0</v>
      </c>
      <c r="GU45" s="96" t="n">
        <v>0</v>
      </c>
      <c r="GV45" s="15" t="n">
        <v>0</v>
      </c>
      <c r="GW45" s="100"/>
      <c r="GX45" s="56" t="n">
        <v>2001</v>
      </c>
      <c r="GY45" s="70" t="n">
        <v>0</v>
      </c>
      <c r="GZ45" s="103" t="n">
        <v>0</v>
      </c>
      <c r="HA45" s="96" t="n">
        <v>0</v>
      </c>
      <c r="HB45" s="96" t="n">
        <v>0</v>
      </c>
      <c r="HC45" s="70" t="n">
        <f aca="false">CL10-FR45</f>
        <v>3</v>
      </c>
      <c r="HD45" s="70" t="n">
        <f aca="false">CM10-FV45</f>
        <v>3</v>
      </c>
      <c r="HE45" s="70" t="n">
        <f aca="false">CN10-FZ45</f>
        <v>3</v>
      </c>
      <c r="HF45" s="70" t="n">
        <f aca="false">CO10-GD45</f>
        <v>5</v>
      </c>
      <c r="HG45" s="70" t="n">
        <f aca="false">CP10-GH45</f>
        <v>0</v>
      </c>
      <c r="HH45" s="70" t="n">
        <f aca="false">CQ10-GL45</f>
        <v>0</v>
      </c>
      <c r="HI45" s="70" t="n">
        <f aca="false">CR10-GP45</f>
        <v>0</v>
      </c>
      <c r="HJ45" s="15" t="n">
        <f aca="false">CS10-GT45</f>
        <v>0</v>
      </c>
      <c r="HK45" s="101" t="n">
        <f aca="false">SUM(GY45:HJ45)</f>
        <v>14</v>
      </c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</row>
    <row r="46" customFormat="false" ht="12.75" hidden="false" customHeight="false" outlineLevel="0" collapsed="false">
      <c r="A46" s="16" t="s">
        <v>151</v>
      </c>
      <c r="B46" s="17" t="n">
        <f aca="false">AVERAGE(E46:AE46)</f>
        <v>0.407407407407407</v>
      </c>
      <c r="C46" s="2" t="n">
        <f aca="false">MIN(E46:AE46)</f>
        <v>0</v>
      </c>
      <c r="D46" s="18" t="n">
        <f aca="false">MAX(E46:AE46)</f>
        <v>2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2</v>
      </c>
      <c r="S46" s="19" t="n">
        <v>0</v>
      </c>
      <c r="T46" s="19" t="n">
        <v>0</v>
      </c>
      <c r="U46" s="19" t="n">
        <v>0</v>
      </c>
      <c r="V46" s="19" t="n">
        <v>0</v>
      </c>
      <c r="W46" s="19" t="n">
        <v>1</v>
      </c>
      <c r="X46" s="19" t="n">
        <v>2</v>
      </c>
      <c r="Y46" s="19" t="n">
        <v>1</v>
      </c>
      <c r="Z46" s="30" t="n">
        <v>2</v>
      </c>
      <c r="AA46" s="19" t="n">
        <v>0</v>
      </c>
      <c r="AB46" s="19" t="n">
        <v>1</v>
      </c>
      <c r="AC46" s="19" t="n">
        <v>1</v>
      </c>
      <c r="AD46" s="19" t="n">
        <v>0</v>
      </c>
      <c r="AE46" s="19" t="n">
        <v>0</v>
      </c>
      <c r="AF46" s="19" t="n">
        <v>0</v>
      </c>
      <c r="AG46" s="19"/>
      <c r="AH46" s="19"/>
      <c r="BC46" s="2"/>
      <c r="BD46" s="2"/>
      <c r="BE46" s="2"/>
      <c r="BS46" s="104" t="s">
        <v>152</v>
      </c>
      <c r="BT46" s="104"/>
      <c r="BU46" s="81" t="n">
        <v>20</v>
      </c>
      <c r="BV46" s="105"/>
      <c r="BW46" s="105"/>
      <c r="BX46" s="106"/>
      <c r="BY46" s="81" t="n">
        <v>-3</v>
      </c>
      <c r="BZ46" s="107" t="s">
        <v>153</v>
      </c>
      <c r="CA46" s="108" t="n">
        <f aca="false">SUM(BY19:BY46)</f>
        <v>-5</v>
      </c>
      <c r="CB46" s="6"/>
      <c r="CU46" s="6"/>
      <c r="CV46" s="6"/>
      <c r="CW46" s="6"/>
      <c r="CX46" s="6"/>
      <c r="CY46" s="6"/>
      <c r="CZ46" s="6"/>
      <c r="DA46" s="6"/>
      <c r="DK46" s="43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96"/>
      <c r="EY46" s="96"/>
      <c r="EZ46" s="32" t="n">
        <v>2002</v>
      </c>
      <c r="FA46" s="96" t="n">
        <v>0</v>
      </c>
      <c r="FB46" s="96" t="n">
        <v>0</v>
      </c>
      <c r="FC46" s="96" t="n">
        <v>0</v>
      </c>
      <c r="FD46" s="15" t="n">
        <v>0</v>
      </c>
      <c r="FE46" s="102" t="n">
        <v>0</v>
      </c>
      <c r="FF46" s="96" t="n">
        <v>1</v>
      </c>
      <c r="FG46" s="96" t="n">
        <v>0</v>
      </c>
      <c r="FH46" s="15" t="n">
        <v>0</v>
      </c>
      <c r="FI46" s="102" t="n">
        <v>0</v>
      </c>
      <c r="FJ46" s="96" t="n">
        <v>0</v>
      </c>
      <c r="FK46" s="96" t="n">
        <v>0</v>
      </c>
      <c r="FL46" s="15" t="n">
        <v>0</v>
      </c>
      <c r="FM46" s="102" t="n">
        <v>0</v>
      </c>
      <c r="FN46" s="96" t="n">
        <v>1</v>
      </c>
      <c r="FO46" s="96" t="n">
        <v>0</v>
      </c>
      <c r="FP46" s="15" t="n">
        <v>0</v>
      </c>
      <c r="FQ46" s="102" t="n">
        <v>0</v>
      </c>
      <c r="FR46" s="96" t="n">
        <v>1</v>
      </c>
      <c r="FS46" s="96" t="n">
        <v>1</v>
      </c>
      <c r="FT46" s="15" t="n">
        <v>0</v>
      </c>
      <c r="FU46" s="102" t="n">
        <v>0</v>
      </c>
      <c r="FV46" s="96" t="n">
        <v>0</v>
      </c>
      <c r="FW46" s="96" t="n">
        <v>1</v>
      </c>
      <c r="FX46" s="15" t="n">
        <v>1</v>
      </c>
      <c r="FY46" s="102" t="n">
        <v>0</v>
      </c>
      <c r="FZ46" s="96" t="n">
        <v>1</v>
      </c>
      <c r="GA46" s="96" t="n">
        <v>1</v>
      </c>
      <c r="GB46" s="15" t="n">
        <v>1</v>
      </c>
      <c r="GC46" s="102" t="n">
        <v>0</v>
      </c>
      <c r="GD46" s="96" t="n">
        <v>2</v>
      </c>
      <c r="GE46" s="96" t="n">
        <v>0</v>
      </c>
      <c r="GF46" s="15" t="n">
        <v>0</v>
      </c>
      <c r="GG46" s="102" t="n">
        <v>0</v>
      </c>
      <c r="GH46" s="96" t="n">
        <v>3</v>
      </c>
      <c r="GI46" s="96" t="n">
        <v>0</v>
      </c>
      <c r="GJ46" s="15" t="n">
        <v>0</v>
      </c>
      <c r="GK46" s="102" t="n">
        <v>0</v>
      </c>
      <c r="GL46" s="96" t="n">
        <v>0</v>
      </c>
      <c r="GM46" s="96" t="n">
        <v>0</v>
      </c>
      <c r="GN46" s="15" t="n">
        <v>0</v>
      </c>
      <c r="GO46" s="102" t="n">
        <v>0</v>
      </c>
      <c r="GP46" s="96" t="n">
        <v>0</v>
      </c>
      <c r="GQ46" s="96" t="n">
        <v>0</v>
      </c>
      <c r="GR46" s="15" t="n">
        <v>0</v>
      </c>
      <c r="GS46" s="102" t="n">
        <v>0</v>
      </c>
      <c r="GT46" s="96" t="n">
        <v>0</v>
      </c>
      <c r="GU46" s="96" t="n">
        <v>0</v>
      </c>
      <c r="GV46" s="15" t="n">
        <v>0</v>
      </c>
      <c r="GW46" s="100"/>
      <c r="GX46" s="56" t="n">
        <v>2002</v>
      </c>
      <c r="GY46" s="70" t="n">
        <v>0</v>
      </c>
      <c r="GZ46" s="103" t="n">
        <v>1</v>
      </c>
      <c r="HA46" s="96" t="n">
        <v>0</v>
      </c>
      <c r="HB46" s="96" t="n">
        <v>0</v>
      </c>
      <c r="HC46" s="70" t="n">
        <f aca="false">CL11-FR46</f>
        <v>4</v>
      </c>
      <c r="HD46" s="70" t="n">
        <f aca="false">CM11-FV46</f>
        <v>4</v>
      </c>
      <c r="HE46" s="70" t="n">
        <f aca="false">CN11-FZ46</f>
        <v>6</v>
      </c>
      <c r="HF46" s="70" t="n">
        <f aca="false">CO11-GD46</f>
        <v>4</v>
      </c>
      <c r="HG46" s="70" t="n">
        <f aca="false">CP11-GH46</f>
        <v>2</v>
      </c>
      <c r="HH46" s="70" t="n">
        <f aca="false">CQ11-GL46</f>
        <v>0</v>
      </c>
      <c r="HI46" s="70" t="n">
        <f aca="false">CR11-GP46</f>
        <v>0</v>
      </c>
      <c r="HJ46" s="15" t="n">
        <f aca="false">CS11-GT46</f>
        <v>0</v>
      </c>
      <c r="HK46" s="101" t="n">
        <f aca="false">SUM(GY46:HJ46)</f>
        <v>21</v>
      </c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</row>
    <row r="47" customFormat="false" ht="12.75" hidden="false" customHeight="false" outlineLevel="0" collapsed="false">
      <c r="A47" s="16" t="s">
        <v>154</v>
      </c>
      <c r="B47" s="17" t="n">
        <f aca="false">AVERAGE(E47:AE47)</f>
        <v>0.407407407407407</v>
      </c>
      <c r="C47" s="2" t="n">
        <f aca="false">MIN(E47:AE47)</f>
        <v>0</v>
      </c>
      <c r="D47" s="18" t="n">
        <f aca="false">MAX(E47:AE47)</f>
        <v>2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0</v>
      </c>
      <c r="J47" s="19" t="n">
        <v>0</v>
      </c>
      <c r="K47" s="19" t="n">
        <v>0</v>
      </c>
      <c r="L47" s="19" t="n">
        <v>0</v>
      </c>
      <c r="M47" s="19" t="n">
        <v>1</v>
      </c>
      <c r="N47" s="19" t="n">
        <v>0</v>
      </c>
      <c r="O47" s="19" t="n">
        <v>0</v>
      </c>
      <c r="P47" s="19" t="n">
        <v>0</v>
      </c>
      <c r="Q47" s="19" t="n">
        <v>0</v>
      </c>
      <c r="R47" s="19" t="n">
        <v>2</v>
      </c>
      <c r="S47" s="19" t="n">
        <v>0</v>
      </c>
      <c r="T47" s="19" t="n">
        <v>0</v>
      </c>
      <c r="U47" s="19" t="n">
        <v>0</v>
      </c>
      <c r="V47" s="19" t="n">
        <v>0</v>
      </c>
      <c r="W47" s="19" t="n">
        <v>1</v>
      </c>
      <c r="X47" s="19" t="n">
        <v>2</v>
      </c>
      <c r="Y47" s="19" t="n">
        <v>1</v>
      </c>
      <c r="Z47" s="19" t="n">
        <v>2</v>
      </c>
      <c r="AA47" s="19" t="n">
        <v>0</v>
      </c>
      <c r="AB47" s="19" t="n">
        <v>1</v>
      </c>
      <c r="AC47" s="19" t="n">
        <v>1</v>
      </c>
      <c r="AD47" s="19" t="n">
        <v>0</v>
      </c>
      <c r="AE47" s="19" t="n">
        <v>0</v>
      </c>
      <c r="AF47" s="19" t="n">
        <v>0</v>
      </c>
      <c r="AG47" s="19"/>
      <c r="AH47" s="19"/>
      <c r="BC47" s="2"/>
      <c r="BD47" s="2"/>
      <c r="BE47" s="2"/>
      <c r="BS47" s="14" t="s">
        <v>155</v>
      </c>
      <c r="BT47" s="14"/>
      <c r="CB47" s="6"/>
      <c r="CU47" s="6"/>
      <c r="CV47" s="6"/>
      <c r="CW47" s="6"/>
      <c r="CX47" s="6"/>
      <c r="CY47" s="6"/>
      <c r="CZ47" s="6"/>
      <c r="DA47" s="6"/>
      <c r="DK47" s="43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96"/>
      <c r="EY47" s="96"/>
      <c r="EZ47" s="32" t="n">
        <v>2003</v>
      </c>
      <c r="FA47" s="96" t="n">
        <v>0</v>
      </c>
      <c r="FB47" s="96" t="n">
        <v>0</v>
      </c>
      <c r="FC47" s="96" t="n">
        <v>0</v>
      </c>
      <c r="FD47" s="15" t="n">
        <v>0</v>
      </c>
      <c r="FE47" s="102" t="n">
        <v>0</v>
      </c>
      <c r="FF47" s="96" t="n">
        <v>0</v>
      </c>
      <c r="FG47" s="96" t="n">
        <v>0</v>
      </c>
      <c r="FH47" s="15" t="n">
        <v>0</v>
      </c>
      <c r="FI47" s="102" t="n">
        <v>0</v>
      </c>
      <c r="FJ47" s="96" t="n">
        <v>0</v>
      </c>
      <c r="FK47" s="96" t="n">
        <v>0</v>
      </c>
      <c r="FL47" s="15" t="n">
        <v>0</v>
      </c>
      <c r="FM47" s="102" t="n">
        <v>0</v>
      </c>
      <c r="FN47" s="96" t="n">
        <v>1</v>
      </c>
      <c r="FO47" s="96" t="n">
        <v>0</v>
      </c>
      <c r="FP47" s="15" t="n">
        <v>0</v>
      </c>
      <c r="FQ47" s="102" t="n">
        <v>0</v>
      </c>
      <c r="FR47" s="96" t="n">
        <v>5</v>
      </c>
      <c r="FS47" s="96" t="n">
        <v>1</v>
      </c>
      <c r="FT47" s="15" t="n">
        <v>0</v>
      </c>
      <c r="FU47" s="102" t="n">
        <v>0</v>
      </c>
      <c r="FV47" s="96" t="n">
        <v>1</v>
      </c>
      <c r="FW47" s="96" t="n">
        <v>0</v>
      </c>
      <c r="FX47" s="15" t="n">
        <v>1</v>
      </c>
      <c r="FY47" s="102" t="n">
        <v>0</v>
      </c>
      <c r="FZ47" s="96" t="n">
        <v>3</v>
      </c>
      <c r="GA47" s="96" t="n">
        <v>2</v>
      </c>
      <c r="GB47" s="15" t="n">
        <v>0</v>
      </c>
      <c r="GC47" s="102" t="n">
        <v>0</v>
      </c>
      <c r="GD47" s="96" t="n">
        <v>1</v>
      </c>
      <c r="GE47" s="96" t="n">
        <v>2</v>
      </c>
      <c r="GF47" s="15" t="n">
        <v>0</v>
      </c>
      <c r="GG47" s="102" t="n">
        <v>0</v>
      </c>
      <c r="GH47" s="96" t="n">
        <v>0</v>
      </c>
      <c r="GI47" s="96" t="n">
        <v>0</v>
      </c>
      <c r="GJ47" s="15" t="n">
        <v>0</v>
      </c>
      <c r="GK47" s="102" t="n">
        <v>0</v>
      </c>
      <c r="GL47" s="96" t="n">
        <v>0</v>
      </c>
      <c r="GM47" s="96" t="n">
        <v>0</v>
      </c>
      <c r="GN47" s="15" t="n">
        <v>0</v>
      </c>
      <c r="GO47" s="102" t="n">
        <v>0</v>
      </c>
      <c r="GP47" s="96" t="n">
        <v>0</v>
      </c>
      <c r="GQ47" s="96" t="n">
        <v>0</v>
      </c>
      <c r="GR47" s="15" t="n">
        <v>0</v>
      </c>
      <c r="GS47" s="102" t="n">
        <v>0</v>
      </c>
      <c r="GT47" s="96" t="n">
        <v>0</v>
      </c>
      <c r="GU47" s="96" t="n">
        <v>0</v>
      </c>
      <c r="GV47" s="15" t="n">
        <v>1</v>
      </c>
      <c r="GW47" s="100"/>
      <c r="GX47" s="56" t="n">
        <v>2003</v>
      </c>
      <c r="GY47" s="70" t="n">
        <v>0</v>
      </c>
      <c r="GZ47" s="103" t="n">
        <v>0</v>
      </c>
      <c r="HA47" s="96" t="n">
        <v>0</v>
      </c>
      <c r="HB47" s="96" t="n">
        <v>0</v>
      </c>
      <c r="HC47" s="70" t="n">
        <f aca="false">CL12-FR47</f>
        <v>2</v>
      </c>
      <c r="HD47" s="70" t="n">
        <f aca="false">CM12-FV47</f>
        <v>6</v>
      </c>
      <c r="HE47" s="70" t="n">
        <f aca="false">CN12-FZ47</f>
        <v>7</v>
      </c>
      <c r="HF47" s="70" t="n">
        <f aca="false">CO12-GD47</f>
        <v>3</v>
      </c>
      <c r="HG47" s="70" t="n">
        <f aca="false">CP12-GH47</f>
        <v>0</v>
      </c>
      <c r="HH47" s="70" t="n">
        <f aca="false">CQ12-GL47</f>
        <v>0</v>
      </c>
      <c r="HI47" s="70" t="n">
        <f aca="false">CR12-GP47</f>
        <v>0</v>
      </c>
      <c r="HJ47" s="15" t="n">
        <f aca="false">CS12-GT47</f>
        <v>1</v>
      </c>
      <c r="HK47" s="101" t="n">
        <f aca="false">SUM(GY47:HJ47)</f>
        <v>19</v>
      </c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</row>
    <row r="48" customFormat="false" ht="12.75" hidden="false" customHeight="false" outlineLevel="0" collapsed="false">
      <c r="A48" s="16" t="s">
        <v>156</v>
      </c>
      <c r="B48" s="17" t="n">
        <f aca="false">AVERAGE(E48:AE48)</f>
        <v>0.407407407407407</v>
      </c>
      <c r="C48" s="2" t="n">
        <f aca="false">MIN(E48:AE48)</f>
        <v>0</v>
      </c>
      <c r="D48" s="18" t="n">
        <f aca="false">MAX(E48:AE48)</f>
        <v>2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1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2</v>
      </c>
      <c r="S48" s="19" t="n">
        <v>0</v>
      </c>
      <c r="T48" s="19" t="n">
        <v>0</v>
      </c>
      <c r="U48" s="19" t="n">
        <v>0</v>
      </c>
      <c r="V48" s="19" t="n">
        <v>0</v>
      </c>
      <c r="W48" s="19" t="n">
        <v>1</v>
      </c>
      <c r="X48" s="19" t="n">
        <v>2</v>
      </c>
      <c r="Y48" s="19" t="n">
        <v>1</v>
      </c>
      <c r="Z48" s="19" t="n">
        <v>2</v>
      </c>
      <c r="AA48" s="19" t="n">
        <v>0</v>
      </c>
      <c r="AB48" s="19" t="n">
        <v>1</v>
      </c>
      <c r="AC48" s="19" t="n">
        <v>1</v>
      </c>
      <c r="AD48" s="19" t="n">
        <v>0</v>
      </c>
      <c r="AE48" s="19" t="n">
        <v>0</v>
      </c>
      <c r="AF48" s="19" t="n">
        <v>0</v>
      </c>
      <c r="AG48" s="19"/>
      <c r="AH48" s="19"/>
      <c r="BC48" s="2"/>
      <c r="BD48" s="2"/>
      <c r="BE48" s="2"/>
      <c r="CB48" s="6"/>
      <c r="CU48" s="6"/>
      <c r="CV48" s="6"/>
      <c r="CW48" s="6"/>
      <c r="CX48" s="6"/>
      <c r="CY48" s="6"/>
      <c r="CZ48" s="6"/>
      <c r="DA48" s="6"/>
      <c r="DK48" s="43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96"/>
      <c r="EY48" s="96"/>
      <c r="EZ48" s="32" t="n">
        <v>2004</v>
      </c>
      <c r="FA48" s="102" t="n">
        <v>0</v>
      </c>
      <c r="FB48" s="96" t="n">
        <v>0</v>
      </c>
      <c r="FC48" s="96" t="n">
        <v>0</v>
      </c>
      <c r="FD48" s="15" t="n">
        <v>0</v>
      </c>
      <c r="FE48" s="102" t="n">
        <v>0</v>
      </c>
      <c r="FF48" s="96" t="n">
        <v>0</v>
      </c>
      <c r="FG48" s="96" t="n">
        <v>0</v>
      </c>
      <c r="FH48" s="15" t="n">
        <v>0</v>
      </c>
      <c r="FI48" s="102" t="n">
        <v>0</v>
      </c>
      <c r="FJ48" s="96" t="n">
        <v>0</v>
      </c>
      <c r="FK48" s="96" t="n">
        <v>0</v>
      </c>
      <c r="FL48" s="15" t="n">
        <v>0</v>
      </c>
      <c r="FM48" s="102" t="n">
        <v>0</v>
      </c>
      <c r="FN48" s="96" t="n">
        <v>2</v>
      </c>
      <c r="FO48" s="96" t="n">
        <v>0</v>
      </c>
      <c r="FP48" s="15" t="n">
        <v>0</v>
      </c>
      <c r="FQ48" s="102" t="n">
        <v>0</v>
      </c>
      <c r="FR48" s="96" t="n">
        <v>3</v>
      </c>
      <c r="FS48" s="96" t="n">
        <v>0</v>
      </c>
      <c r="FT48" s="15" t="n">
        <v>0</v>
      </c>
      <c r="FU48" s="102" t="n">
        <v>0</v>
      </c>
      <c r="FV48" s="96" t="n">
        <v>3</v>
      </c>
      <c r="FW48" s="96" t="n">
        <v>0</v>
      </c>
      <c r="FX48" s="15" t="n">
        <v>0</v>
      </c>
      <c r="FY48" s="102" t="n">
        <v>0</v>
      </c>
      <c r="FZ48" s="96" t="n">
        <v>2</v>
      </c>
      <c r="GA48" s="96" t="n">
        <v>0</v>
      </c>
      <c r="GB48" s="15" t="n">
        <v>2</v>
      </c>
      <c r="GC48" s="102" t="n">
        <v>0</v>
      </c>
      <c r="GD48" s="96" t="n">
        <v>5</v>
      </c>
      <c r="GE48" s="96" t="n">
        <v>0</v>
      </c>
      <c r="GF48" s="15" t="n">
        <v>1</v>
      </c>
      <c r="GG48" s="102" t="n">
        <v>0</v>
      </c>
      <c r="GH48" s="96" t="n">
        <v>0</v>
      </c>
      <c r="GI48" s="96" t="n">
        <v>0</v>
      </c>
      <c r="GJ48" s="15" t="n">
        <v>0</v>
      </c>
      <c r="GK48" s="102" t="n">
        <v>0</v>
      </c>
      <c r="GL48" s="96" t="n">
        <v>0</v>
      </c>
      <c r="GM48" s="96" t="n">
        <v>0</v>
      </c>
      <c r="GN48" s="15" t="n">
        <v>0</v>
      </c>
      <c r="GO48" s="102" t="n">
        <v>0</v>
      </c>
      <c r="GP48" s="96" t="n">
        <v>0</v>
      </c>
      <c r="GQ48" s="96" t="n">
        <v>0</v>
      </c>
      <c r="GR48" s="15" t="n">
        <v>0</v>
      </c>
      <c r="GS48" s="102" t="n">
        <v>0</v>
      </c>
      <c r="GT48" s="96" t="n">
        <v>0</v>
      </c>
      <c r="GU48" s="96" t="n">
        <v>0</v>
      </c>
      <c r="GV48" s="15" t="n">
        <v>0</v>
      </c>
      <c r="GW48" s="100"/>
      <c r="GX48" s="56" t="n">
        <v>2004</v>
      </c>
      <c r="GY48" s="70" t="n">
        <v>0</v>
      </c>
      <c r="GZ48" s="103" t="n">
        <v>0</v>
      </c>
      <c r="HA48" s="96" t="n">
        <v>0</v>
      </c>
      <c r="HB48" s="96" t="n">
        <v>1</v>
      </c>
      <c r="HC48" s="70" t="n">
        <f aca="false">CL13-FR48</f>
        <v>5</v>
      </c>
      <c r="HD48" s="70" t="n">
        <f aca="false">CM13-FV48</f>
        <v>2</v>
      </c>
      <c r="HE48" s="70" t="n">
        <f aca="false">CN13-FZ48</f>
        <v>7</v>
      </c>
      <c r="HF48" s="70" t="n">
        <f aca="false">CO13-GD48</f>
        <v>3</v>
      </c>
      <c r="HG48" s="70" t="n">
        <f aca="false">CP13-GH48</f>
        <v>0</v>
      </c>
      <c r="HH48" s="70" t="n">
        <f aca="false">CQ13-GL48</f>
        <v>1</v>
      </c>
      <c r="HI48" s="70" t="n">
        <f aca="false">CR13-GP48</f>
        <v>0</v>
      </c>
      <c r="HJ48" s="15" t="n">
        <f aca="false">CS13-GT48</f>
        <v>0</v>
      </c>
      <c r="HK48" s="101" t="n">
        <f aca="false">SUM(GY48:HJ48)</f>
        <v>19</v>
      </c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</row>
    <row r="49" customFormat="false" ht="12.75" hidden="false" customHeight="false" outlineLevel="0" collapsed="false">
      <c r="A49" s="16" t="s">
        <v>157</v>
      </c>
      <c r="B49" s="17" t="n">
        <f aca="false">AVERAGE(E49:AE49)</f>
        <v>0.407407407407407</v>
      </c>
      <c r="C49" s="2" t="n">
        <f aca="false">MIN(E49:AE49)</f>
        <v>0</v>
      </c>
      <c r="D49" s="18" t="n">
        <f aca="false">MAX(E49:AE49)</f>
        <v>2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1</v>
      </c>
      <c r="N49" s="19" t="n">
        <v>0</v>
      </c>
      <c r="O49" s="19" t="n">
        <v>0</v>
      </c>
      <c r="P49" s="19" t="n">
        <v>0</v>
      </c>
      <c r="Q49" s="19" t="n">
        <v>0</v>
      </c>
      <c r="R49" s="19" t="n">
        <v>2</v>
      </c>
      <c r="S49" s="19" t="n">
        <v>0</v>
      </c>
      <c r="T49" s="19" t="n">
        <v>0</v>
      </c>
      <c r="U49" s="19" t="n">
        <v>0</v>
      </c>
      <c r="V49" s="19" t="n">
        <v>0</v>
      </c>
      <c r="W49" s="19" t="n">
        <v>1</v>
      </c>
      <c r="X49" s="19" t="n">
        <v>2</v>
      </c>
      <c r="Y49" s="19" t="n">
        <v>1</v>
      </c>
      <c r="Z49" s="19" t="n">
        <v>2</v>
      </c>
      <c r="AA49" s="19" t="n">
        <v>0</v>
      </c>
      <c r="AB49" s="19" t="n">
        <v>1</v>
      </c>
      <c r="AC49" s="19" t="n">
        <v>1</v>
      </c>
      <c r="AD49" s="19" t="n">
        <v>0</v>
      </c>
      <c r="AE49" s="19" t="n">
        <v>0</v>
      </c>
      <c r="AF49" s="19" t="n">
        <v>0</v>
      </c>
      <c r="AG49" s="19"/>
      <c r="AH49" s="19"/>
      <c r="BC49" s="2"/>
      <c r="BD49" s="2"/>
      <c r="BE49" s="2"/>
      <c r="CB49" s="6"/>
      <c r="CU49" s="6"/>
      <c r="CV49" s="6"/>
      <c r="CW49" s="6"/>
      <c r="CX49" s="6"/>
      <c r="CY49" s="6"/>
      <c r="CZ49" s="6"/>
      <c r="DA49" s="6"/>
      <c r="DK49" s="43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96"/>
      <c r="EY49" s="96"/>
      <c r="EZ49" s="32" t="n">
        <v>2005</v>
      </c>
      <c r="FA49" s="102" t="n">
        <v>2</v>
      </c>
      <c r="FB49" s="96" t="n">
        <v>0</v>
      </c>
      <c r="FC49" s="96" t="n">
        <v>0</v>
      </c>
      <c r="FD49" s="15" t="n">
        <v>0</v>
      </c>
      <c r="FE49" s="102" t="n">
        <v>0</v>
      </c>
      <c r="FF49" s="96" t="n">
        <v>0</v>
      </c>
      <c r="FG49" s="96" t="n">
        <v>0</v>
      </c>
      <c r="FH49" s="15" t="n">
        <v>0</v>
      </c>
      <c r="FI49" s="102" t="n">
        <v>0</v>
      </c>
      <c r="FJ49" s="96" t="n">
        <v>0</v>
      </c>
      <c r="FK49" s="96" t="n">
        <v>0</v>
      </c>
      <c r="FL49" s="15" t="n">
        <v>0</v>
      </c>
      <c r="FM49" s="102" t="n">
        <v>0</v>
      </c>
      <c r="FN49" s="96" t="n">
        <v>1</v>
      </c>
      <c r="FO49" s="96" t="n">
        <v>0</v>
      </c>
      <c r="FP49" s="15" t="n">
        <v>0</v>
      </c>
      <c r="FQ49" s="102" t="n">
        <v>0</v>
      </c>
      <c r="FR49" s="96" t="n">
        <v>2</v>
      </c>
      <c r="FS49" s="96" t="n">
        <v>0</v>
      </c>
      <c r="FT49" s="15" t="n">
        <v>0</v>
      </c>
      <c r="FU49" s="102" t="n">
        <v>0</v>
      </c>
      <c r="FV49" s="96" t="n">
        <v>1</v>
      </c>
      <c r="FW49" s="96" t="n">
        <v>1</v>
      </c>
      <c r="FX49" s="15" t="n">
        <v>0</v>
      </c>
      <c r="FY49" s="102" t="n">
        <v>0</v>
      </c>
      <c r="FZ49" s="96" t="n">
        <v>2</v>
      </c>
      <c r="GA49" s="96" t="n">
        <v>0</v>
      </c>
      <c r="GB49" s="15" t="n">
        <v>1</v>
      </c>
      <c r="GC49" s="102" t="n">
        <v>0</v>
      </c>
      <c r="GD49" s="96" t="n">
        <v>1</v>
      </c>
      <c r="GE49" s="96" t="n">
        <v>0</v>
      </c>
      <c r="GF49" s="15" t="n">
        <v>0</v>
      </c>
      <c r="GG49" s="102" t="n">
        <v>0</v>
      </c>
      <c r="GH49" s="96" t="n">
        <v>0</v>
      </c>
      <c r="GI49" s="96" t="n">
        <v>0</v>
      </c>
      <c r="GJ49" s="15" t="n">
        <v>0</v>
      </c>
      <c r="GK49" s="102" t="n">
        <v>0</v>
      </c>
      <c r="GL49" s="96" t="n">
        <v>0</v>
      </c>
      <c r="GM49" s="96" t="n">
        <v>0</v>
      </c>
      <c r="GN49" s="15" t="n">
        <v>0</v>
      </c>
      <c r="GO49" s="102" t="n">
        <v>0</v>
      </c>
      <c r="GP49" s="96" t="n">
        <v>0</v>
      </c>
      <c r="GQ49" s="96" t="n">
        <v>0</v>
      </c>
      <c r="GR49" s="15" t="n">
        <v>0</v>
      </c>
      <c r="GS49" s="102" t="n">
        <v>0</v>
      </c>
      <c r="GT49" s="96" t="n">
        <v>1</v>
      </c>
      <c r="GU49" s="96" t="n">
        <v>0</v>
      </c>
      <c r="GV49" s="15" t="n">
        <v>0</v>
      </c>
      <c r="GW49" s="100"/>
      <c r="GX49" s="56" t="n">
        <v>2005</v>
      </c>
      <c r="GY49" s="70" t="n">
        <v>0</v>
      </c>
      <c r="GZ49" s="103" t="n">
        <v>0</v>
      </c>
      <c r="HA49" s="96" t="n">
        <v>0</v>
      </c>
      <c r="HB49" s="96" t="n">
        <v>1</v>
      </c>
      <c r="HC49" s="70" t="n">
        <f aca="false">CL14-FR49</f>
        <v>4</v>
      </c>
      <c r="HD49" s="70" t="n">
        <f aca="false">CM14-FV49</f>
        <v>4</v>
      </c>
      <c r="HE49" s="70" t="n">
        <f aca="false">CN14-FZ49</f>
        <v>7</v>
      </c>
      <c r="HF49" s="70" t="n">
        <f aca="false">CO14-GD49</f>
        <v>3</v>
      </c>
      <c r="HG49" s="70" t="n">
        <f aca="false">CP14-GH49</f>
        <v>1</v>
      </c>
      <c r="HH49" s="70" t="n">
        <f aca="false">CQ14-GL49</f>
        <v>0</v>
      </c>
      <c r="HI49" s="70" t="n">
        <f aca="false">CR14-GP49</f>
        <v>0</v>
      </c>
      <c r="HJ49" s="15" t="n">
        <f aca="false">CS14-GT49</f>
        <v>0</v>
      </c>
      <c r="HK49" s="101" t="n">
        <f aca="false">SUM(GY49:HJ49)</f>
        <v>20</v>
      </c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</row>
    <row r="50" customFormat="false" ht="12.75" hidden="false" customHeight="false" outlineLevel="0" collapsed="false">
      <c r="A50" s="16" t="s">
        <v>158</v>
      </c>
      <c r="B50" s="17" t="n">
        <f aca="false">AVERAGE(E50:AE50)</f>
        <v>0.407407407407407</v>
      </c>
      <c r="C50" s="2" t="n">
        <f aca="false">MIN(E50:AE50)</f>
        <v>0</v>
      </c>
      <c r="D50" s="18" t="n">
        <f aca="false">MAX(E50:AE50)</f>
        <v>2</v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>0</v>
      </c>
      <c r="K50" s="19" t="n">
        <v>0</v>
      </c>
      <c r="L50" s="19" t="n">
        <v>0</v>
      </c>
      <c r="M50" s="19" t="n">
        <v>1</v>
      </c>
      <c r="N50" s="19" t="n">
        <v>0</v>
      </c>
      <c r="O50" s="19" t="n">
        <v>0</v>
      </c>
      <c r="P50" s="19" t="n">
        <v>0</v>
      </c>
      <c r="Q50" s="19" t="n">
        <v>0</v>
      </c>
      <c r="R50" s="19" t="n">
        <v>2</v>
      </c>
      <c r="S50" s="19" t="n">
        <v>0</v>
      </c>
      <c r="T50" s="19" t="n">
        <v>0</v>
      </c>
      <c r="U50" s="19" t="n">
        <v>0</v>
      </c>
      <c r="V50" s="19" t="n">
        <v>0</v>
      </c>
      <c r="W50" s="19" t="n">
        <v>1</v>
      </c>
      <c r="X50" s="19" t="n">
        <v>2</v>
      </c>
      <c r="Y50" s="19" t="n">
        <v>1</v>
      </c>
      <c r="Z50" s="19" t="n">
        <v>2</v>
      </c>
      <c r="AA50" s="19" t="n">
        <v>0</v>
      </c>
      <c r="AB50" s="19" t="n">
        <v>1</v>
      </c>
      <c r="AC50" s="19" t="n">
        <v>1</v>
      </c>
      <c r="AD50" s="19" t="n">
        <v>0</v>
      </c>
      <c r="AE50" s="19" t="n">
        <v>0</v>
      </c>
      <c r="AF50" s="19" t="n">
        <v>0</v>
      </c>
      <c r="AG50" s="19"/>
      <c r="AH50" s="19"/>
      <c r="BC50" s="2"/>
      <c r="BD50" s="2"/>
      <c r="BE50" s="2"/>
      <c r="CB50" s="6"/>
      <c r="CU50" s="6"/>
      <c r="CV50" s="6"/>
      <c r="CW50" s="6"/>
      <c r="CX50" s="6"/>
      <c r="CY50" s="6"/>
      <c r="CZ50" s="6"/>
      <c r="DA50" s="6"/>
      <c r="DK50" s="43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96"/>
      <c r="EY50" s="96"/>
      <c r="EZ50" s="32" t="n">
        <v>2006</v>
      </c>
      <c r="FA50" s="102" t="n">
        <v>0</v>
      </c>
      <c r="FB50" s="96" t="n">
        <v>0</v>
      </c>
      <c r="FC50" s="96" t="n">
        <v>0</v>
      </c>
      <c r="FD50" s="15" t="n">
        <v>0</v>
      </c>
      <c r="FE50" s="102" t="n">
        <v>0</v>
      </c>
      <c r="FF50" s="96" t="n">
        <v>0</v>
      </c>
      <c r="FG50" s="96" t="n">
        <v>0</v>
      </c>
      <c r="FH50" s="15" t="n">
        <v>0</v>
      </c>
      <c r="FI50" s="102" t="n">
        <v>0</v>
      </c>
      <c r="FJ50" s="96" t="n">
        <v>0</v>
      </c>
      <c r="FK50" s="96" t="n">
        <v>0</v>
      </c>
      <c r="FL50" s="15" t="n">
        <v>0</v>
      </c>
      <c r="FM50" s="102" t="n">
        <v>0</v>
      </c>
      <c r="FN50" s="96" t="n">
        <v>1</v>
      </c>
      <c r="FO50" s="96" t="n">
        <v>0</v>
      </c>
      <c r="FP50" s="15" t="n">
        <v>0</v>
      </c>
      <c r="FQ50" s="102" t="n">
        <v>0</v>
      </c>
      <c r="FR50" s="96" t="n">
        <v>1</v>
      </c>
      <c r="FS50" s="96" t="n">
        <v>0</v>
      </c>
      <c r="FT50" s="15" t="n">
        <v>1</v>
      </c>
      <c r="FU50" s="102" t="n">
        <v>0</v>
      </c>
      <c r="FV50" s="96" t="n">
        <v>0</v>
      </c>
      <c r="FW50" s="96" t="n">
        <v>1</v>
      </c>
      <c r="FX50" s="15" t="n">
        <v>1</v>
      </c>
      <c r="FY50" s="102" t="n">
        <v>0</v>
      </c>
      <c r="FZ50" s="96" t="n">
        <v>5</v>
      </c>
      <c r="GA50" s="96" t="n">
        <v>1</v>
      </c>
      <c r="GB50" s="15" t="n">
        <v>0</v>
      </c>
      <c r="GC50" s="102" t="n">
        <v>0</v>
      </c>
      <c r="GD50" s="96" t="n">
        <v>1</v>
      </c>
      <c r="GE50" s="96" t="n">
        <v>0</v>
      </c>
      <c r="GF50" s="15" t="n">
        <v>0</v>
      </c>
      <c r="GG50" s="102" t="n">
        <v>0</v>
      </c>
      <c r="GH50" s="96" t="n">
        <v>0</v>
      </c>
      <c r="GI50" s="96" t="n">
        <v>0</v>
      </c>
      <c r="GJ50" s="15" t="n">
        <v>0</v>
      </c>
      <c r="GK50" s="102" t="n">
        <v>0</v>
      </c>
      <c r="GL50" s="96" t="n">
        <v>1</v>
      </c>
      <c r="GM50" s="96" t="n">
        <v>0</v>
      </c>
      <c r="GN50" s="15" t="n">
        <v>0</v>
      </c>
      <c r="GO50" s="102" t="n">
        <v>0</v>
      </c>
      <c r="GP50" s="96" t="n">
        <v>0</v>
      </c>
      <c r="GQ50" s="96" t="n">
        <v>0</v>
      </c>
      <c r="GR50" s="15" t="n">
        <v>0</v>
      </c>
      <c r="GS50" s="102" t="n">
        <v>0</v>
      </c>
      <c r="GT50" s="96" t="n">
        <v>0</v>
      </c>
      <c r="GU50" s="96" t="n">
        <v>0</v>
      </c>
      <c r="GV50" s="15" t="n">
        <v>0</v>
      </c>
      <c r="GW50" s="100"/>
      <c r="GX50" s="56" t="n">
        <v>2006</v>
      </c>
      <c r="GY50" s="70" t="n">
        <v>0</v>
      </c>
      <c r="GZ50" s="103" t="n">
        <v>0</v>
      </c>
      <c r="HA50" s="96" t="n">
        <v>0</v>
      </c>
      <c r="HB50" s="96" t="n">
        <v>3</v>
      </c>
      <c r="HC50" s="70" t="n">
        <f aca="false">CL15-FR50</f>
        <v>3</v>
      </c>
      <c r="HD50" s="70" t="n">
        <f aca="false">CM15-FV50</f>
        <v>6</v>
      </c>
      <c r="HE50" s="70" t="n">
        <f aca="false">CN15-FZ50</f>
        <v>6</v>
      </c>
      <c r="HF50" s="70" t="n">
        <f aca="false">CO15-GD50</f>
        <v>3</v>
      </c>
      <c r="HG50" s="70" t="n">
        <f aca="false">CP15-GH50</f>
        <v>0</v>
      </c>
      <c r="HH50" s="70" t="n">
        <f aca="false">CQ15-GL50</f>
        <v>1</v>
      </c>
      <c r="HI50" s="70" t="n">
        <f aca="false">CR15-GP50</f>
        <v>0</v>
      </c>
      <c r="HJ50" s="15" t="n">
        <f aca="false">CS15-GT50</f>
        <v>0</v>
      </c>
      <c r="HK50" s="101" t="n">
        <f aca="false">SUM(GY50:HJ50)</f>
        <v>22</v>
      </c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</row>
    <row r="51" customFormat="false" ht="12.75" hidden="false" customHeight="false" outlineLevel="0" collapsed="false">
      <c r="A51" s="16" t="s">
        <v>159</v>
      </c>
      <c r="B51" s="17" t="n">
        <f aca="false">AVERAGE(E51:AE51)</f>
        <v>0.407407407407407</v>
      </c>
      <c r="C51" s="2" t="n">
        <f aca="false">MIN(E51:AE51)</f>
        <v>0</v>
      </c>
      <c r="D51" s="18" t="n">
        <f aca="false">MAX(E51:AE51)</f>
        <v>2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1</v>
      </c>
      <c r="N51" s="19" t="n">
        <v>0</v>
      </c>
      <c r="O51" s="19" t="n">
        <v>0</v>
      </c>
      <c r="P51" s="19" t="n">
        <v>0</v>
      </c>
      <c r="Q51" s="19" t="n">
        <v>0</v>
      </c>
      <c r="R51" s="19" t="n">
        <v>2</v>
      </c>
      <c r="S51" s="19" t="n">
        <v>0</v>
      </c>
      <c r="T51" s="19" t="n">
        <v>0</v>
      </c>
      <c r="U51" s="19" t="n">
        <v>0</v>
      </c>
      <c r="V51" s="19" t="n">
        <v>0</v>
      </c>
      <c r="W51" s="19" t="n">
        <v>1</v>
      </c>
      <c r="X51" s="19" t="n">
        <v>2</v>
      </c>
      <c r="Y51" s="19" t="n">
        <v>1</v>
      </c>
      <c r="Z51" s="19" t="n">
        <v>2</v>
      </c>
      <c r="AA51" s="19" t="n">
        <v>0</v>
      </c>
      <c r="AB51" s="19" t="n">
        <v>1</v>
      </c>
      <c r="AC51" s="19" t="n">
        <v>1</v>
      </c>
      <c r="AD51" s="19" t="n">
        <v>0</v>
      </c>
      <c r="AE51" s="19" t="n">
        <v>0</v>
      </c>
      <c r="AF51" s="19" t="n">
        <v>0</v>
      </c>
      <c r="AG51" s="19"/>
      <c r="AH51" s="19"/>
      <c r="CB51" s="6"/>
      <c r="CU51" s="6"/>
      <c r="CV51" s="6"/>
      <c r="CW51" s="6"/>
      <c r="CX51" s="6"/>
      <c r="CY51" s="6"/>
      <c r="CZ51" s="6"/>
      <c r="DA51" s="6"/>
      <c r="DK51" s="43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96"/>
      <c r="EY51" s="96"/>
      <c r="EZ51" s="32" t="n">
        <v>2007</v>
      </c>
      <c r="FA51" s="102" t="n">
        <v>0</v>
      </c>
      <c r="FB51" s="96" t="n">
        <v>0</v>
      </c>
      <c r="FC51" s="96" t="n">
        <v>0</v>
      </c>
      <c r="FD51" s="15" t="n">
        <v>1</v>
      </c>
      <c r="FE51" s="102" t="n">
        <v>0</v>
      </c>
      <c r="FF51" s="96" t="n">
        <v>0</v>
      </c>
      <c r="FG51" s="96" t="n">
        <v>0</v>
      </c>
      <c r="FH51" s="15" t="n">
        <v>0</v>
      </c>
      <c r="FI51" s="102" t="n">
        <v>0</v>
      </c>
      <c r="FJ51" s="96" t="n">
        <v>0</v>
      </c>
      <c r="FK51" s="96" t="n">
        <v>0</v>
      </c>
      <c r="FL51" s="15" t="n">
        <v>0</v>
      </c>
      <c r="FM51" s="102" t="n">
        <v>0</v>
      </c>
      <c r="FN51" s="96" t="n">
        <v>1</v>
      </c>
      <c r="FO51" s="96" t="n">
        <v>0</v>
      </c>
      <c r="FP51" s="15" t="n">
        <v>0</v>
      </c>
      <c r="FQ51" s="102" t="n">
        <v>0</v>
      </c>
      <c r="FR51" s="96" t="n">
        <v>1</v>
      </c>
      <c r="FS51" s="96" t="n">
        <v>1</v>
      </c>
      <c r="FT51" s="15" t="n">
        <v>1</v>
      </c>
      <c r="FU51" s="102" t="n">
        <v>0</v>
      </c>
      <c r="FV51" s="96" t="n">
        <v>4</v>
      </c>
      <c r="FW51" s="96" t="n">
        <v>0</v>
      </c>
      <c r="FX51" s="15" t="n">
        <v>0</v>
      </c>
      <c r="FY51" s="102" t="n">
        <v>0</v>
      </c>
      <c r="FZ51" s="96" t="n">
        <v>2</v>
      </c>
      <c r="GA51" s="96" t="n">
        <v>0</v>
      </c>
      <c r="GB51" s="15" t="n">
        <v>1</v>
      </c>
      <c r="GC51" s="102" t="n">
        <v>0</v>
      </c>
      <c r="GD51" s="96" t="n">
        <v>3</v>
      </c>
      <c r="GE51" s="96" t="n">
        <v>2</v>
      </c>
      <c r="GF51" s="15" t="n">
        <v>0</v>
      </c>
      <c r="GG51" s="102" t="n">
        <v>0</v>
      </c>
      <c r="GH51" s="96" t="n">
        <v>0</v>
      </c>
      <c r="GI51" s="96" t="n">
        <v>0</v>
      </c>
      <c r="GJ51" s="15" t="n">
        <v>0</v>
      </c>
      <c r="GK51" s="102" t="n">
        <v>0</v>
      </c>
      <c r="GL51" s="96" t="n">
        <v>0</v>
      </c>
      <c r="GM51" s="96" t="n">
        <v>0</v>
      </c>
      <c r="GN51" s="15" t="n">
        <v>0</v>
      </c>
      <c r="GO51" s="102" t="n">
        <v>0</v>
      </c>
      <c r="GP51" s="96" t="n">
        <v>0</v>
      </c>
      <c r="GQ51" s="96" t="n">
        <v>0</v>
      </c>
      <c r="GR51" s="15" t="n">
        <v>0</v>
      </c>
      <c r="GS51" s="102" t="n">
        <v>0</v>
      </c>
      <c r="GT51" s="96" t="n">
        <v>1</v>
      </c>
      <c r="GU51" s="96" t="n">
        <v>0</v>
      </c>
      <c r="GV51" s="15" t="n">
        <v>0</v>
      </c>
      <c r="GW51" s="100"/>
      <c r="GX51" s="56" t="n">
        <v>2007</v>
      </c>
      <c r="GY51" s="70" t="n">
        <v>1</v>
      </c>
      <c r="GZ51" s="103" t="n">
        <v>0</v>
      </c>
      <c r="HA51" s="96" t="n">
        <v>0</v>
      </c>
      <c r="HB51" s="96" t="n">
        <v>0</v>
      </c>
      <c r="HC51" s="70" t="n">
        <f aca="false">CL16-FR51</f>
        <v>5</v>
      </c>
      <c r="HD51" s="70" t="n">
        <f aca="false">CM16-FV51</f>
        <v>3</v>
      </c>
      <c r="HE51" s="70" t="n">
        <f aca="false">CN16-FZ51</f>
        <v>5</v>
      </c>
      <c r="HF51" s="70" t="n">
        <f aca="false">CO16-GD51</f>
        <v>6</v>
      </c>
      <c r="HG51" s="70" t="n">
        <f aca="false">CP16-GH51</f>
        <v>0</v>
      </c>
      <c r="HH51" s="70" t="n">
        <f aca="false">CQ16-GL51</f>
        <v>0</v>
      </c>
      <c r="HI51" s="70" t="n">
        <f aca="false">CR16-GP51</f>
        <v>0</v>
      </c>
      <c r="HJ51" s="15" t="n">
        <f aca="false">CS16-GT51</f>
        <v>0</v>
      </c>
      <c r="HK51" s="101" t="n">
        <f aca="false">SUM(GY51:HJ51)</f>
        <v>20</v>
      </c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</row>
    <row r="52" customFormat="false" ht="12.75" hidden="false" customHeight="false" outlineLevel="0" collapsed="false">
      <c r="A52" s="16" t="s">
        <v>160</v>
      </c>
      <c r="B52" s="17" t="n">
        <f aca="false">AVERAGE(E52:AE52)</f>
        <v>0.407407407407407</v>
      </c>
      <c r="C52" s="2" t="n">
        <f aca="false">MIN(E52:AE52)</f>
        <v>0</v>
      </c>
      <c r="D52" s="18" t="n">
        <f aca="false">MAX(E52:AE52)</f>
        <v>2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1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2</v>
      </c>
      <c r="S52" s="19" t="n">
        <v>0</v>
      </c>
      <c r="T52" s="19" t="n">
        <v>0</v>
      </c>
      <c r="U52" s="19" t="n">
        <v>0</v>
      </c>
      <c r="V52" s="19" t="n">
        <v>0</v>
      </c>
      <c r="W52" s="19" t="n">
        <v>1</v>
      </c>
      <c r="X52" s="19" t="n">
        <v>2</v>
      </c>
      <c r="Y52" s="19" t="n">
        <v>1</v>
      </c>
      <c r="Z52" s="19" t="n">
        <v>2</v>
      </c>
      <c r="AA52" s="19" t="n">
        <v>0</v>
      </c>
      <c r="AB52" s="22" t="n">
        <v>1</v>
      </c>
      <c r="AC52" s="19" t="n">
        <v>1</v>
      </c>
      <c r="AD52" s="19" t="n">
        <v>0</v>
      </c>
      <c r="AE52" s="19" t="n">
        <v>0</v>
      </c>
      <c r="AF52" s="19" t="n">
        <v>0</v>
      </c>
      <c r="AG52" s="19"/>
      <c r="AH52" s="19"/>
      <c r="CB52" s="6"/>
      <c r="CU52" s="6"/>
      <c r="CV52" s="6"/>
      <c r="CW52" s="6"/>
      <c r="CX52" s="6"/>
      <c r="CY52" s="6"/>
      <c r="CZ52" s="6"/>
      <c r="DA52" s="6"/>
      <c r="DK52" s="43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96"/>
      <c r="EY52" s="96"/>
      <c r="EZ52" s="32" t="n">
        <v>2008</v>
      </c>
      <c r="FA52" s="102" t="n">
        <v>0</v>
      </c>
      <c r="FB52" s="96" t="n">
        <v>0</v>
      </c>
      <c r="FC52" s="96" t="n">
        <v>0</v>
      </c>
      <c r="FD52" s="15" t="n">
        <v>0</v>
      </c>
      <c r="FE52" s="102" t="n">
        <v>0</v>
      </c>
      <c r="FF52" s="96" t="n">
        <v>0</v>
      </c>
      <c r="FG52" s="96" t="n">
        <v>0</v>
      </c>
      <c r="FH52" s="15" t="n">
        <v>0</v>
      </c>
      <c r="FI52" s="102" t="n">
        <v>1</v>
      </c>
      <c r="FJ52" s="96" t="n">
        <v>0</v>
      </c>
      <c r="FK52" s="96" t="n">
        <v>0</v>
      </c>
      <c r="FL52" s="15" t="n">
        <v>1</v>
      </c>
      <c r="FM52" s="102" t="n">
        <v>0</v>
      </c>
      <c r="FN52" s="96" t="n">
        <v>1</v>
      </c>
      <c r="FO52" s="96" t="n">
        <v>0</v>
      </c>
      <c r="FP52" s="15" t="n">
        <v>0</v>
      </c>
      <c r="FQ52" s="102" t="n">
        <v>0</v>
      </c>
      <c r="FR52" s="96" t="n">
        <v>4</v>
      </c>
      <c r="FS52" s="96" t="n">
        <v>0</v>
      </c>
      <c r="FT52" s="15" t="n">
        <v>0</v>
      </c>
      <c r="FU52" s="102" t="n">
        <v>0</v>
      </c>
      <c r="FV52" s="96" t="n">
        <v>2</v>
      </c>
      <c r="FW52" s="96" t="n">
        <v>0</v>
      </c>
      <c r="FX52" s="15" t="n">
        <v>0</v>
      </c>
      <c r="FY52" s="102" t="n">
        <v>0</v>
      </c>
      <c r="FZ52" s="96" t="n">
        <v>1</v>
      </c>
      <c r="GA52" s="96" t="n">
        <v>0</v>
      </c>
      <c r="GB52" s="15" t="n">
        <v>0</v>
      </c>
      <c r="GC52" s="102" t="n">
        <v>0</v>
      </c>
      <c r="GD52" s="96" t="n">
        <v>0</v>
      </c>
      <c r="GE52" s="96" t="n">
        <v>0</v>
      </c>
      <c r="GF52" s="15" t="n">
        <v>0</v>
      </c>
      <c r="GG52" s="102" t="n">
        <v>0</v>
      </c>
      <c r="GH52" s="96" t="n">
        <v>0</v>
      </c>
      <c r="GI52" s="96" t="n">
        <v>0</v>
      </c>
      <c r="GJ52" s="15" t="n">
        <v>0</v>
      </c>
      <c r="GK52" s="102" t="n">
        <v>0</v>
      </c>
      <c r="GL52" s="96" t="n">
        <v>0</v>
      </c>
      <c r="GM52" s="96" t="n">
        <v>0</v>
      </c>
      <c r="GN52" s="15" t="n">
        <v>0</v>
      </c>
      <c r="GO52" s="102" t="n">
        <v>0</v>
      </c>
      <c r="GP52" s="96" t="n">
        <v>0</v>
      </c>
      <c r="GQ52" s="96" t="n">
        <v>0</v>
      </c>
      <c r="GR52" s="15" t="n">
        <v>0</v>
      </c>
      <c r="GS52" s="102" t="n">
        <v>0</v>
      </c>
      <c r="GT52" s="96" t="n">
        <v>0</v>
      </c>
      <c r="GU52" s="96" t="n">
        <v>0</v>
      </c>
      <c r="GV52" s="15" t="n">
        <v>0</v>
      </c>
      <c r="GW52" s="100"/>
      <c r="GX52" s="56" t="n">
        <v>2008</v>
      </c>
      <c r="GY52" s="70" t="n">
        <v>0</v>
      </c>
      <c r="GZ52" s="103" t="n">
        <v>0</v>
      </c>
      <c r="HA52" s="96" t="n">
        <v>1</v>
      </c>
      <c r="HB52" s="96" t="n">
        <v>1</v>
      </c>
      <c r="HC52" s="70" t="n">
        <f aca="false">CL17-FR52</f>
        <v>3</v>
      </c>
      <c r="HD52" s="70" t="n">
        <f aca="false">CM17-FV52</f>
        <v>6</v>
      </c>
      <c r="HE52" s="70" t="n">
        <f aca="false">CN17-FZ52</f>
        <v>2</v>
      </c>
      <c r="HF52" s="70" t="n">
        <f aca="false">CO17-GD52</f>
        <v>4</v>
      </c>
      <c r="HG52" s="70" t="n">
        <f aca="false">CP17-GH52</f>
        <v>1</v>
      </c>
      <c r="HH52" s="70" t="n">
        <f aca="false">CQ17-GL52</f>
        <v>0</v>
      </c>
      <c r="HI52" s="70" t="n">
        <f aca="false">CR17-GP52</f>
        <v>0</v>
      </c>
      <c r="HJ52" s="15" t="n">
        <f aca="false">CS17-GT52</f>
        <v>0</v>
      </c>
      <c r="HK52" s="101" t="n">
        <f aca="false">SUM(GY52:HJ52)</f>
        <v>18</v>
      </c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</row>
    <row r="53" customFormat="false" ht="12.75" hidden="false" customHeight="false" outlineLevel="0" collapsed="false">
      <c r="A53" s="16" t="s">
        <v>161</v>
      </c>
      <c r="B53" s="17" t="n">
        <f aca="false">AVERAGE(E53:AE53)</f>
        <v>0.407407407407407</v>
      </c>
      <c r="C53" s="2" t="n">
        <f aca="false">MIN(E53:AE53)</f>
        <v>0</v>
      </c>
      <c r="D53" s="18" t="n">
        <f aca="false">MAX(E53:AE53)</f>
        <v>2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</v>
      </c>
      <c r="N53" s="19" t="n">
        <v>0</v>
      </c>
      <c r="O53" s="19" t="n">
        <v>0</v>
      </c>
      <c r="P53" s="19" t="n">
        <v>0</v>
      </c>
      <c r="Q53" s="19" t="n">
        <v>0</v>
      </c>
      <c r="R53" s="19" t="n">
        <v>2</v>
      </c>
      <c r="S53" s="19" t="n">
        <v>0</v>
      </c>
      <c r="T53" s="19" t="n">
        <v>0</v>
      </c>
      <c r="U53" s="19" t="n">
        <v>0</v>
      </c>
      <c r="V53" s="19" t="n">
        <v>0</v>
      </c>
      <c r="W53" s="19" t="n">
        <v>1</v>
      </c>
      <c r="X53" s="19" t="n">
        <v>2</v>
      </c>
      <c r="Y53" s="19" t="n">
        <v>1</v>
      </c>
      <c r="Z53" s="19" t="n">
        <v>2</v>
      </c>
      <c r="AA53" s="19" t="n">
        <v>0</v>
      </c>
      <c r="AB53" s="19" t="n">
        <v>1</v>
      </c>
      <c r="AC53" s="19" t="n">
        <v>1</v>
      </c>
      <c r="AD53" s="19" t="n">
        <v>0</v>
      </c>
      <c r="AE53" s="19" t="n">
        <v>0</v>
      </c>
      <c r="AF53" s="19" t="n">
        <v>0</v>
      </c>
      <c r="AG53" s="19"/>
      <c r="AH53" s="19"/>
      <c r="CB53" s="6"/>
      <c r="CU53" s="6"/>
      <c r="CV53" s="6"/>
      <c r="CW53" s="6"/>
      <c r="CX53" s="6"/>
      <c r="CY53" s="6"/>
      <c r="CZ53" s="6"/>
      <c r="DA53" s="6"/>
      <c r="DK53" s="43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96"/>
      <c r="EY53" s="96"/>
      <c r="EZ53" s="32" t="n">
        <v>2009</v>
      </c>
      <c r="FA53" s="102" t="n">
        <v>0</v>
      </c>
      <c r="FB53" s="96" t="n">
        <v>0</v>
      </c>
      <c r="FC53" s="96" t="n">
        <v>0</v>
      </c>
      <c r="FD53" s="15" t="n">
        <v>0</v>
      </c>
      <c r="FE53" s="102" t="n">
        <v>0</v>
      </c>
      <c r="FF53" s="96" t="n">
        <v>0</v>
      </c>
      <c r="FG53" s="96" t="n">
        <v>0</v>
      </c>
      <c r="FH53" s="15" t="n">
        <v>0</v>
      </c>
      <c r="FI53" s="102" t="n">
        <v>1</v>
      </c>
      <c r="FJ53" s="96" t="n">
        <v>0</v>
      </c>
      <c r="FK53" s="96" t="n">
        <v>0</v>
      </c>
      <c r="FL53" s="15" t="n">
        <v>1</v>
      </c>
      <c r="FM53" s="102" t="n">
        <v>0</v>
      </c>
      <c r="FN53" s="96" t="n">
        <v>1</v>
      </c>
      <c r="FO53" s="96" t="n">
        <v>0</v>
      </c>
      <c r="FP53" s="15" t="n">
        <v>0</v>
      </c>
      <c r="FQ53" s="102" t="n">
        <v>0</v>
      </c>
      <c r="FR53" s="96" t="n">
        <v>2</v>
      </c>
      <c r="FS53" s="96" t="n">
        <v>1</v>
      </c>
      <c r="FT53" s="15" t="n">
        <v>0</v>
      </c>
      <c r="FU53" s="102" t="n">
        <v>0</v>
      </c>
      <c r="FV53" s="96" t="n">
        <v>3</v>
      </c>
      <c r="FW53" s="96" t="n">
        <v>1</v>
      </c>
      <c r="FX53" s="15" t="n">
        <v>0</v>
      </c>
      <c r="FY53" s="102" t="n">
        <v>0</v>
      </c>
      <c r="FZ53" s="96" t="n">
        <v>3</v>
      </c>
      <c r="GA53" s="96" t="n">
        <v>0</v>
      </c>
      <c r="GB53" s="15" t="n">
        <v>1</v>
      </c>
      <c r="GC53" s="102" t="n">
        <v>0</v>
      </c>
      <c r="GD53" s="96" t="n">
        <v>2</v>
      </c>
      <c r="GE53" s="96" t="n">
        <v>1</v>
      </c>
      <c r="GF53" s="15" t="n">
        <v>1</v>
      </c>
      <c r="GG53" s="102" t="n">
        <v>0</v>
      </c>
      <c r="GH53" s="96" t="n">
        <v>0</v>
      </c>
      <c r="GI53" s="96" t="n">
        <v>0</v>
      </c>
      <c r="GJ53" s="15" t="n">
        <v>0</v>
      </c>
      <c r="GK53" s="102" t="n">
        <v>0</v>
      </c>
      <c r="GL53" s="96" t="n">
        <v>0</v>
      </c>
      <c r="GM53" s="96" t="n">
        <v>0</v>
      </c>
      <c r="GN53" s="15" t="n">
        <v>0</v>
      </c>
      <c r="GO53" s="102" t="n">
        <v>0</v>
      </c>
      <c r="GP53" s="96" t="n">
        <v>0</v>
      </c>
      <c r="GQ53" s="96" t="n">
        <v>0</v>
      </c>
      <c r="GR53" s="15" t="n">
        <v>0</v>
      </c>
      <c r="GS53" s="102" t="n">
        <v>0</v>
      </c>
      <c r="GT53" s="96" t="n">
        <v>0</v>
      </c>
      <c r="GU53" s="96" t="n">
        <v>0</v>
      </c>
      <c r="GV53" s="15" t="n">
        <v>0</v>
      </c>
      <c r="GW53" s="100"/>
      <c r="GX53" s="56" t="n">
        <v>2009</v>
      </c>
      <c r="GY53" s="70" t="n">
        <v>0</v>
      </c>
      <c r="GZ53" s="103" t="n">
        <v>0</v>
      </c>
      <c r="HA53" s="96" t="n">
        <v>1</v>
      </c>
      <c r="HB53" s="96" t="n">
        <v>0</v>
      </c>
      <c r="HC53" s="70" t="n">
        <f aca="false">CL18-FR53</f>
        <v>5</v>
      </c>
      <c r="HD53" s="70" t="n">
        <f aca="false">CM18-FV53</f>
        <v>4</v>
      </c>
      <c r="HE53" s="70" t="n">
        <f aca="false">CN18-FZ53</f>
        <v>5</v>
      </c>
      <c r="HF53" s="70" t="n">
        <f aca="false">CO18-GD53</f>
        <v>3</v>
      </c>
      <c r="HG53" s="70" t="n">
        <f aca="false">CP18-GH53</f>
        <v>0</v>
      </c>
      <c r="HH53" s="70" t="n">
        <f aca="false">CQ18-GL53</f>
        <v>0</v>
      </c>
      <c r="HI53" s="70" t="n">
        <f aca="false">CR18-GP53</f>
        <v>0</v>
      </c>
      <c r="HJ53" s="15" t="n">
        <f aca="false">CS18-GT53</f>
        <v>0</v>
      </c>
      <c r="HK53" s="101" t="n">
        <f aca="false">SUM(GY53:HJ53)</f>
        <v>18</v>
      </c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</row>
    <row r="54" customFormat="false" ht="12.75" hidden="false" customHeight="false" outlineLevel="0" collapsed="false">
      <c r="A54" s="16" t="s">
        <v>162</v>
      </c>
      <c r="B54" s="17" t="n">
        <f aca="false">AVERAGE(E54:AE54)</f>
        <v>0.407407407407407</v>
      </c>
      <c r="C54" s="2" t="n">
        <f aca="false">MIN(E54:AE54)</f>
        <v>0</v>
      </c>
      <c r="D54" s="18" t="n">
        <f aca="false">MAX(E54:AE54)</f>
        <v>2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1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2</v>
      </c>
      <c r="S54" s="19" t="n">
        <v>0</v>
      </c>
      <c r="T54" s="19" t="n">
        <v>0</v>
      </c>
      <c r="U54" s="19" t="n">
        <v>0</v>
      </c>
      <c r="V54" s="19" t="n">
        <v>0</v>
      </c>
      <c r="W54" s="19" t="n">
        <v>1</v>
      </c>
      <c r="X54" s="19" t="n">
        <v>2</v>
      </c>
      <c r="Y54" s="19" t="n">
        <v>1</v>
      </c>
      <c r="Z54" s="19" t="n">
        <v>2</v>
      </c>
      <c r="AA54" s="19" t="n">
        <v>0</v>
      </c>
      <c r="AB54" s="19" t="n">
        <v>1</v>
      </c>
      <c r="AC54" s="19" t="n">
        <v>1</v>
      </c>
      <c r="AD54" s="19" t="n">
        <v>0</v>
      </c>
      <c r="AE54" s="19" t="n">
        <v>0</v>
      </c>
      <c r="AF54" s="19" t="n">
        <v>0</v>
      </c>
      <c r="AG54" s="19"/>
      <c r="AH54" s="19"/>
      <c r="CB54" s="6"/>
      <c r="CU54" s="6"/>
      <c r="CV54" s="6"/>
      <c r="CW54" s="6"/>
      <c r="CX54" s="6"/>
      <c r="CY54" s="6"/>
      <c r="CZ54" s="6"/>
      <c r="DA54" s="6"/>
      <c r="DK54" s="43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96"/>
      <c r="EY54" s="96"/>
      <c r="EZ54" s="32" t="n">
        <v>2010</v>
      </c>
      <c r="FA54" s="102" t="n">
        <v>0</v>
      </c>
      <c r="FB54" s="96" t="n">
        <v>0</v>
      </c>
      <c r="FC54" s="96" t="n">
        <v>0</v>
      </c>
      <c r="FD54" s="15" t="n">
        <v>0</v>
      </c>
      <c r="FE54" s="102" t="n">
        <v>0</v>
      </c>
      <c r="FF54" s="96" t="n">
        <v>0</v>
      </c>
      <c r="FG54" s="96" t="n">
        <v>0</v>
      </c>
      <c r="FH54" s="15" t="n">
        <v>0</v>
      </c>
      <c r="FI54" s="102" t="n">
        <v>0</v>
      </c>
      <c r="FJ54" s="96" t="n">
        <v>2</v>
      </c>
      <c r="FK54" s="96" t="n">
        <v>0</v>
      </c>
      <c r="FL54" s="15" t="n">
        <v>0</v>
      </c>
      <c r="FM54" s="102" t="n">
        <v>0</v>
      </c>
      <c r="FN54" s="96" t="n">
        <v>0</v>
      </c>
      <c r="FO54" s="96" t="n">
        <v>0</v>
      </c>
      <c r="FP54" s="15" t="n">
        <v>0</v>
      </c>
      <c r="FQ54" s="102" t="n">
        <v>0</v>
      </c>
      <c r="FR54" s="96" t="n">
        <v>2</v>
      </c>
      <c r="FS54" s="96" t="n">
        <v>0</v>
      </c>
      <c r="FT54" s="15" t="n">
        <v>0</v>
      </c>
      <c r="FU54" s="102" t="n">
        <v>0</v>
      </c>
      <c r="FV54" s="96" t="n">
        <v>1</v>
      </c>
      <c r="FW54" s="96" t="n">
        <v>0</v>
      </c>
      <c r="FX54" s="15" t="n">
        <v>0</v>
      </c>
      <c r="FY54" s="102" t="n">
        <v>0</v>
      </c>
      <c r="FZ54" s="96" t="n">
        <v>3</v>
      </c>
      <c r="GA54" s="96" t="n">
        <v>1</v>
      </c>
      <c r="GB54" s="15" t="n">
        <v>0</v>
      </c>
      <c r="GC54" s="102" t="n">
        <v>0</v>
      </c>
      <c r="GD54" s="96" t="n">
        <v>0</v>
      </c>
      <c r="GE54" s="96" t="n">
        <v>1</v>
      </c>
      <c r="GF54" s="15" t="n">
        <v>0</v>
      </c>
      <c r="GG54" s="102" t="n">
        <v>0</v>
      </c>
      <c r="GH54" s="96" t="n">
        <v>0</v>
      </c>
      <c r="GI54" s="96" t="n">
        <v>0</v>
      </c>
      <c r="GJ54" s="15" t="n">
        <v>0</v>
      </c>
      <c r="GK54" s="102" t="n">
        <v>0</v>
      </c>
      <c r="GL54" s="96" t="n">
        <v>0</v>
      </c>
      <c r="GM54" s="96" t="n">
        <v>0</v>
      </c>
      <c r="GN54" s="15" t="n">
        <v>0</v>
      </c>
      <c r="GO54" s="102" t="n">
        <v>0</v>
      </c>
      <c r="GP54" s="96" t="n">
        <v>0</v>
      </c>
      <c r="GQ54" s="96" t="n">
        <v>0</v>
      </c>
      <c r="GR54" s="15" t="n">
        <v>0</v>
      </c>
      <c r="GS54" s="102" t="n">
        <v>0</v>
      </c>
      <c r="GT54" s="96" t="n">
        <v>0</v>
      </c>
      <c r="GU54" s="96" t="n">
        <v>0</v>
      </c>
      <c r="GV54" s="15" t="n">
        <v>0</v>
      </c>
      <c r="GW54" s="100"/>
      <c r="GX54" s="56" t="n">
        <v>2010</v>
      </c>
      <c r="GY54" s="70" t="n">
        <v>0</v>
      </c>
      <c r="GZ54" s="103" t="n">
        <v>0</v>
      </c>
      <c r="HA54" s="96" t="n">
        <v>1</v>
      </c>
      <c r="HB54" s="96" t="n">
        <v>0</v>
      </c>
      <c r="HC54" s="70" t="n">
        <f aca="false">CL19-FR54</f>
        <v>1</v>
      </c>
      <c r="HD54" s="70" t="n">
        <f aca="false">CM19-FV54</f>
        <v>2</v>
      </c>
      <c r="HE54" s="70" t="n">
        <f aca="false">CN19-FZ54</f>
        <v>4</v>
      </c>
      <c r="HF54" s="70" t="n">
        <f aca="false">CO19-GD54</f>
        <v>4</v>
      </c>
      <c r="HG54" s="70" t="n">
        <f aca="false">CP19-GH54</f>
        <v>0</v>
      </c>
      <c r="HH54" s="70" t="n">
        <f aca="false">CQ19-GL54</f>
        <v>0</v>
      </c>
      <c r="HI54" s="70" t="n">
        <f aca="false">CR19-GP54</f>
        <v>0</v>
      </c>
      <c r="HJ54" s="15" t="n">
        <f aca="false">CS19-GT54</f>
        <v>0</v>
      </c>
      <c r="HK54" s="101" t="n">
        <f aca="false">SUM(GY54:HJ54)</f>
        <v>12</v>
      </c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</row>
    <row r="55" customFormat="false" ht="12.75" hidden="false" customHeight="false" outlineLevel="0" collapsed="false">
      <c r="A55" s="16" t="s">
        <v>163</v>
      </c>
      <c r="B55" s="17" t="n">
        <f aca="false">AVERAGE(E55:AE55)</f>
        <v>0.407407407407407</v>
      </c>
      <c r="C55" s="2" t="n">
        <f aca="false">MIN(E55:AE55)</f>
        <v>0</v>
      </c>
      <c r="D55" s="18" t="n">
        <f aca="false">MAX(E55:AE55)</f>
        <v>2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1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2</v>
      </c>
      <c r="S55" s="19" t="n">
        <v>0</v>
      </c>
      <c r="T55" s="19" t="n">
        <v>0</v>
      </c>
      <c r="U55" s="19" t="n">
        <v>0</v>
      </c>
      <c r="V55" s="19" t="n">
        <v>0</v>
      </c>
      <c r="W55" s="19" t="n">
        <v>1</v>
      </c>
      <c r="X55" s="19" t="n">
        <v>2</v>
      </c>
      <c r="Y55" s="19" t="n">
        <v>1</v>
      </c>
      <c r="Z55" s="19" t="n">
        <v>2</v>
      </c>
      <c r="AA55" s="19" t="n">
        <v>0</v>
      </c>
      <c r="AB55" s="19" t="n">
        <v>1</v>
      </c>
      <c r="AC55" s="19" t="n">
        <v>1</v>
      </c>
      <c r="AD55" s="19" t="n">
        <v>0</v>
      </c>
      <c r="AE55" s="19" t="n">
        <v>0</v>
      </c>
      <c r="AF55" s="19" t="n">
        <v>0</v>
      </c>
      <c r="AG55" s="19"/>
      <c r="AH55" s="19"/>
      <c r="CB55" s="6"/>
      <c r="CU55" s="6"/>
      <c r="CV55" s="6"/>
      <c r="CW55" s="6"/>
      <c r="CX55" s="6"/>
      <c r="CY55" s="6"/>
      <c r="CZ55" s="6"/>
      <c r="DA55" s="6"/>
      <c r="DK55" s="43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96"/>
      <c r="EY55" s="96"/>
      <c r="EZ55" s="32" t="n">
        <v>2011</v>
      </c>
      <c r="FA55" s="102" t="n">
        <v>0</v>
      </c>
      <c r="FB55" s="96" t="n">
        <v>0</v>
      </c>
      <c r="FC55" s="96" t="n">
        <v>0</v>
      </c>
      <c r="FD55" s="15" t="n">
        <v>0</v>
      </c>
      <c r="FE55" s="102" t="n">
        <v>0</v>
      </c>
      <c r="FF55" s="96" t="n">
        <v>0</v>
      </c>
      <c r="FG55" s="96" t="n">
        <v>0</v>
      </c>
      <c r="FH55" s="15" t="n">
        <v>0</v>
      </c>
      <c r="FI55" s="102" t="n">
        <v>0</v>
      </c>
      <c r="FJ55" s="96" t="n">
        <v>0</v>
      </c>
      <c r="FK55" s="96" t="n">
        <v>0</v>
      </c>
      <c r="FL55" s="15" t="n">
        <v>0</v>
      </c>
      <c r="FM55" s="102" t="n">
        <v>0</v>
      </c>
      <c r="FN55" s="96" t="n">
        <v>1</v>
      </c>
      <c r="FO55" s="96" t="n">
        <v>0</v>
      </c>
      <c r="FP55" s="15" t="n">
        <v>0</v>
      </c>
      <c r="FQ55" s="102" t="n">
        <v>0</v>
      </c>
      <c r="FR55" s="96" t="n">
        <v>2</v>
      </c>
      <c r="FS55" s="96" t="n">
        <v>0</v>
      </c>
      <c r="FT55" s="15" t="n">
        <v>0</v>
      </c>
      <c r="FU55" s="102" t="n">
        <v>0</v>
      </c>
      <c r="FV55" s="96" t="n">
        <v>2</v>
      </c>
      <c r="FW55" s="96" t="n">
        <v>1</v>
      </c>
      <c r="FX55" s="15" t="n">
        <v>1</v>
      </c>
      <c r="FY55" s="102" t="n">
        <v>0</v>
      </c>
      <c r="FZ55" s="96" t="n">
        <v>2</v>
      </c>
      <c r="GA55" s="96" t="n">
        <v>0</v>
      </c>
      <c r="GB55" s="15" t="n">
        <v>0</v>
      </c>
      <c r="GC55" s="102" t="n">
        <v>0</v>
      </c>
      <c r="GD55" s="96" t="n">
        <v>1</v>
      </c>
      <c r="GE55" s="96" t="n">
        <v>0</v>
      </c>
      <c r="GF55" s="15" t="n">
        <v>2</v>
      </c>
      <c r="GG55" s="102" t="n">
        <v>0</v>
      </c>
      <c r="GH55" s="96" t="n">
        <v>0</v>
      </c>
      <c r="GI55" s="96" t="n">
        <v>0</v>
      </c>
      <c r="GJ55" s="15" t="n">
        <v>1</v>
      </c>
      <c r="GK55" s="102" t="n">
        <v>0</v>
      </c>
      <c r="GL55" s="96" t="n">
        <v>0</v>
      </c>
      <c r="GM55" s="96" t="n">
        <v>0</v>
      </c>
      <c r="GN55" s="15" t="n">
        <v>0</v>
      </c>
      <c r="GO55" s="102" t="n">
        <v>0</v>
      </c>
      <c r="GP55" s="96" t="n">
        <v>0</v>
      </c>
      <c r="GQ55" s="96" t="n">
        <v>0</v>
      </c>
      <c r="GR55" s="15" t="n">
        <v>0</v>
      </c>
      <c r="GS55" s="102" t="n">
        <v>0</v>
      </c>
      <c r="GT55" s="96" t="n">
        <v>0</v>
      </c>
      <c r="GU55" s="96" t="n">
        <v>0</v>
      </c>
      <c r="GV55" s="15" t="n">
        <v>0</v>
      </c>
      <c r="GW55" s="100"/>
      <c r="GX55" s="56" t="n">
        <v>2011</v>
      </c>
      <c r="GY55" s="70" t="n">
        <v>0</v>
      </c>
      <c r="GZ55" s="103" t="n">
        <v>0</v>
      </c>
      <c r="HA55" s="96" t="n">
        <v>0</v>
      </c>
      <c r="HB55" s="96" t="n">
        <v>1</v>
      </c>
      <c r="HC55" s="70" t="n">
        <f aca="false">CL20-FR55</f>
        <v>5</v>
      </c>
      <c r="HD55" s="70" t="n">
        <f aca="false">CM20-FV55</f>
        <v>6</v>
      </c>
      <c r="HE55" s="70" t="n">
        <f aca="false">CN20-FZ55</f>
        <v>5</v>
      </c>
      <c r="HF55" s="70" t="n">
        <f aca="false">CO20-GD55</f>
        <v>4</v>
      </c>
      <c r="HG55" s="70" t="n">
        <f aca="false">CP20-GH55</f>
        <v>3</v>
      </c>
      <c r="HH55" s="70" t="n">
        <f aca="false">CQ20-GL55</f>
        <v>0</v>
      </c>
      <c r="HI55" s="70" t="n">
        <f aca="false">CR20-GP55</f>
        <v>0</v>
      </c>
      <c r="HJ55" s="15" t="n">
        <f aca="false">CS20-GT55</f>
        <v>0</v>
      </c>
      <c r="HK55" s="101" t="n">
        <f aca="false">SUM(GY55:HJ55)</f>
        <v>24</v>
      </c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</row>
    <row r="56" customFormat="false" ht="12.75" hidden="false" customHeight="false" outlineLevel="0" collapsed="false">
      <c r="A56" s="16" t="s">
        <v>164</v>
      </c>
      <c r="B56" s="17" t="n">
        <f aca="false">AVERAGE(E56:AE56)</f>
        <v>0.407407407407407</v>
      </c>
      <c r="C56" s="2" t="n">
        <f aca="false">MIN(E56:AE56)</f>
        <v>0</v>
      </c>
      <c r="D56" s="18" t="n">
        <f aca="false">MAX(E56:AE56)</f>
        <v>2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1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2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1</v>
      </c>
      <c r="X56" s="19" t="n">
        <v>2</v>
      </c>
      <c r="Y56" s="19" t="n">
        <v>1</v>
      </c>
      <c r="Z56" s="22" t="n">
        <v>2</v>
      </c>
      <c r="AA56" s="19" t="n">
        <v>0</v>
      </c>
      <c r="AB56" s="19" t="n">
        <v>1</v>
      </c>
      <c r="AC56" s="19" t="n">
        <v>1</v>
      </c>
      <c r="AD56" s="19" t="n">
        <v>0</v>
      </c>
      <c r="AE56" s="19" t="n">
        <v>0</v>
      </c>
      <c r="AF56" s="19" t="n">
        <v>0</v>
      </c>
      <c r="AG56" s="19"/>
      <c r="AH56" s="19"/>
      <c r="CB56" s="6"/>
      <c r="CU56" s="6"/>
      <c r="CV56" s="6"/>
      <c r="CW56" s="6"/>
      <c r="CX56" s="6"/>
      <c r="CY56" s="6"/>
      <c r="CZ56" s="6"/>
      <c r="DA56" s="6"/>
      <c r="DK56" s="43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96"/>
      <c r="EY56" s="96"/>
      <c r="EZ56" s="32" t="n">
        <v>2012</v>
      </c>
      <c r="FA56" s="102" t="n">
        <v>0</v>
      </c>
      <c r="FB56" s="96" t="n">
        <v>1</v>
      </c>
      <c r="FC56" s="96" t="n">
        <v>0</v>
      </c>
      <c r="FD56" s="15" t="n">
        <v>0</v>
      </c>
      <c r="FE56" s="102" t="n">
        <v>0</v>
      </c>
      <c r="FF56" s="96" t="n">
        <v>0</v>
      </c>
      <c r="FG56" s="96" t="n">
        <v>0</v>
      </c>
      <c r="FH56" s="15" t="n">
        <v>0</v>
      </c>
      <c r="FI56" s="102" t="n">
        <v>0</v>
      </c>
      <c r="FJ56" s="96" t="n">
        <v>0</v>
      </c>
      <c r="FK56" s="96" t="n">
        <v>0</v>
      </c>
      <c r="FL56" s="15" t="n">
        <v>0</v>
      </c>
      <c r="FM56" s="102" t="n">
        <v>0</v>
      </c>
      <c r="FN56" s="96" t="n">
        <v>1</v>
      </c>
      <c r="FO56" s="96" t="n">
        <v>0</v>
      </c>
      <c r="FP56" s="15" t="n">
        <v>0</v>
      </c>
      <c r="FQ56" s="102" t="n">
        <v>0</v>
      </c>
      <c r="FR56" s="96" t="n">
        <v>0</v>
      </c>
      <c r="FS56" s="96" t="n">
        <v>0</v>
      </c>
      <c r="FT56" s="15" t="n">
        <v>0</v>
      </c>
      <c r="FU56" s="102" t="n">
        <v>0</v>
      </c>
      <c r="FV56" s="96" t="n">
        <v>1</v>
      </c>
      <c r="FW56" s="96" t="n">
        <v>1</v>
      </c>
      <c r="FX56" s="15" t="n">
        <v>0</v>
      </c>
      <c r="FY56" s="102" t="n">
        <v>0</v>
      </c>
      <c r="FZ56" s="96" t="n">
        <v>2</v>
      </c>
      <c r="GA56" s="96" t="n">
        <v>0</v>
      </c>
      <c r="GB56" s="15" t="n">
        <v>2</v>
      </c>
      <c r="GC56" s="102" t="n">
        <v>0</v>
      </c>
      <c r="GD56" s="96" t="n">
        <v>2</v>
      </c>
      <c r="GE56" s="96" t="n">
        <v>1</v>
      </c>
      <c r="GF56" s="15" t="n">
        <v>0</v>
      </c>
      <c r="GG56" s="102" t="n">
        <v>0</v>
      </c>
      <c r="GH56" s="96" t="n">
        <v>1</v>
      </c>
      <c r="GI56" s="96" t="n">
        <v>0</v>
      </c>
      <c r="GJ56" s="15" t="n">
        <v>0</v>
      </c>
      <c r="GK56" s="102" t="n">
        <v>0</v>
      </c>
      <c r="GL56" s="96" t="n">
        <v>0</v>
      </c>
      <c r="GM56" s="96" t="n">
        <v>0</v>
      </c>
      <c r="GN56" s="15" t="n">
        <v>0</v>
      </c>
      <c r="GO56" s="102" t="n">
        <v>0</v>
      </c>
      <c r="GP56" s="96" t="n">
        <v>0</v>
      </c>
      <c r="GQ56" s="96" t="n">
        <v>0</v>
      </c>
      <c r="GR56" s="15" t="n">
        <v>0</v>
      </c>
      <c r="GS56" s="102" t="n">
        <v>0</v>
      </c>
      <c r="GT56" s="96" t="n">
        <v>0</v>
      </c>
      <c r="GU56" s="96" t="n">
        <v>0</v>
      </c>
      <c r="GV56" s="15" t="n">
        <v>0</v>
      </c>
      <c r="GW56" s="100"/>
      <c r="GX56" s="56" t="n">
        <v>2012</v>
      </c>
      <c r="GY56" s="109" t="n">
        <v>1</v>
      </c>
      <c r="GZ56" s="103" t="n">
        <v>0</v>
      </c>
      <c r="HA56" s="96" t="n">
        <v>0</v>
      </c>
      <c r="HB56" s="96" t="n">
        <v>0</v>
      </c>
      <c r="HC56" s="70" t="n">
        <f aca="false">CL21-FR56</f>
        <v>6</v>
      </c>
      <c r="HD56" s="70" t="n">
        <f aca="false">CM21-FV56</f>
        <v>5</v>
      </c>
      <c r="HE56" s="70" t="n">
        <f aca="false">CN21-FZ56</f>
        <v>8</v>
      </c>
      <c r="HF56" s="70" t="n">
        <f aca="false">CO21-GD56</f>
        <v>4</v>
      </c>
      <c r="HG56" s="70" t="n">
        <f aca="false">CP21-GH56</f>
        <v>1</v>
      </c>
      <c r="HH56" s="70" t="n">
        <f aca="false">CQ21-GL56</f>
        <v>0</v>
      </c>
      <c r="HI56" s="70" t="n">
        <f aca="false">CR21-GP56</f>
        <v>0</v>
      </c>
      <c r="HJ56" s="15" t="n">
        <f aca="false">CS21-GT56</f>
        <v>0</v>
      </c>
      <c r="HK56" s="101" t="n">
        <f aca="false">SUM(GY56:HJ56)</f>
        <v>25</v>
      </c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</row>
    <row r="57" customFormat="false" ht="12.75" hidden="false" customHeight="false" outlineLevel="0" collapsed="false">
      <c r="A57" s="16" t="s">
        <v>165</v>
      </c>
      <c r="B57" s="17" t="n">
        <f aca="false">AVERAGE(E57:AE57)</f>
        <v>0.407407407407407</v>
      </c>
      <c r="C57" s="2" t="n">
        <f aca="false">MIN(E57:AE57)</f>
        <v>0</v>
      </c>
      <c r="D57" s="18" t="n">
        <f aca="false">MAX(E57:AE57)</f>
        <v>2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1</v>
      </c>
      <c r="N57" s="19" t="n">
        <v>0</v>
      </c>
      <c r="O57" s="19" t="n">
        <v>0</v>
      </c>
      <c r="P57" s="19" t="n">
        <v>0</v>
      </c>
      <c r="Q57" s="19" t="n">
        <v>0</v>
      </c>
      <c r="R57" s="19" t="n">
        <v>2</v>
      </c>
      <c r="S57" s="19" t="n">
        <v>0</v>
      </c>
      <c r="T57" s="19" t="n">
        <v>0</v>
      </c>
      <c r="U57" s="19" t="n">
        <v>0</v>
      </c>
      <c r="V57" s="19" t="n">
        <v>0</v>
      </c>
      <c r="W57" s="19" t="n">
        <v>1</v>
      </c>
      <c r="X57" s="19" t="n">
        <v>2</v>
      </c>
      <c r="Y57" s="19" t="n">
        <v>1</v>
      </c>
      <c r="Z57" s="19" t="n">
        <v>2</v>
      </c>
      <c r="AA57" s="19" t="n">
        <v>0</v>
      </c>
      <c r="AB57" s="19" t="n">
        <v>1</v>
      </c>
      <c r="AC57" s="19" t="n">
        <v>1</v>
      </c>
      <c r="AD57" s="19" t="n">
        <v>0</v>
      </c>
      <c r="AE57" s="19" t="n">
        <v>0</v>
      </c>
      <c r="AF57" s="19" t="n">
        <v>0</v>
      </c>
      <c r="AG57" s="19"/>
      <c r="AH57" s="19"/>
      <c r="CB57" s="6"/>
      <c r="CU57" s="6"/>
      <c r="CV57" s="6"/>
      <c r="CW57" s="6"/>
      <c r="CX57" s="6"/>
      <c r="CY57" s="6"/>
      <c r="CZ57" s="6"/>
      <c r="DA57" s="6"/>
      <c r="DH57" s="2"/>
      <c r="DK57" s="43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96"/>
      <c r="EY57" s="96"/>
      <c r="EZ57" s="32" t="n">
        <v>2013</v>
      </c>
      <c r="FA57" s="102" t="n">
        <v>0</v>
      </c>
      <c r="FB57" s="96" t="n">
        <v>0</v>
      </c>
      <c r="FC57" s="96" t="n">
        <v>0</v>
      </c>
      <c r="FD57" s="15" t="n">
        <v>0</v>
      </c>
      <c r="FE57" s="102" t="n">
        <v>0</v>
      </c>
      <c r="FF57" s="96" t="n">
        <v>0</v>
      </c>
      <c r="FG57" s="96" t="n">
        <v>0</v>
      </c>
      <c r="FH57" s="15" t="n">
        <v>0</v>
      </c>
      <c r="FI57" s="102" t="n">
        <v>0</v>
      </c>
      <c r="FJ57" s="96" t="n">
        <v>0</v>
      </c>
      <c r="FK57" s="96" t="n">
        <v>0</v>
      </c>
      <c r="FL57" s="15" t="n">
        <v>0</v>
      </c>
      <c r="FM57" s="102" t="n">
        <v>0</v>
      </c>
      <c r="FN57" s="96" t="n">
        <v>2</v>
      </c>
      <c r="FO57" s="96" t="n">
        <v>0</v>
      </c>
      <c r="FP57" s="15" t="n">
        <v>0</v>
      </c>
      <c r="FQ57" s="102" t="n">
        <v>0</v>
      </c>
      <c r="FR57" s="96" t="n">
        <v>3</v>
      </c>
      <c r="FS57" s="96" t="n">
        <v>0</v>
      </c>
      <c r="FT57" s="15" t="n">
        <v>0</v>
      </c>
      <c r="FU57" s="102" t="n">
        <v>0</v>
      </c>
      <c r="FV57" s="96" t="n">
        <v>1</v>
      </c>
      <c r="FW57" s="96" t="n">
        <v>1</v>
      </c>
      <c r="FX57" s="15" t="n">
        <v>0</v>
      </c>
      <c r="FY57" s="102" t="n">
        <v>0</v>
      </c>
      <c r="FZ57" s="96" t="n">
        <v>1</v>
      </c>
      <c r="GA57" s="96" t="n">
        <v>0</v>
      </c>
      <c r="GB57" s="15" t="n">
        <v>0</v>
      </c>
      <c r="GC57" s="102" t="n">
        <v>0</v>
      </c>
      <c r="GD57" s="96" t="n">
        <v>1</v>
      </c>
      <c r="GE57" s="96" t="n">
        <v>0</v>
      </c>
      <c r="GF57" s="15" t="n">
        <v>1</v>
      </c>
      <c r="GG57" s="102" t="n">
        <v>0</v>
      </c>
      <c r="GH57" s="96" t="n">
        <v>0</v>
      </c>
      <c r="GI57" s="96" t="n">
        <v>0</v>
      </c>
      <c r="GJ57" s="15" t="n">
        <v>0</v>
      </c>
      <c r="GK57" s="102" t="n">
        <v>0</v>
      </c>
      <c r="GL57" s="96" t="n">
        <v>0</v>
      </c>
      <c r="GM57" s="96" t="n">
        <v>0</v>
      </c>
      <c r="GN57" s="15" t="n">
        <v>0</v>
      </c>
      <c r="GO57" s="102" t="n">
        <v>0</v>
      </c>
      <c r="GP57" s="96" t="n">
        <v>0</v>
      </c>
      <c r="GQ57" s="96" t="n">
        <v>0</v>
      </c>
      <c r="GR57" s="15" t="n">
        <v>0</v>
      </c>
      <c r="GS57" s="102" t="n">
        <v>0</v>
      </c>
      <c r="GT57" s="96" t="n">
        <v>0</v>
      </c>
      <c r="GU57" s="96" t="n">
        <v>0</v>
      </c>
      <c r="GV57" s="15" t="n">
        <v>0</v>
      </c>
      <c r="GW57" s="100"/>
      <c r="GX57" s="56" t="n">
        <v>2013</v>
      </c>
      <c r="GY57" s="109" t="n">
        <v>0</v>
      </c>
      <c r="GZ57" s="103" t="n">
        <v>0</v>
      </c>
      <c r="HA57" s="96" t="n">
        <v>0</v>
      </c>
      <c r="HB57" s="96" t="n">
        <v>0</v>
      </c>
      <c r="HC57" s="70" t="n">
        <f aca="false">CL22-FR57</f>
        <v>3</v>
      </c>
      <c r="HD57" s="70" t="n">
        <f aca="false">CM22-FV57</f>
        <v>3</v>
      </c>
      <c r="HE57" s="70" t="n">
        <f aca="false">CN22-FZ57</f>
        <v>2</v>
      </c>
      <c r="HF57" s="70" t="n">
        <f aca="false">CO22-GD57</f>
        <v>3</v>
      </c>
      <c r="HG57" s="70" t="n">
        <f aca="false">CP22-GH57</f>
        <v>1</v>
      </c>
      <c r="HH57" s="70" t="n">
        <f aca="false">CQ22-GL57</f>
        <v>0</v>
      </c>
      <c r="HI57" s="70" t="n">
        <f aca="false">CR22-GP57</f>
        <v>0</v>
      </c>
      <c r="HJ57" s="15" t="n">
        <f aca="false">CS22-GT57</f>
        <v>0</v>
      </c>
      <c r="HK57" s="101" t="n">
        <f aca="false">SUM(GY57:HJ57)</f>
        <v>12</v>
      </c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</row>
    <row r="58" customFormat="false" ht="12.75" hidden="false" customHeight="false" outlineLevel="0" collapsed="false">
      <c r="A58" s="16" t="s">
        <v>166</v>
      </c>
      <c r="B58" s="17" t="n">
        <f aca="false">AVERAGE(E58:AE58)</f>
        <v>0.444444444444444</v>
      </c>
      <c r="C58" s="2" t="n">
        <f aca="false">MIN(E58:AE58)</f>
        <v>0</v>
      </c>
      <c r="D58" s="18" t="n">
        <f aca="false">MAX(E58:AE58)</f>
        <v>2</v>
      </c>
      <c r="E58" s="19" t="n">
        <v>0</v>
      </c>
      <c r="F58" s="19" t="n">
        <v>0</v>
      </c>
      <c r="G58" s="19" t="n">
        <v>0</v>
      </c>
      <c r="H58" s="19" t="n">
        <v>1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1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2</v>
      </c>
      <c r="S58" s="19" t="n">
        <v>0</v>
      </c>
      <c r="T58" s="19" t="n">
        <v>0</v>
      </c>
      <c r="U58" s="19" t="n">
        <v>0</v>
      </c>
      <c r="V58" s="19" t="n">
        <v>0</v>
      </c>
      <c r="W58" s="19" t="n">
        <v>1</v>
      </c>
      <c r="X58" s="19" t="n">
        <v>2</v>
      </c>
      <c r="Y58" s="19" t="n">
        <v>1</v>
      </c>
      <c r="Z58" s="19" t="n">
        <v>2</v>
      </c>
      <c r="AA58" s="19" t="n">
        <v>0</v>
      </c>
      <c r="AB58" s="19" t="n">
        <v>1</v>
      </c>
      <c r="AC58" s="19" t="n">
        <v>1</v>
      </c>
      <c r="AD58" s="19" t="n">
        <v>0</v>
      </c>
      <c r="AE58" s="19" t="n">
        <v>0</v>
      </c>
      <c r="AF58" s="19" t="n">
        <v>0</v>
      </c>
      <c r="AG58" s="19"/>
      <c r="AH58" s="19"/>
      <c r="CB58" s="6"/>
      <c r="CU58" s="6"/>
      <c r="CV58" s="6"/>
      <c r="CW58" s="6"/>
      <c r="CX58" s="6"/>
      <c r="CY58" s="6"/>
      <c r="CZ58" s="6"/>
      <c r="DA58" s="6"/>
      <c r="DK58" s="43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96"/>
      <c r="EY58" s="96"/>
      <c r="EZ58" s="32" t="n">
        <v>2014</v>
      </c>
      <c r="FA58" s="102" t="n">
        <v>0</v>
      </c>
      <c r="FB58" s="96" t="n">
        <v>0</v>
      </c>
      <c r="FC58" s="96" t="n">
        <v>0</v>
      </c>
      <c r="FD58" s="15" t="n">
        <v>0</v>
      </c>
      <c r="FE58" s="102" t="n">
        <v>0</v>
      </c>
      <c r="FF58" s="96" t="n">
        <v>0</v>
      </c>
      <c r="FG58" s="96" t="n">
        <v>0</v>
      </c>
      <c r="FH58" s="15" t="n">
        <v>0</v>
      </c>
      <c r="FI58" s="102" t="n">
        <v>0</v>
      </c>
      <c r="FJ58" s="96" t="n">
        <v>0</v>
      </c>
      <c r="FK58" s="96" t="n">
        <v>0</v>
      </c>
      <c r="FL58" s="15" t="n">
        <v>0</v>
      </c>
      <c r="FM58" s="102" t="n">
        <v>0</v>
      </c>
      <c r="FN58" s="96" t="n">
        <v>3</v>
      </c>
      <c r="FO58" s="96" t="n">
        <v>0</v>
      </c>
      <c r="FP58" s="15" t="n">
        <v>0</v>
      </c>
      <c r="FQ58" s="102" t="n">
        <v>0</v>
      </c>
      <c r="FR58" s="96" t="n">
        <v>1</v>
      </c>
      <c r="FS58" s="96" t="n">
        <v>1</v>
      </c>
      <c r="FT58" s="15" t="n">
        <v>0</v>
      </c>
      <c r="FU58" s="102" t="n">
        <v>0</v>
      </c>
      <c r="FV58" s="96" t="n">
        <v>1</v>
      </c>
      <c r="FW58" s="96" t="n">
        <v>0</v>
      </c>
      <c r="FX58" s="15" t="n">
        <v>0</v>
      </c>
      <c r="FY58" s="102" t="n">
        <v>0</v>
      </c>
      <c r="FZ58" s="96" t="n">
        <v>3</v>
      </c>
      <c r="GA58" s="96" t="n">
        <v>0</v>
      </c>
      <c r="GB58" s="15" t="n">
        <v>0</v>
      </c>
      <c r="GC58" s="102" t="n">
        <v>0</v>
      </c>
      <c r="GD58" s="96" t="n">
        <v>2</v>
      </c>
      <c r="GE58" s="96" t="n">
        <v>0</v>
      </c>
      <c r="GF58" s="15" t="n">
        <v>0</v>
      </c>
      <c r="GG58" s="102" t="n">
        <v>0</v>
      </c>
      <c r="GH58" s="96" t="n">
        <v>1</v>
      </c>
      <c r="GI58" s="96" t="n">
        <v>0</v>
      </c>
      <c r="GJ58" s="15" t="n">
        <v>0</v>
      </c>
      <c r="GK58" s="102" t="n">
        <v>0</v>
      </c>
      <c r="GL58" s="96" t="n">
        <v>0</v>
      </c>
      <c r="GM58" s="96" t="n">
        <v>0</v>
      </c>
      <c r="GN58" s="15" t="n">
        <v>0</v>
      </c>
      <c r="GO58" s="102" t="n">
        <v>0</v>
      </c>
      <c r="GP58" s="96" t="n">
        <v>0</v>
      </c>
      <c r="GQ58" s="96" t="n">
        <v>0</v>
      </c>
      <c r="GR58" s="15" t="n">
        <v>0</v>
      </c>
      <c r="GS58" s="102" t="n">
        <v>0</v>
      </c>
      <c r="GT58" s="96" t="n">
        <v>0</v>
      </c>
      <c r="GU58" s="96" t="n">
        <v>0</v>
      </c>
      <c r="GV58" s="15" t="n">
        <v>0</v>
      </c>
      <c r="GW58" s="100"/>
      <c r="GX58" s="56" t="n">
        <v>2014</v>
      </c>
      <c r="GY58" s="109" t="n">
        <v>0</v>
      </c>
      <c r="GZ58" s="103" t="n">
        <v>0</v>
      </c>
      <c r="HA58" s="96" t="n">
        <v>0</v>
      </c>
      <c r="HB58" s="96" t="n">
        <v>3</v>
      </c>
      <c r="HC58" s="70" t="n">
        <f aca="false">CL23-FR58</f>
        <v>6</v>
      </c>
      <c r="HD58" s="70" t="n">
        <f aca="false">CM23-FV58</f>
        <v>2</v>
      </c>
      <c r="HE58" s="70" t="n">
        <f aca="false">CN23-FZ58</f>
        <v>10</v>
      </c>
      <c r="HF58" s="70" t="n">
        <f aca="false">CO23-GD58</f>
        <v>3</v>
      </c>
      <c r="HG58" s="70" t="n">
        <f aca="false">CP23-GH58</f>
        <v>4</v>
      </c>
      <c r="HH58" s="70" t="n">
        <f aca="false">CQ23-GL58</f>
        <v>1</v>
      </c>
      <c r="HI58" s="70" t="n">
        <f aca="false">CR23-GP58</f>
        <v>0</v>
      </c>
      <c r="HJ58" s="15" t="n">
        <f aca="false">CS23-GT58</f>
        <v>0</v>
      </c>
      <c r="HK58" s="101" t="n">
        <f aca="false">SUM(GY58:HJ58)</f>
        <v>29</v>
      </c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</row>
    <row r="59" customFormat="false" ht="12.75" hidden="false" customHeight="false" outlineLevel="0" collapsed="false">
      <c r="A59" s="16" t="s">
        <v>167</v>
      </c>
      <c r="B59" s="17" t="n">
        <f aca="false">AVERAGE(E59:AE59)</f>
        <v>0.444444444444444</v>
      </c>
      <c r="C59" s="2" t="n">
        <f aca="false">MIN(E59:AE59)</f>
        <v>0</v>
      </c>
      <c r="D59" s="18" t="n">
        <f aca="false">MAX(E59:AE59)</f>
        <v>2</v>
      </c>
      <c r="E59" s="19" t="n">
        <v>0</v>
      </c>
      <c r="F59" s="19" t="n">
        <v>0</v>
      </c>
      <c r="G59" s="19" t="n">
        <v>0</v>
      </c>
      <c r="H59" s="19" t="n">
        <v>1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2</v>
      </c>
      <c r="S59" s="19" t="n">
        <v>0</v>
      </c>
      <c r="T59" s="19" t="n">
        <v>0</v>
      </c>
      <c r="U59" s="19" t="n">
        <v>0</v>
      </c>
      <c r="V59" s="19" t="n">
        <v>0</v>
      </c>
      <c r="W59" s="19" t="n">
        <v>1</v>
      </c>
      <c r="X59" s="19" t="n">
        <v>2</v>
      </c>
      <c r="Y59" s="19" t="n">
        <v>1</v>
      </c>
      <c r="Z59" s="19" t="n">
        <v>2</v>
      </c>
      <c r="AA59" s="19" t="n">
        <v>0</v>
      </c>
      <c r="AB59" s="19" t="n">
        <v>1</v>
      </c>
      <c r="AC59" s="19" t="n">
        <v>1</v>
      </c>
      <c r="AD59" s="19" t="n">
        <v>0</v>
      </c>
      <c r="AE59" s="19" t="n">
        <v>0</v>
      </c>
      <c r="AF59" s="19" t="n">
        <v>0</v>
      </c>
      <c r="AG59" s="19"/>
      <c r="AH59" s="19"/>
      <c r="CB59" s="6"/>
      <c r="CU59" s="6"/>
      <c r="CV59" s="6"/>
      <c r="CW59" s="6"/>
      <c r="CX59" s="6"/>
      <c r="CY59" s="6"/>
      <c r="CZ59" s="6"/>
      <c r="DA59" s="6"/>
      <c r="DK59" s="43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96"/>
      <c r="EY59" s="96"/>
      <c r="EZ59" s="32" t="n">
        <v>2015</v>
      </c>
      <c r="FA59" s="102" t="n">
        <v>0</v>
      </c>
      <c r="FB59" s="96" t="n">
        <v>0</v>
      </c>
      <c r="FC59" s="96" t="n">
        <v>0</v>
      </c>
      <c r="FD59" s="15" t="n">
        <v>0</v>
      </c>
      <c r="FE59" s="102" t="n">
        <v>0</v>
      </c>
      <c r="FF59" s="96" t="n">
        <v>0</v>
      </c>
      <c r="FG59" s="96" t="n">
        <v>0</v>
      </c>
      <c r="FH59" s="15" t="n">
        <v>0</v>
      </c>
      <c r="FI59" s="102" t="n">
        <v>0</v>
      </c>
      <c r="FJ59" s="96" t="n">
        <v>0</v>
      </c>
      <c r="FK59" s="96" t="n">
        <v>0</v>
      </c>
      <c r="FL59" s="15" t="n">
        <v>0</v>
      </c>
      <c r="FM59" s="102" t="n">
        <v>0</v>
      </c>
      <c r="FN59" s="96" t="n">
        <v>1</v>
      </c>
      <c r="FO59" s="96" t="n">
        <v>1</v>
      </c>
      <c r="FP59" s="15" t="n">
        <v>0</v>
      </c>
      <c r="FQ59" s="102" t="n">
        <v>0</v>
      </c>
      <c r="FR59" s="96" t="n">
        <v>0</v>
      </c>
      <c r="FS59" s="96" t="n">
        <v>0</v>
      </c>
      <c r="FT59" s="15" t="n">
        <v>0</v>
      </c>
      <c r="FU59" s="102" t="n">
        <v>0</v>
      </c>
      <c r="FV59" s="96" t="n">
        <v>2</v>
      </c>
      <c r="FW59" s="96" t="n">
        <v>0</v>
      </c>
      <c r="FX59" s="15" t="n">
        <v>0</v>
      </c>
      <c r="FY59" s="102" t="n">
        <v>0</v>
      </c>
      <c r="FZ59" s="96" t="n">
        <v>2</v>
      </c>
      <c r="GA59" s="96" t="n">
        <v>1</v>
      </c>
      <c r="GB59" s="15" t="n">
        <v>1</v>
      </c>
      <c r="GC59" s="102" t="n">
        <v>0</v>
      </c>
      <c r="GD59" s="96" t="n">
        <v>2</v>
      </c>
      <c r="GE59" s="96" t="n">
        <v>0</v>
      </c>
      <c r="GF59" s="15" t="n">
        <v>0</v>
      </c>
      <c r="GG59" s="102" t="n">
        <v>0</v>
      </c>
      <c r="GH59" s="96" t="n">
        <v>2</v>
      </c>
      <c r="GI59" s="96" t="n">
        <v>0</v>
      </c>
      <c r="GJ59" s="15" t="n">
        <v>0</v>
      </c>
      <c r="GK59" s="102" t="n">
        <v>0</v>
      </c>
      <c r="GL59" s="96" t="n">
        <v>0</v>
      </c>
      <c r="GM59" s="96" t="n">
        <v>0</v>
      </c>
      <c r="GN59" s="15" t="n">
        <v>0</v>
      </c>
      <c r="GO59" s="102" t="n">
        <v>0</v>
      </c>
      <c r="GP59" s="96" t="n">
        <v>0</v>
      </c>
      <c r="GQ59" s="96" t="n">
        <v>0</v>
      </c>
      <c r="GR59" s="15" t="n">
        <v>0</v>
      </c>
      <c r="GS59" s="102" t="n">
        <v>0</v>
      </c>
      <c r="GT59" s="96" t="n">
        <v>0</v>
      </c>
      <c r="GU59" s="96" t="n">
        <v>0</v>
      </c>
      <c r="GV59" s="15" t="n">
        <v>0</v>
      </c>
      <c r="GW59" s="100"/>
      <c r="GX59" s="56" t="n">
        <v>2015</v>
      </c>
      <c r="GY59" s="109" t="n">
        <v>0</v>
      </c>
      <c r="GZ59" s="103" t="n">
        <v>0</v>
      </c>
      <c r="HA59" s="96" t="n">
        <v>0</v>
      </c>
      <c r="HB59" s="96" t="n">
        <v>2</v>
      </c>
      <c r="HC59" s="70" t="n">
        <f aca="false">CL24-FR59</f>
        <v>2</v>
      </c>
      <c r="HD59" s="70" t="n">
        <f aca="false">CM24-FV59</f>
        <v>5</v>
      </c>
      <c r="HE59" s="70" t="n">
        <f aca="false">CN24-FZ59</f>
        <v>7</v>
      </c>
      <c r="HF59" s="70" t="n">
        <f aca="false">CO24-GD59</f>
        <v>2</v>
      </c>
      <c r="HG59" s="70" t="n">
        <f aca="false">CP24-GH59</f>
        <v>0</v>
      </c>
      <c r="HH59" s="70" t="n">
        <f aca="false">CQ24-GL59</f>
        <v>0</v>
      </c>
      <c r="HI59" s="70" t="n">
        <f aca="false">CR24-GP59</f>
        <v>0</v>
      </c>
      <c r="HJ59" s="15" t="n">
        <f aca="false">CS24-GT59</f>
        <v>0</v>
      </c>
      <c r="HK59" s="101" t="n">
        <f aca="false">SUM(GY59:HJ59)</f>
        <v>18</v>
      </c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</row>
    <row r="60" customFormat="false" ht="12.75" hidden="false" customHeight="false" outlineLevel="0" collapsed="false">
      <c r="A60" s="16" t="s">
        <v>168</v>
      </c>
      <c r="B60" s="17" t="n">
        <f aca="false">AVERAGE(E60:AE60)</f>
        <v>0.444444444444444</v>
      </c>
      <c r="C60" s="2" t="n">
        <f aca="false">MIN(E60:AE60)</f>
        <v>0</v>
      </c>
      <c r="D60" s="18" t="n">
        <f aca="false">MAX(E60:AE60)</f>
        <v>2</v>
      </c>
      <c r="E60" s="19" t="n">
        <v>0</v>
      </c>
      <c r="F60" s="19" t="n">
        <v>0</v>
      </c>
      <c r="G60" s="19" t="n">
        <v>0</v>
      </c>
      <c r="H60" s="19" t="n">
        <v>1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1</v>
      </c>
      <c r="N60" s="19" t="n">
        <v>0</v>
      </c>
      <c r="O60" s="19" t="n">
        <v>0</v>
      </c>
      <c r="P60" s="19" t="n">
        <v>0</v>
      </c>
      <c r="Q60" s="19" t="n">
        <v>0</v>
      </c>
      <c r="R60" s="19" t="n">
        <v>2</v>
      </c>
      <c r="S60" s="19" t="n">
        <v>0</v>
      </c>
      <c r="T60" s="19" t="n">
        <v>0</v>
      </c>
      <c r="U60" s="19" t="n">
        <v>0</v>
      </c>
      <c r="V60" s="19" t="n">
        <v>0</v>
      </c>
      <c r="W60" s="19" t="n">
        <v>1</v>
      </c>
      <c r="X60" s="19" t="n">
        <v>2</v>
      </c>
      <c r="Y60" s="19" t="n">
        <v>1</v>
      </c>
      <c r="Z60" s="19" t="n">
        <v>2</v>
      </c>
      <c r="AA60" s="19" t="n">
        <v>0</v>
      </c>
      <c r="AB60" s="19" t="n">
        <v>1</v>
      </c>
      <c r="AC60" s="19" t="n">
        <v>1</v>
      </c>
      <c r="AD60" s="19" t="n">
        <v>0</v>
      </c>
      <c r="AE60" s="19" t="n">
        <v>0</v>
      </c>
      <c r="AF60" s="19" t="n">
        <v>0</v>
      </c>
      <c r="AG60" s="19"/>
      <c r="AH60" s="19"/>
      <c r="CB60" s="6"/>
      <c r="CU60" s="6"/>
      <c r="CV60" s="6"/>
      <c r="CW60" s="6"/>
      <c r="CX60" s="6"/>
      <c r="CY60" s="6"/>
      <c r="CZ60" s="6"/>
      <c r="DA60" s="6"/>
      <c r="DK60" s="43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96"/>
      <c r="EY60" s="96"/>
      <c r="EZ60" s="32" t="n">
        <v>2016</v>
      </c>
      <c r="FA60" s="102" t="n">
        <v>0</v>
      </c>
      <c r="FB60" s="96" t="n">
        <v>0</v>
      </c>
      <c r="FC60" s="96" t="n">
        <v>0</v>
      </c>
      <c r="FD60" s="15" t="n">
        <v>0</v>
      </c>
      <c r="FE60" s="102" t="n">
        <v>0</v>
      </c>
      <c r="FF60" s="96" t="n">
        <v>0</v>
      </c>
      <c r="FG60" s="96" t="n">
        <v>0</v>
      </c>
      <c r="FH60" s="15" t="n">
        <v>0</v>
      </c>
      <c r="FI60" s="102" t="n">
        <v>0</v>
      </c>
      <c r="FJ60" s="96" t="n">
        <v>0</v>
      </c>
      <c r="FK60" s="96" t="n">
        <v>0</v>
      </c>
      <c r="FL60" s="15" t="n">
        <v>0</v>
      </c>
      <c r="FM60" s="102" t="n">
        <v>1</v>
      </c>
      <c r="FN60" s="96" t="n">
        <v>1</v>
      </c>
      <c r="FO60" s="96" t="n">
        <v>0</v>
      </c>
      <c r="FP60" s="15" t="n">
        <v>0</v>
      </c>
      <c r="FQ60" s="102" t="n">
        <v>1</v>
      </c>
      <c r="FR60" s="96" t="n">
        <v>1</v>
      </c>
      <c r="FS60" s="96" t="n">
        <v>0</v>
      </c>
      <c r="FT60" s="15" t="n">
        <v>0</v>
      </c>
      <c r="FU60" s="102" t="n">
        <v>0</v>
      </c>
      <c r="FV60" s="96" t="n">
        <v>5</v>
      </c>
      <c r="FW60" s="96" t="n">
        <v>1</v>
      </c>
      <c r="FX60" s="15" t="n">
        <v>0</v>
      </c>
      <c r="FY60" s="102" t="n">
        <v>0</v>
      </c>
      <c r="FZ60" s="96" t="n">
        <v>5</v>
      </c>
      <c r="GA60" s="96" t="n">
        <v>0</v>
      </c>
      <c r="GB60" s="15" t="n">
        <v>0</v>
      </c>
      <c r="GC60" s="102" t="n">
        <v>0</v>
      </c>
      <c r="GD60" s="96" t="n">
        <v>1</v>
      </c>
      <c r="GE60" s="96" t="n">
        <v>0</v>
      </c>
      <c r="GF60" s="15" t="n">
        <v>0</v>
      </c>
      <c r="GG60" s="102" t="n">
        <v>0</v>
      </c>
      <c r="GH60" s="96" t="n">
        <v>1</v>
      </c>
      <c r="GI60" s="96" t="n">
        <v>0</v>
      </c>
      <c r="GJ60" s="15" t="n">
        <v>0</v>
      </c>
      <c r="GK60" s="102" t="n">
        <v>0</v>
      </c>
      <c r="GL60" s="96" t="n">
        <v>0</v>
      </c>
      <c r="GM60" s="96" t="n">
        <v>0</v>
      </c>
      <c r="GN60" s="15" t="n">
        <v>0</v>
      </c>
      <c r="GO60" s="102" t="n">
        <v>0</v>
      </c>
      <c r="GP60" s="96" t="n">
        <v>0</v>
      </c>
      <c r="GQ60" s="96" t="n">
        <v>0</v>
      </c>
      <c r="GR60" s="15" t="n">
        <v>0</v>
      </c>
      <c r="GS60" s="102" t="n">
        <v>0</v>
      </c>
      <c r="GT60" s="96" t="n">
        <v>0</v>
      </c>
      <c r="GU60" s="96" t="n">
        <v>0</v>
      </c>
      <c r="GV60" s="15" t="n">
        <v>0</v>
      </c>
      <c r="GW60" s="100"/>
      <c r="GX60" s="56" t="n">
        <v>2016</v>
      </c>
      <c r="GY60" s="109" t="n">
        <v>0</v>
      </c>
      <c r="GZ60" s="103" t="n">
        <v>0</v>
      </c>
      <c r="HA60" s="96" t="n">
        <v>0</v>
      </c>
      <c r="HB60" s="96" t="n">
        <v>0</v>
      </c>
      <c r="HC60" s="70" t="n">
        <f aca="false">CL25-FR60</f>
        <v>4</v>
      </c>
      <c r="HD60" s="70" t="n">
        <f aca="false">CM25-FV60</f>
        <v>8</v>
      </c>
      <c r="HE60" s="70" t="n">
        <f aca="false">CN25-FZ60</f>
        <v>6</v>
      </c>
      <c r="HF60" s="70" t="n">
        <f aca="false">CO25-GD60</f>
        <v>1</v>
      </c>
      <c r="HG60" s="70" t="n">
        <f aca="false">CP25-GH60</f>
        <v>0</v>
      </c>
      <c r="HH60" s="70" t="n">
        <f aca="false">CQ25-GL60</f>
        <v>0</v>
      </c>
      <c r="HI60" s="70" t="n">
        <f aca="false">CR25-GP60</f>
        <v>0</v>
      </c>
      <c r="HJ60" s="15" t="n">
        <f aca="false">CS25-GT60</f>
        <v>0</v>
      </c>
      <c r="HK60" s="101" t="n">
        <f aca="false">SUM(GY60:HJ60)</f>
        <v>19</v>
      </c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</row>
    <row r="61" customFormat="false" ht="12.75" hidden="false" customHeight="false" outlineLevel="0" collapsed="false">
      <c r="A61" s="16" t="s">
        <v>169</v>
      </c>
      <c r="B61" s="17" t="n">
        <f aca="false">AVERAGE(E61:AE61)</f>
        <v>0.444444444444444</v>
      </c>
      <c r="C61" s="2" t="n">
        <f aca="false">MIN(E61:AE61)</f>
        <v>0</v>
      </c>
      <c r="D61" s="18" t="n">
        <f aca="false">MAX(E61:AE61)</f>
        <v>2</v>
      </c>
      <c r="E61" s="19" t="n">
        <v>0</v>
      </c>
      <c r="F61" s="19" t="n">
        <v>0</v>
      </c>
      <c r="G61" s="19" t="n">
        <v>0</v>
      </c>
      <c r="H61" s="19" t="n">
        <v>1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1</v>
      </c>
      <c r="N61" s="19" t="n">
        <v>0</v>
      </c>
      <c r="O61" s="19" t="n">
        <v>0</v>
      </c>
      <c r="P61" s="19" t="n">
        <v>0</v>
      </c>
      <c r="Q61" s="19" t="n">
        <v>0</v>
      </c>
      <c r="R61" s="19" t="n">
        <v>2</v>
      </c>
      <c r="S61" s="19" t="n">
        <v>0</v>
      </c>
      <c r="T61" s="19" t="n">
        <v>0</v>
      </c>
      <c r="U61" s="19" t="n">
        <v>0</v>
      </c>
      <c r="V61" s="19" t="n">
        <v>0</v>
      </c>
      <c r="W61" s="19" t="n">
        <v>1</v>
      </c>
      <c r="X61" s="19" t="n">
        <v>2</v>
      </c>
      <c r="Y61" s="19" t="n">
        <v>1</v>
      </c>
      <c r="Z61" s="19" t="n">
        <v>2</v>
      </c>
      <c r="AA61" s="19" t="n">
        <v>0</v>
      </c>
      <c r="AB61" s="19" t="n">
        <v>1</v>
      </c>
      <c r="AC61" s="19" t="n">
        <v>1</v>
      </c>
      <c r="AD61" s="19" t="n">
        <v>0</v>
      </c>
      <c r="AE61" s="19" t="n">
        <v>0</v>
      </c>
      <c r="AF61" s="19" t="n">
        <v>0</v>
      </c>
      <c r="AG61" s="19"/>
      <c r="AH61" s="19"/>
      <c r="CB61" s="6"/>
      <c r="CU61" s="6"/>
      <c r="CV61" s="6"/>
      <c r="CW61" s="6"/>
      <c r="CX61" s="6"/>
      <c r="CY61" s="6"/>
      <c r="CZ61" s="6"/>
      <c r="DA61" s="6"/>
      <c r="DK61" s="43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96"/>
      <c r="EY61" s="96"/>
      <c r="EZ61" s="32" t="n">
        <v>2017</v>
      </c>
      <c r="FA61" s="102" t="n">
        <v>0</v>
      </c>
      <c r="FB61" s="96" t="n">
        <v>1</v>
      </c>
      <c r="FC61" s="96" t="n">
        <v>0</v>
      </c>
      <c r="FD61" s="15" t="n">
        <v>0</v>
      </c>
      <c r="FE61" s="102" t="n">
        <v>0</v>
      </c>
      <c r="FF61" s="96" t="n">
        <v>0</v>
      </c>
      <c r="FG61" s="96" t="n">
        <v>0</v>
      </c>
      <c r="FH61" s="15" t="n">
        <v>0</v>
      </c>
      <c r="FI61" s="102" t="n">
        <v>0</v>
      </c>
      <c r="FJ61" s="96" t="n">
        <v>0</v>
      </c>
      <c r="FK61" s="96" t="n">
        <v>0</v>
      </c>
      <c r="FL61" s="15" t="n">
        <v>0</v>
      </c>
      <c r="FM61" s="102" t="n">
        <v>0</v>
      </c>
      <c r="FN61" s="96" t="n">
        <v>0</v>
      </c>
      <c r="FO61" s="96" t="n">
        <v>0</v>
      </c>
      <c r="FP61" s="15" t="n">
        <v>0</v>
      </c>
      <c r="FQ61" s="102" t="n">
        <v>0</v>
      </c>
      <c r="FR61" s="96" t="n">
        <v>1</v>
      </c>
      <c r="FS61" s="96" t="n">
        <v>0</v>
      </c>
      <c r="FT61" s="15" t="n">
        <v>0</v>
      </c>
      <c r="FU61" s="102" t="n">
        <v>0</v>
      </c>
      <c r="FV61" s="96" t="n">
        <v>2</v>
      </c>
      <c r="FW61" s="96" t="n">
        <v>3</v>
      </c>
      <c r="FX61" s="15" t="n">
        <v>2</v>
      </c>
      <c r="FY61" s="102" t="n">
        <v>0</v>
      </c>
      <c r="FZ61" s="96" t="n">
        <v>5</v>
      </c>
      <c r="GA61" s="96" t="n">
        <v>1</v>
      </c>
      <c r="GB61" s="15" t="n">
        <v>0</v>
      </c>
      <c r="GC61" s="102" t="n">
        <v>0</v>
      </c>
      <c r="GD61" s="96" t="n">
        <v>1</v>
      </c>
      <c r="GE61" s="96" t="n">
        <v>0</v>
      </c>
      <c r="GF61" s="15" t="n">
        <v>1</v>
      </c>
      <c r="GG61" s="102" t="n">
        <v>0</v>
      </c>
      <c r="GH61" s="96" t="n">
        <v>1</v>
      </c>
      <c r="GI61" s="96" t="n">
        <v>0</v>
      </c>
      <c r="GJ61" s="15" t="n">
        <v>0</v>
      </c>
      <c r="GK61" s="102" t="n">
        <v>0</v>
      </c>
      <c r="GL61" s="96" t="n">
        <v>0</v>
      </c>
      <c r="GM61" s="96" t="n">
        <v>0</v>
      </c>
      <c r="GN61" s="15" t="n">
        <v>0</v>
      </c>
      <c r="GO61" s="102" t="n">
        <v>0</v>
      </c>
      <c r="GP61" s="96" t="n">
        <v>0</v>
      </c>
      <c r="GQ61" s="96" t="n">
        <v>0</v>
      </c>
      <c r="GR61" s="15" t="n">
        <v>0</v>
      </c>
      <c r="GS61" s="102" t="n">
        <v>0</v>
      </c>
      <c r="GT61" s="96" t="n">
        <v>0</v>
      </c>
      <c r="GU61" s="96" t="n">
        <v>0</v>
      </c>
      <c r="GV61" s="15" t="n">
        <v>0</v>
      </c>
      <c r="GW61" s="100"/>
      <c r="GX61" s="56" t="n">
        <v>2017</v>
      </c>
      <c r="GY61" s="109" t="n">
        <v>0</v>
      </c>
      <c r="GZ61" s="103" t="n">
        <v>0</v>
      </c>
      <c r="HA61" s="96" t="n">
        <v>0</v>
      </c>
      <c r="HB61" s="96" t="n">
        <v>0</v>
      </c>
      <c r="HC61" s="70" t="n">
        <f aca="false">CL26-FR61</f>
        <v>4</v>
      </c>
      <c r="HD61" s="70" t="n">
        <f aca="false">CM26-FV61</f>
        <v>6</v>
      </c>
      <c r="HE61" s="70" t="n">
        <f aca="false">CN26-FZ61</f>
        <v>5</v>
      </c>
      <c r="HF61" s="70" t="n">
        <f aca="false">CO26-GD61</f>
        <v>6</v>
      </c>
      <c r="HG61" s="70" t="n">
        <f aca="false">CP26-GH61</f>
        <v>0</v>
      </c>
      <c r="HH61" s="70" t="n">
        <f aca="false">CQ26-GL61</f>
        <v>1</v>
      </c>
      <c r="HI61" s="70" t="n">
        <f aca="false">CR26-GP61</f>
        <v>0</v>
      </c>
      <c r="HJ61" s="15" t="n">
        <f aca="false">CS26-GT61</f>
        <v>0</v>
      </c>
      <c r="HK61" s="101" t="n">
        <f aca="false">SUM(GY61:HJ61)</f>
        <v>22</v>
      </c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</row>
    <row r="62" customFormat="false" ht="12.75" hidden="false" customHeight="false" outlineLevel="0" collapsed="false">
      <c r="A62" s="16" t="s">
        <v>170</v>
      </c>
      <c r="B62" s="17" t="n">
        <f aca="false">AVERAGE(E62:AE62)</f>
        <v>0.481481481481481</v>
      </c>
      <c r="C62" s="2" t="n">
        <f aca="false">MIN(E62:AE62)</f>
        <v>0</v>
      </c>
      <c r="D62" s="18" t="n">
        <f aca="false">MAX(E62:AE62)</f>
        <v>2</v>
      </c>
      <c r="E62" s="19" t="n">
        <v>0</v>
      </c>
      <c r="F62" s="19" t="n">
        <v>0</v>
      </c>
      <c r="G62" s="19" t="n">
        <v>0</v>
      </c>
      <c r="H62" s="30" t="n">
        <v>2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1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2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1</v>
      </c>
      <c r="X62" s="19" t="n">
        <v>2</v>
      </c>
      <c r="Y62" s="19" t="n">
        <v>1</v>
      </c>
      <c r="Z62" s="19" t="n">
        <v>2</v>
      </c>
      <c r="AA62" s="19" t="n">
        <v>0</v>
      </c>
      <c r="AB62" s="19" t="n">
        <v>1</v>
      </c>
      <c r="AC62" s="19" t="n">
        <v>1</v>
      </c>
      <c r="AD62" s="19" t="n">
        <v>0</v>
      </c>
      <c r="AE62" s="19" t="n">
        <v>0</v>
      </c>
      <c r="AF62" s="19" t="n">
        <v>0</v>
      </c>
      <c r="AG62" s="19"/>
      <c r="AH62" s="19"/>
      <c r="CB62" s="6"/>
      <c r="CU62" s="6"/>
      <c r="CV62" s="6"/>
      <c r="CW62" s="6"/>
      <c r="CX62" s="6"/>
      <c r="CY62" s="6"/>
      <c r="CZ62" s="6"/>
      <c r="DA62" s="6"/>
      <c r="DK62" s="43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96"/>
      <c r="EY62" s="96"/>
      <c r="EZ62" s="32" t="n">
        <v>2018</v>
      </c>
      <c r="FA62" s="102" t="n">
        <v>0</v>
      </c>
      <c r="FB62" s="96" t="n">
        <v>1</v>
      </c>
      <c r="FC62" s="96" t="n">
        <v>0</v>
      </c>
      <c r="FD62" s="15" t="n">
        <v>0</v>
      </c>
      <c r="FE62" s="102" t="n">
        <v>0</v>
      </c>
      <c r="FF62" s="96" t="n">
        <v>0</v>
      </c>
      <c r="FG62" s="96" t="n">
        <v>0</v>
      </c>
      <c r="FH62" s="15" t="n">
        <v>0</v>
      </c>
      <c r="FI62" s="102" t="n">
        <v>0</v>
      </c>
      <c r="FJ62" s="96" t="n">
        <v>0</v>
      </c>
      <c r="FK62" s="96" t="n">
        <v>0</v>
      </c>
      <c r="FL62" s="15" t="n">
        <v>0</v>
      </c>
      <c r="FM62" s="102" t="n">
        <v>0</v>
      </c>
      <c r="FN62" s="96" t="n">
        <v>0</v>
      </c>
      <c r="FO62" s="96" t="n">
        <v>1</v>
      </c>
      <c r="FP62" s="15" t="n">
        <v>0</v>
      </c>
      <c r="FQ62" s="102" t="n">
        <v>0</v>
      </c>
      <c r="FR62" s="96" t="n">
        <v>1</v>
      </c>
      <c r="FS62" s="96" t="n">
        <v>0</v>
      </c>
      <c r="FT62" s="15" t="n">
        <v>0</v>
      </c>
      <c r="FU62" s="102" t="n">
        <v>0</v>
      </c>
      <c r="FV62" s="96" t="n">
        <v>2</v>
      </c>
      <c r="FW62" s="96" t="n">
        <v>0</v>
      </c>
      <c r="FX62" s="15" t="n">
        <v>0</v>
      </c>
      <c r="FY62" s="102" t="n">
        <v>0</v>
      </c>
      <c r="FZ62" s="96" t="n">
        <v>2</v>
      </c>
      <c r="GA62" s="96" t="n">
        <v>0</v>
      </c>
      <c r="GB62" s="15" t="n">
        <v>0</v>
      </c>
      <c r="GC62" s="102" t="n">
        <v>0</v>
      </c>
      <c r="GD62" s="96" t="n">
        <v>5</v>
      </c>
      <c r="GE62" s="96" t="n">
        <v>2</v>
      </c>
      <c r="GF62" s="15" t="n">
        <v>0</v>
      </c>
      <c r="GG62" s="102" t="n">
        <v>0</v>
      </c>
      <c r="GH62" s="96" t="n">
        <v>1</v>
      </c>
      <c r="GI62" s="96" t="n">
        <v>0</v>
      </c>
      <c r="GJ62" s="15" t="n">
        <v>2</v>
      </c>
      <c r="GK62" s="102" t="n">
        <v>0</v>
      </c>
      <c r="GL62" s="96" t="n">
        <v>0</v>
      </c>
      <c r="GM62" s="96" t="n">
        <v>0</v>
      </c>
      <c r="GN62" s="15" t="n">
        <v>0</v>
      </c>
      <c r="GO62" s="102" t="n">
        <v>0</v>
      </c>
      <c r="GP62" s="96" t="n">
        <v>0</v>
      </c>
      <c r="GQ62" s="96" t="n">
        <v>0</v>
      </c>
      <c r="GR62" s="15" t="n">
        <v>0</v>
      </c>
      <c r="GS62" s="102" t="n">
        <v>0</v>
      </c>
      <c r="GT62" s="96" t="n">
        <v>0</v>
      </c>
      <c r="GU62" s="96" t="n">
        <v>0</v>
      </c>
      <c r="GV62" s="15" t="n">
        <v>0</v>
      </c>
      <c r="GW62" s="100"/>
      <c r="GX62" s="56" t="n">
        <v>2018</v>
      </c>
      <c r="GY62" s="109" t="n">
        <v>1</v>
      </c>
      <c r="GZ62" s="103" t="n">
        <v>0</v>
      </c>
      <c r="HA62" s="96" t="n">
        <v>0</v>
      </c>
      <c r="HB62" s="96" t="n">
        <v>2</v>
      </c>
      <c r="HC62" s="70" t="n">
        <f aca="false">CL27-FR62</f>
        <v>5</v>
      </c>
      <c r="HD62" s="70" t="n">
        <f aca="false">CM27-FV62</f>
        <v>1</v>
      </c>
      <c r="HE62" s="70" t="n">
        <f aca="false">CN27-FZ62</f>
        <v>2</v>
      </c>
      <c r="HF62" s="70" t="n">
        <f aca="false">CO27-GD62</f>
        <v>4</v>
      </c>
      <c r="HG62" s="70" t="n">
        <f aca="false">CP27-GH62</f>
        <v>2</v>
      </c>
      <c r="HH62" s="70" t="n">
        <f aca="false">CQ27-GL62</f>
        <v>0</v>
      </c>
      <c r="HI62" s="70" t="n">
        <f aca="false">CR27-GP62</f>
        <v>0</v>
      </c>
      <c r="HJ62" s="15" t="n">
        <f aca="false">CS27-GT62</f>
        <v>0</v>
      </c>
      <c r="HK62" s="101" t="n">
        <f aca="false">SUM(GY62:HJ62)</f>
        <v>17</v>
      </c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</row>
    <row r="63" customFormat="false" ht="12.75" hidden="false" customHeight="false" outlineLevel="0" collapsed="false">
      <c r="A63" s="16" t="s">
        <v>171</v>
      </c>
      <c r="B63" s="17" t="n">
        <f aca="false">AVERAGE(E63:AE63)</f>
        <v>0.518518518518519</v>
      </c>
      <c r="C63" s="2" t="n">
        <f aca="false">MIN(E63:AE63)</f>
        <v>0</v>
      </c>
      <c r="D63" s="18" t="n">
        <f aca="false">MAX(E63:AE63)</f>
        <v>2</v>
      </c>
      <c r="E63" s="19" t="n">
        <v>0</v>
      </c>
      <c r="F63" s="19" t="n">
        <v>0</v>
      </c>
      <c r="G63" s="19" t="n">
        <v>0</v>
      </c>
      <c r="H63" s="19" t="n">
        <v>2</v>
      </c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2</v>
      </c>
      <c r="N63" s="19" t="n">
        <v>0</v>
      </c>
      <c r="O63" s="19" t="n">
        <v>0</v>
      </c>
      <c r="P63" s="19" t="n">
        <v>0</v>
      </c>
      <c r="Q63" s="19" t="n">
        <v>0</v>
      </c>
      <c r="R63" s="19" t="n">
        <v>2</v>
      </c>
      <c r="S63" s="19" t="n">
        <v>0</v>
      </c>
      <c r="T63" s="19" t="n">
        <v>0</v>
      </c>
      <c r="U63" s="19" t="n">
        <v>0</v>
      </c>
      <c r="V63" s="19" t="n">
        <v>0</v>
      </c>
      <c r="W63" s="19" t="n">
        <v>1</v>
      </c>
      <c r="X63" s="19" t="n">
        <v>2</v>
      </c>
      <c r="Y63" s="19" t="n">
        <v>1</v>
      </c>
      <c r="Z63" s="19" t="n">
        <v>2</v>
      </c>
      <c r="AA63" s="19" t="n">
        <v>0</v>
      </c>
      <c r="AB63" s="19" t="n">
        <v>1</v>
      </c>
      <c r="AC63" s="19" t="n">
        <v>1</v>
      </c>
      <c r="AD63" s="19" t="n">
        <v>0</v>
      </c>
      <c r="AE63" s="19" t="n">
        <v>0</v>
      </c>
      <c r="AF63" s="19" t="n">
        <v>0</v>
      </c>
      <c r="AG63" s="19"/>
      <c r="AH63" s="19"/>
      <c r="CB63" s="6"/>
      <c r="CU63" s="6"/>
      <c r="CV63" s="6"/>
      <c r="CW63" s="6"/>
      <c r="CX63" s="6"/>
      <c r="CY63" s="6"/>
      <c r="CZ63" s="6"/>
      <c r="DA63" s="6"/>
      <c r="DK63" s="43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96"/>
      <c r="EY63" s="96"/>
      <c r="EZ63" s="32" t="n">
        <v>2019</v>
      </c>
      <c r="FA63" s="102" t="n">
        <v>2</v>
      </c>
      <c r="FB63" s="96" t="n">
        <v>1</v>
      </c>
      <c r="FC63" s="96" t="n">
        <v>0</v>
      </c>
      <c r="FD63" s="15" t="n">
        <v>0</v>
      </c>
      <c r="FE63" s="102" t="n">
        <v>0</v>
      </c>
      <c r="FF63" s="96" t="n">
        <v>0</v>
      </c>
      <c r="FG63" s="96" t="n">
        <v>0</v>
      </c>
      <c r="FH63" s="15" t="n">
        <v>0</v>
      </c>
      <c r="FI63" s="102" t="n">
        <v>1</v>
      </c>
      <c r="FJ63" s="96" t="n">
        <v>1</v>
      </c>
      <c r="FK63" s="96" t="n">
        <v>0</v>
      </c>
      <c r="FL63" s="15" t="n">
        <v>0</v>
      </c>
      <c r="FM63" s="102" t="n">
        <v>0</v>
      </c>
      <c r="FN63" s="96" t="n">
        <v>0</v>
      </c>
      <c r="FO63" s="96" t="n">
        <v>0</v>
      </c>
      <c r="FP63" s="15" t="n">
        <v>0</v>
      </c>
      <c r="FQ63" s="102" t="n">
        <v>0</v>
      </c>
      <c r="FR63" s="96" t="n">
        <v>0</v>
      </c>
      <c r="FS63" s="96" t="n">
        <v>0</v>
      </c>
      <c r="FT63" s="15" t="n">
        <v>0</v>
      </c>
      <c r="FU63" s="102" t="n">
        <v>0</v>
      </c>
      <c r="FV63" s="96" t="n">
        <v>3</v>
      </c>
      <c r="FW63" s="96" t="n">
        <v>0</v>
      </c>
      <c r="FX63" s="15" t="n">
        <v>1</v>
      </c>
      <c r="FY63" s="102" t="n">
        <v>0</v>
      </c>
      <c r="FZ63" s="96" t="n">
        <v>3</v>
      </c>
      <c r="GA63" s="96" t="n">
        <v>1</v>
      </c>
      <c r="GB63" s="15" t="n">
        <v>0</v>
      </c>
      <c r="GC63" s="102" t="n">
        <v>0</v>
      </c>
      <c r="GD63" s="96" t="n">
        <v>2</v>
      </c>
      <c r="GE63" s="96" t="n">
        <v>0</v>
      </c>
      <c r="GF63" s="15" t="n">
        <v>0</v>
      </c>
      <c r="GG63" s="102" t="n">
        <v>0</v>
      </c>
      <c r="GH63" s="96" t="n">
        <v>0</v>
      </c>
      <c r="GI63" s="96" t="n">
        <v>0</v>
      </c>
      <c r="GJ63" s="15" t="n">
        <v>0</v>
      </c>
      <c r="GK63" s="102" t="n">
        <v>0</v>
      </c>
      <c r="GL63" s="96" t="n">
        <v>0</v>
      </c>
      <c r="GM63" s="96" t="n">
        <v>0</v>
      </c>
      <c r="GN63" s="15" t="n">
        <v>0</v>
      </c>
      <c r="GO63" s="102" t="n">
        <v>0</v>
      </c>
      <c r="GP63" s="96" t="n">
        <v>0</v>
      </c>
      <c r="GQ63" s="96" t="n">
        <v>0</v>
      </c>
      <c r="GR63" s="15" t="n">
        <v>0</v>
      </c>
      <c r="GS63" s="102" t="n">
        <v>0</v>
      </c>
      <c r="GT63" s="96" t="n">
        <v>0</v>
      </c>
      <c r="GU63" s="96" t="n">
        <v>0</v>
      </c>
      <c r="GV63" s="15" t="n">
        <v>0</v>
      </c>
      <c r="GW63" s="100"/>
      <c r="GX63" s="56" t="n">
        <v>2019</v>
      </c>
      <c r="GY63" s="109" t="n">
        <v>0</v>
      </c>
      <c r="GZ63" s="103" t="n">
        <v>0</v>
      </c>
      <c r="HA63" s="96" t="n">
        <v>0</v>
      </c>
      <c r="HB63" s="96" t="n">
        <v>1</v>
      </c>
      <c r="HC63" s="70" t="n">
        <f aca="false">CL28-FR63</f>
        <v>1</v>
      </c>
      <c r="HD63" s="70" t="n">
        <f aca="false">CM28-FV63</f>
        <v>2</v>
      </c>
      <c r="HE63" s="70" t="n">
        <f aca="false">CN28-FZ63</f>
        <v>3</v>
      </c>
      <c r="HF63" s="70" t="n">
        <f aca="false">CO28-GD63</f>
        <v>7</v>
      </c>
      <c r="HG63" s="70" t="n">
        <f aca="false">CP28-GH63</f>
        <v>1</v>
      </c>
      <c r="HH63" s="70" t="n">
        <f aca="false">CQ28-GL63</f>
        <v>0</v>
      </c>
      <c r="HI63" s="70" t="n">
        <f aca="false">CR28-GP63</f>
        <v>0</v>
      </c>
      <c r="HJ63" s="15" t="n">
        <f aca="false">CS28-GT63</f>
        <v>0</v>
      </c>
      <c r="HK63" s="101" t="n">
        <f aca="false">SUM(GY63:HJ63)</f>
        <v>15</v>
      </c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</row>
    <row r="64" customFormat="false" ht="12.75" hidden="false" customHeight="false" outlineLevel="0" collapsed="false">
      <c r="A64" s="16" t="s">
        <v>172</v>
      </c>
      <c r="B64" s="17" t="n">
        <f aca="false">AVERAGE(E64:AE64)</f>
        <v>0.518518518518519</v>
      </c>
      <c r="C64" s="2" t="n">
        <f aca="false">MIN(E64:AE64)</f>
        <v>0</v>
      </c>
      <c r="D64" s="18" t="n">
        <f aca="false">MAX(E64:AE64)</f>
        <v>2</v>
      </c>
      <c r="E64" s="19" t="n">
        <v>0</v>
      </c>
      <c r="F64" s="19" t="n">
        <v>0</v>
      </c>
      <c r="G64" s="19" t="n">
        <v>0</v>
      </c>
      <c r="H64" s="19" t="n">
        <v>2</v>
      </c>
      <c r="I64" s="19" t="n">
        <v>0</v>
      </c>
      <c r="J64" s="19" t="n">
        <v>0</v>
      </c>
      <c r="K64" s="19" t="n">
        <v>0</v>
      </c>
      <c r="L64" s="19" t="n">
        <v>0</v>
      </c>
      <c r="M64" s="19" t="n">
        <v>2</v>
      </c>
      <c r="N64" s="19" t="n">
        <v>0</v>
      </c>
      <c r="O64" s="19" t="n">
        <v>0</v>
      </c>
      <c r="P64" s="19" t="n">
        <v>0</v>
      </c>
      <c r="Q64" s="19" t="n">
        <v>0</v>
      </c>
      <c r="R64" s="19" t="n">
        <v>2</v>
      </c>
      <c r="S64" s="19" t="n">
        <v>0</v>
      </c>
      <c r="T64" s="19" t="n">
        <v>0</v>
      </c>
      <c r="U64" s="19" t="n">
        <v>0</v>
      </c>
      <c r="V64" s="19" t="n">
        <v>0</v>
      </c>
      <c r="W64" s="19" t="n">
        <v>1</v>
      </c>
      <c r="X64" s="19" t="n">
        <v>2</v>
      </c>
      <c r="Y64" s="19" t="n">
        <v>1</v>
      </c>
      <c r="Z64" s="19" t="n">
        <v>2</v>
      </c>
      <c r="AA64" s="19" t="n">
        <v>0</v>
      </c>
      <c r="AB64" s="19" t="n">
        <v>1</v>
      </c>
      <c r="AC64" s="19" t="n">
        <v>1</v>
      </c>
      <c r="AD64" s="19" t="n">
        <v>0</v>
      </c>
      <c r="AE64" s="19" t="n">
        <v>0</v>
      </c>
      <c r="AF64" s="19" t="n">
        <v>0</v>
      </c>
      <c r="AG64" s="19"/>
      <c r="AH64" s="19"/>
      <c r="CB64" s="6"/>
      <c r="CU64" s="6"/>
      <c r="CV64" s="6"/>
      <c r="CW64" s="6"/>
      <c r="CX64" s="6"/>
      <c r="CY64" s="6"/>
      <c r="CZ64" s="6"/>
      <c r="DA64" s="6"/>
      <c r="DK64" s="43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96"/>
      <c r="EY64" s="96"/>
      <c r="EZ64" s="32" t="n">
        <v>2020</v>
      </c>
      <c r="FA64" s="102" t="n">
        <v>0</v>
      </c>
      <c r="FB64" s="96" t="n">
        <v>0</v>
      </c>
      <c r="FC64" s="96" t="n">
        <v>0</v>
      </c>
      <c r="FD64" s="15" t="n">
        <v>0</v>
      </c>
      <c r="FE64" s="102" t="n">
        <v>2</v>
      </c>
      <c r="FF64" s="96" t="n">
        <v>2</v>
      </c>
      <c r="FG64" s="96" t="n">
        <v>0</v>
      </c>
      <c r="FH64" s="15" t="n">
        <v>0</v>
      </c>
      <c r="FI64" s="102" t="n">
        <v>1</v>
      </c>
      <c r="FJ64" s="96" t="n">
        <v>0</v>
      </c>
      <c r="FK64" s="96" t="n">
        <v>0</v>
      </c>
      <c r="FL64" s="15" t="n">
        <v>0</v>
      </c>
      <c r="FM64" s="102" t="n">
        <v>0</v>
      </c>
      <c r="FN64" s="96" t="n">
        <v>0</v>
      </c>
      <c r="FO64" s="96" t="n">
        <v>0</v>
      </c>
      <c r="FP64" s="15" t="n">
        <v>0</v>
      </c>
      <c r="FQ64" s="102" t="n">
        <v>0</v>
      </c>
      <c r="FR64" s="96" t="n">
        <v>0</v>
      </c>
      <c r="FS64" s="96" t="n">
        <v>0</v>
      </c>
      <c r="FT64" s="15" t="n">
        <v>0</v>
      </c>
      <c r="FU64" s="102" t="n">
        <v>0</v>
      </c>
      <c r="FV64" s="96" t="n">
        <v>3</v>
      </c>
      <c r="FW64" s="96" t="n">
        <v>0</v>
      </c>
      <c r="FX64" s="15" t="n">
        <v>0</v>
      </c>
      <c r="FY64" s="102" t="n">
        <v>0</v>
      </c>
      <c r="FZ64" s="96" t="n">
        <v>2</v>
      </c>
      <c r="GA64" s="96" t="n">
        <v>0</v>
      </c>
      <c r="GB64" s="15" t="n">
        <v>0</v>
      </c>
      <c r="GC64" s="102" t="n">
        <v>0</v>
      </c>
      <c r="GD64" s="96" t="n">
        <v>2</v>
      </c>
      <c r="GE64" s="96" t="n">
        <v>1</v>
      </c>
      <c r="GF64" s="15" t="n">
        <v>0</v>
      </c>
      <c r="GG64" s="102" t="n">
        <v>0</v>
      </c>
      <c r="GH64" s="96" t="n">
        <v>1</v>
      </c>
      <c r="GI64" s="96" t="n">
        <v>0</v>
      </c>
      <c r="GJ64" s="15" t="n">
        <v>0</v>
      </c>
      <c r="GK64" s="102" t="n">
        <v>0</v>
      </c>
      <c r="GL64" s="96" t="n">
        <v>0</v>
      </c>
      <c r="GM64" s="96" t="n">
        <v>0</v>
      </c>
      <c r="GN64" s="15" t="n">
        <v>0</v>
      </c>
      <c r="GO64" s="102" t="n">
        <v>0</v>
      </c>
      <c r="GP64" s="96" t="n">
        <v>0</v>
      </c>
      <c r="GQ64" s="96" t="n">
        <v>0</v>
      </c>
      <c r="GR64" s="15" t="n">
        <v>0</v>
      </c>
      <c r="GS64" s="102" t="n">
        <v>0</v>
      </c>
      <c r="GT64" s="96" t="n">
        <v>0</v>
      </c>
      <c r="GU64" s="96" t="n">
        <v>0</v>
      </c>
      <c r="GV64" s="15" t="n">
        <v>0</v>
      </c>
      <c r="GW64" s="100"/>
      <c r="GX64" s="56" t="n">
        <v>2020</v>
      </c>
      <c r="GY64" s="109" t="n">
        <v>0</v>
      </c>
      <c r="GZ64" s="103" t="n">
        <v>0</v>
      </c>
      <c r="HA64" s="96" t="n">
        <v>0</v>
      </c>
      <c r="HB64" s="96" t="n">
        <v>0</v>
      </c>
      <c r="HC64" s="70" t="n">
        <f aca="false">CL29-FR64</f>
        <v>0</v>
      </c>
      <c r="HD64" s="70" t="n">
        <f aca="false">CM29-FV64</f>
        <v>5</v>
      </c>
      <c r="HE64" s="70" t="n">
        <f aca="false">CN29-FZ64</f>
        <v>2</v>
      </c>
      <c r="HF64" s="70" t="n">
        <f aca="false">CO29-GD64</f>
        <v>4</v>
      </c>
      <c r="HG64" s="70" t="n">
        <f aca="false">CP29-GH64</f>
        <v>1</v>
      </c>
      <c r="HH64" s="70" t="n">
        <f aca="false">CQ29-GL64</f>
        <v>0</v>
      </c>
      <c r="HI64" s="70" t="n">
        <f aca="false">CR29-GP64</f>
        <v>0</v>
      </c>
      <c r="HJ64" s="15" t="n">
        <f aca="false">CS29-GT64</f>
        <v>0</v>
      </c>
      <c r="HK64" s="101" t="n">
        <f aca="false">SUM(GY64:HJ64)</f>
        <v>12</v>
      </c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</row>
    <row r="65" customFormat="false" ht="12.75" hidden="false" customHeight="false" outlineLevel="0" collapsed="false">
      <c r="A65" s="16" t="s">
        <v>173</v>
      </c>
      <c r="B65" s="17" t="n">
        <f aca="false">AVERAGE(E65:AE65)</f>
        <v>0.555555555555556</v>
      </c>
      <c r="C65" s="2" t="n">
        <f aca="false">MIN(E65:AE65)</f>
        <v>0</v>
      </c>
      <c r="D65" s="18" t="n">
        <f aca="false">MAX(E65:AE65)</f>
        <v>2</v>
      </c>
      <c r="E65" s="19" t="n">
        <v>0</v>
      </c>
      <c r="F65" s="19" t="n">
        <v>0</v>
      </c>
      <c r="G65" s="19" t="n">
        <v>0</v>
      </c>
      <c r="H65" s="19" t="n">
        <v>2</v>
      </c>
      <c r="I65" s="19" t="n">
        <v>0</v>
      </c>
      <c r="J65" s="19" t="n">
        <v>0</v>
      </c>
      <c r="K65" s="19" t="n">
        <v>0</v>
      </c>
      <c r="L65" s="19" t="n">
        <v>0</v>
      </c>
      <c r="M65" s="19" t="n">
        <v>2</v>
      </c>
      <c r="N65" s="68" t="n">
        <v>1</v>
      </c>
      <c r="O65" s="19" t="n">
        <v>0</v>
      </c>
      <c r="P65" s="19" t="n">
        <v>0</v>
      </c>
      <c r="Q65" s="19" t="n">
        <v>0</v>
      </c>
      <c r="R65" s="19" t="n">
        <v>2</v>
      </c>
      <c r="S65" s="19" t="n">
        <v>0</v>
      </c>
      <c r="T65" s="19" t="n">
        <v>0</v>
      </c>
      <c r="U65" s="19" t="n">
        <v>0</v>
      </c>
      <c r="V65" s="19" t="n">
        <v>0</v>
      </c>
      <c r="W65" s="19" t="n">
        <v>1</v>
      </c>
      <c r="X65" s="19" t="n">
        <v>2</v>
      </c>
      <c r="Y65" s="19" t="n">
        <v>1</v>
      </c>
      <c r="Z65" s="19" t="n">
        <v>2</v>
      </c>
      <c r="AA65" s="19" t="n">
        <v>0</v>
      </c>
      <c r="AB65" s="19" t="n">
        <v>1</v>
      </c>
      <c r="AC65" s="19" t="n">
        <v>1</v>
      </c>
      <c r="AD65" s="19" t="n">
        <v>0</v>
      </c>
      <c r="AE65" s="19" t="n">
        <v>0</v>
      </c>
      <c r="AF65" s="19" t="n">
        <v>0</v>
      </c>
      <c r="AG65" s="19"/>
      <c r="AH65" s="19"/>
      <c r="CB65" s="6"/>
      <c r="CU65" s="6"/>
      <c r="CV65" s="6"/>
      <c r="CW65" s="6"/>
      <c r="CX65" s="6"/>
      <c r="CY65" s="6"/>
      <c r="CZ65" s="6"/>
      <c r="DA65" s="6"/>
      <c r="DK65" s="43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96"/>
      <c r="EY65" s="96"/>
      <c r="EZ65" s="32" t="n">
        <v>2021</v>
      </c>
      <c r="FA65" s="102" t="n">
        <v>1</v>
      </c>
      <c r="FB65" s="96" t="n">
        <v>0</v>
      </c>
      <c r="FC65" s="96" t="n">
        <v>0</v>
      </c>
      <c r="FD65" s="15" t="n">
        <v>0</v>
      </c>
      <c r="FE65" s="102" t="n">
        <v>0</v>
      </c>
      <c r="FF65" s="96" t="n">
        <v>0</v>
      </c>
      <c r="FG65" s="96" t="n">
        <v>0</v>
      </c>
      <c r="FH65" s="15" t="n">
        <v>0</v>
      </c>
      <c r="FI65" s="102" t="n">
        <v>1</v>
      </c>
      <c r="FJ65" s="96" t="n">
        <v>0</v>
      </c>
      <c r="FK65" s="96" t="n">
        <v>0</v>
      </c>
      <c r="FL65" s="15" t="n">
        <v>0</v>
      </c>
      <c r="FM65" s="102" t="n">
        <v>0</v>
      </c>
      <c r="FN65" s="96" t="n">
        <v>0</v>
      </c>
      <c r="FO65" s="96" t="n">
        <v>0</v>
      </c>
      <c r="FP65" s="15" t="n">
        <v>0</v>
      </c>
      <c r="FQ65" s="102" t="n">
        <v>0</v>
      </c>
      <c r="FR65" s="96" t="n">
        <v>2</v>
      </c>
      <c r="FS65" s="96" t="n">
        <v>0</v>
      </c>
      <c r="FT65" s="15" t="n">
        <v>0</v>
      </c>
      <c r="FU65" s="102" t="n">
        <v>0</v>
      </c>
      <c r="FV65" s="96" t="n">
        <v>1</v>
      </c>
      <c r="FW65" s="96" t="n">
        <v>0</v>
      </c>
      <c r="FX65" s="15" t="n">
        <v>1</v>
      </c>
      <c r="FY65" s="102" t="n">
        <v>0</v>
      </c>
      <c r="FZ65" s="96" t="n">
        <v>0</v>
      </c>
      <c r="GA65" s="96" t="n">
        <v>0</v>
      </c>
      <c r="GB65" s="15" t="n">
        <v>1</v>
      </c>
      <c r="GC65" s="102" t="n">
        <v>0</v>
      </c>
      <c r="GD65" s="96" t="n">
        <v>4</v>
      </c>
      <c r="GE65" s="96" t="n">
        <v>0</v>
      </c>
      <c r="GF65" s="15" t="n">
        <v>0</v>
      </c>
      <c r="GG65" s="102" t="n">
        <v>0</v>
      </c>
      <c r="GH65" s="96" t="n">
        <v>2</v>
      </c>
      <c r="GI65" s="96" t="n">
        <v>0</v>
      </c>
      <c r="GJ65" s="15" t="n">
        <v>0</v>
      </c>
      <c r="GK65" s="102" t="n">
        <v>0</v>
      </c>
      <c r="GL65" s="96" t="n">
        <v>0</v>
      </c>
      <c r="GM65" s="96" t="n">
        <v>0</v>
      </c>
      <c r="GN65" s="15" t="n">
        <v>0</v>
      </c>
      <c r="GO65" s="102" t="n">
        <v>0</v>
      </c>
      <c r="GP65" s="96" t="n">
        <v>0</v>
      </c>
      <c r="GQ65" s="96" t="n">
        <v>0</v>
      </c>
      <c r="GR65" s="15" t="n">
        <v>0</v>
      </c>
      <c r="GS65" s="102" t="n">
        <v>0</v>
      </c>
      <c r="GT65" s="96" t="n">
        <v>0</v>
      </c>
      <c r="GU65" s="96" t="n">
        <v>0</v>
      </c>
      <c r="GV65" s="15" t="n">
        <v>0</v>
      </c>
      <c r="GW65" s="100"/>
      <c r="GX65" s="56" t="n">
        <v>2021</v>
      </c>
      <c r="GY65" s="109" t="n">
        <v>0</v>
      </c>
      <c r="GZ65" s="103" t="n">
        <v>0</v>
      </c>
      <c r="HA65" s="96" t="n">
        <v>0</v>
      </c>
      <c r="HB65" s="96" t="n">
        <v>0</v>
      </c>
      <c r="HC65" s="70" t="n">
        <f aca="false">CL30-FR65</f>
        <v>3</v>
      </c>
      <c r="HD65" s="70" t="n">
        <f aca="false">CM30-FV65</f>
        <v>7</v>
      </c>
      <c r="HE65" s="70" t="n">
        <f aca="false">CN30-FZ65</f>
        <v>7</v>
      </c>
      <c r="HF65" s="70" t="n">
        <f aca="false">CO30-GD65</f>
        <v>2</v>
      </c>
      <c r="HG65" s="70" t="n">
        <f aca="false">CP30-GH65</f>
        <v>0</v>
      </c>
      <c r="HH65" s="70" t="n">
        <f aca="false">CQ30-GL65</f>
        <v>0</v>
      </c>
      <c r="HI65" s="70" t="n">
        <f aca="false">CR30-GP65</f>
        <v>0</v>
      </c>
      <c r="HJ65" s="15" t="n">
        <f aca="false">CS30-GT65</f>
        <v>0</v>
      </c>
      <c r="HK65" s="101" t="n">
        <f aca="false">SUM(GY65:HJ65)</f>
        <v>19</v>
      </c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</row>
    <row r="66" customFormat="false" ht="12.75" hidden="false" customHeight="false" outlineLevel="0" collapsed="false">
      <c r="A66" s="16" t="s">
        <v>174</v>
      </c>
      <c r="B66" s="17" t="n">
        <f aca="false">AVERAGE(E66:AE66)</f>
        <v>0.555555555555556</v>
      </c>
      <c r="C66" s="2" t="n">
        <f aca="false">MIN(E66:AE66)</f>
        <v>0</v>
      </c>
      <c r="D66" s="18" t="n">
        <f aca="false">MAX(E66:AE66)</f>
        <v>2</v>
      </c>
      <c r="E66" s="19" t="n">
        <v>0</v>
      </c>
      <c r="F66" s="19" t="n">
        <v>0</v>
      </c>
      <c r="G66" s="19" t="n">
        <v>0</v>
      </c>
      <c r="H66" s="19" t="n">
        <v>2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2</v>
      </c>
      <c r="N66" s="19" t="n">
        <v>1</v>
      </c>
      <c r="O66" s="19" t="n">
        <v>0</v>
      </c>
      <c r="P66" s="19" t="n">
        <v>0</v>
      </c>
      <c r="Q66" s="19" t="n">
        <v>0</v>
      </c>
      <c r="R66" s="19" t="n">
        <v>2</v>
      </c>
      <c r="S66" s="19" t="n">
        <v>0</v>
      </c>
      <c r="T66" s="19" t="n">
        <v>0</v>
      </c>
      <c r="U66" s="19" t="n">
        <v>0</v>
      </c>
      <c r="V66" s="19" t="n">
        <v>0</v>
      </c>
      <c r="W66" s="19" t="n">
        <v>1</v>
      </c>
      <c r="X66" s="19" t="n">
        <v>2</v>
      </c>
      <c r="Y66" s="19" t="n">
        <v>1</v>
      </c>
      <c r="Z66" s="19" t="n">
        <v>2</v>
      </c>
      <c r="AA66" s="19" t="n">
        <v>0</v>
      </c>
      <c r="AB66" s="19" t="n">
        <v>1</v>
      </c>
      <c r="AC66" s="19" t="n">
        <v>1</v>
      </c>
      <c r="AD66" s="19" t="n">
        <v>0</v>
      </c>
      <c r="AE66" s="19" t="n">
        <v>0</v>
      </c>
      <c r="AF66" s="19" t="n">
        <v>0</v>
      </c>
      <c r="AG66" s="19"/>
      <c r="AH66" s="19"/>
      <c r="CB66" s="6"/>
      <c r="CU66" s="6"/>
      <c r="CV66" s="6"/>
      <c r="CW66" s="6"/>
      <c r="CX66" s="6"/>
      <c r="CY66" s="6"/>
      <c r="CZ66" s="6"/>
      <c r="DA66" s="6"/>
      <c r="DK66" s="43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96"/>
      <c r="EY66" s="96"/>
      <c r="EZ66" s="32" t="n">
        <v>2022</v>
      </c>
      <c r="FA66" s="102" t="n">
        <v>2</v>
      </c>
      <c r="FB66" s="96" t="n">
        <v>0</v>
      </c>
      <c r="FC66" s="96" t="n">
        <v>0</v>
      </c>
      <c r="FD66" s="15" t="n">
        <v>0</v>
      </c>
      <c r="FE66" s="102" t="n">
        <v>1</v>
      </c>
      <c r="FF66" s="96" t="n">
        <v>1</v>
      </c>
      <c r="FG66" s="96" t="n">
        <v>0</v>
      </c>
      <c r="FH66" s="15" t="n">
        <v>0</v>
      </c>
      <c r="FI66" s="102" t="n">
        <v>0</v>
      </c>
      <c r="FJ66" s="96" t="n">
        <v>0</v>
      </c>
      <c r="FK66" s="96" t="n">
        <v>0</v>
      </c>
      <c r="FL66" s="15" t="n">
        <v>0</v>
      </c>
      <c r="FM66" s="102" t="n">
        <v>1</v>
      </c>
      <c r="FN66" s="96" t="n">
        <v>1</v>
      </c>
      <c r="FO66" s="96" t="n">
        <v>0</v>
      </c>
      <c r="FP66" s="15" t="n">
        <v>0</v>
      </c>
      <c r="FQ66" s="102" t="n">
        <v>0</v>
      </c>
      <c r="FR66" s="96" t="n">
        <v>1</v>
      </c>
      <c r="FS66" s="96" t="n">
        <v>0</v>
      </c>
      <c r="FT66" s="15" t="n">
        <v>1</v>
      </c>
      <c r="FU66" s="102" t="n">
        <v>0</v>
      </c>
      <c r="FV66" s="96" t="n">
        <v>0</v>
      </c>
      <c r="FW66" s="96" t="n">
        <v>1</v>
      </c>
      <c r="FX66" s="15" t="n">
        <v>1</v>
      </c>
      <c r="FY66" s="102" t="n">
        <v>0</v>
      </c>
      <c r="FZ66" s="96" t="n">
        <v>1</v>
      </c>
      <c r="GA66" s="96" t="n">
        <v>0</v>
      </c>
      <c r="GB66" s="15" t="n">
        <v>0</v>
      </c>
      <c r="GC66" s="102" t="n">
        <v>0</v>
      </c>
      <c r="GD66" s="96" t="n">
        <v>3</v>
      </c>
      <c r="GE66" s="96" t="n">
        <v>1</v>
      </c>
      <c r="GF66" s="15" t="n">
        <v>0</v>
      </c>
      <c r="GG66" s="102" t="n">
        <v>0</v>
      </c>
      <c r="GH66" s="96" t="n">
        <v>2</v>
      </c>
      <c r="GI66" s="96" t="n">
        <v>0</v>
      </c>
      <c r="GJ66" s="15" t="n">
        <v>0</v>
      </c>
      <c r="GK66" s="102" t="n">
        <v>0</v>
      </c>
      <c r="GL66" s="96" t="n">
        <v>1</v>
      </c>
      <c r="GM66" s="96" t="n">
        <v>0</v>
      </c>
      <c r="GN66" s="15" t="n">
        <v>0</v>
      </c>
      <c r="GO66" s="102" t="n">
        <v>0</v>
      </c>
      <c r="GP66" s="96" t="n">
        <v>0</v>
      </c>
      <c r="GQ66" s="96" t="n">
        <v>0</v>
      </c>
      <c r="GR66" s="15" t="n">
        <v>0</v>
      </c>
      <c r="GS66" s="102" t="n">
        <v>0</v>
      </c>
      <c r="GT66" s="96" t="n">
        <v>0</v>
      </c>
      <c r="GU66" s="96" t="n">
        <v>0</v>
      </c>
      <c r="GV66" s="15" t="n">
        <v>0</v>
      </c>
      <c r="GW66" s="100"/>
      <c r="GX66" s="56" t="n">
        <v>2022</v>
      </c>
      <c r="GY66" s="109" t="n">
        <v>0</v>
      </c>
      <c r="GZ66" s="103" t="n">
        <v>0</v>
      </c>
      <c r="HA66" s="96" t="n">
        <v>0</v>
      </c>
      <c r="HB66" s="96" t="n">
        <v>0</v>
      </c>
      <c r="HC66" s="70" t="n">
        <f aca="false">CL31-FR66</f>
        <v>3</v>
      </c>
      <c r="HD66" s="70" t="n">
        <f aca="false">CM31-FV66</f>
        <v>5</v>
      </c>
      <c r="HE66" s="70" t="n">
        <f aca="false">CN31-FZ66</f>
        <v>3</v>
      </c>
      <c r="HF66" s="70" t="n">
        <f aca="false">CO31-GD66</f>
        <v>2</v>
      </c>
      <c r="HG66" s="70" t="n">
        <f aca="false">CP31-GH66</f>
        <v>3</v>
      </c>
      <c r="HH66" s="70" t="n">
        <f aca="false">CQ31-GL66</f>
        <v>0</v>
      </c>
      <c r="HI66" s="70" t="n">
        <f aca="false">CR31-GP66</f>
        <v>0</v>
      </c>
      <c r="HJ66" s="15" t="n">
        <f aca="false">CS31-GT66</f>
        <v>0</v>
      </c>
      <c r="HK66" s="101" t="n">
        <f aca="false">SUM(GY66:HJ66)</f>
        <v>16</v>
      </c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</row>
    <row r="67" customFormat="false" ht="12.75" hidden="false" customHeight="false" outlineLevel="0" collapsed="false">
      <c r="A67" s="16" t="s">
        <v>175</v>
      </c>
      <c r="B67" s="17" t="n">
        <f aca="false">AVERAGE(E67:AE67)</f>
        <v>0.555555555555556</v>
      </c>
      <c r="C67" s="2" t="n">
        <f aca="false">MIN(E67:AE67)</f>
        <v>0</v>
      </c>
      <c r="D67" s="18" t="n">
        <f aca="false">MAX(E67:AE67)</f>
        <v>2</v>
      </c>
      <c r="E67" s="19" t="n">
        <v>0</v>
      </c>
      <c r="F67" s="19" t="n">
        <v>0</v>
      </c>
      <c r="G67" s="19" t="n">
        <v>0</v>
      </c>
      <c r="H67" s="19" t="n">
        <v>2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2</v>
      </c>
      <c r="N67" s="19" t="n">
        <v>1</v>
      </c>
      <c r="O67" s="19" t="n">
        <v>0</v>
      </c>
      <c r="P67" s="19" t="n">
        <v>0</v>
      </c>
      <c r="Q67" s="19" t="n">
        <v>0</v>
      </c>
      <c r="R67" s="19" t="n">
        <v>2</v>
      </c>
      <c r="S67" s="19" t="n">
        <v>0</v>
      </c>
      <c r="T67" s="19" t="n">
        <v>0</v>
      </c>
      <c r="U67" s="19" t="n">
        <v>0</v>
      </c>
      <c r="V67" s="19" t="n">
        <v>0</v>
      </c>
      <c r="W67" s="19" t="n">
        <v>1</v>
      </c>
      <c r="X67" s="19" t="n">
        <v>2</v>
      </c>
      <c r="Y67" s="19" t="n">
        <v>1</v>
      </c>
      <c r="Z67" s="19" t="n">
        <v>2</v>
      </c>
      <c r="AA67" s="19" t="n">
        <v>0</v>
      </c>
      <c r="AB67" s="19" t="n">
        <v>1</v>
      </c>
      <c r="AC67" s="19" t="n">
        <v>1</v>
      </c>
      <c r="AD67" s="19" t="n">
        <v>0</v>
      </c>
      <c r="AE67" s="19" t="n">
        <v>0</v>
      </c>
      <c r="AF67" s="19" t="n">
        <v>0</v>
      </c>
      <c r="AG67" s="19"/>
      <c r="AH67" s="19"/>
      <c r="CB67" s="6"/>
      <c r="CU67" s="6"/>
      <c r="CV67" s="6"/>
      <c r="CW67" s="6"/>
      <c r="CX67" s="6"/>
      <c r="CY67" s="6"/>
      <c r="CZ67" s="6"/>
      <c r="DA67" s="6"/>
      <c r="DK67" s="43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96"/>
      <c r="EY67" s="96"/>
      <c r="EZ67" s="32" t="n">
        <v>2023</v>
      </c>
      <c r="FA67" s="102" t="n">
        <v>0</v>
      </c>
      <c r="FB67" s="96" t="n">
        <v>0</v>
      </c>
      <c r="FC67" s="96" t="n">
        <v>0</v>
      </c>
      <c r="FD67" s="15" t="n">
        <v>0</v>
      </c>
      <c r="FE67" s="102" t="n">
        <v>1</v>
      </c>
      <c r="FF67" s="96" t="n">
        <v>1</v>
      </c>
      <c r="FG67" s="96" t="n">
        <v>0</v>
      </c>
      <c r="FH67" s="15" t="n">
        <v>0</v>
      </c>
      <c r="FI67" s="102" t="n">
        <v>1</v>
      </c>
      <c r="FJ67" s="96" t="n">
        <v>0</v>
      </c>
      <c r="FK67" s="96" t="n">
        <v>0</v>
      </c>
      <c r="FL67" s="15" t="n">
        <v>0</v>
      </c>
      <c r="FM67" s="102" t="n">
        <v>0</v>
      </c>
      <c r="FN67" s="96" t="n">
        <v>1</v>
      </c>
      <c r="FO67" s="96" t="n">
        <v>0</v>
      </c>
      <c r="FP67" s="15" t="n">
        <v>0</v>
      </c>
      <c r="FQ67" s="102" t="n">
        <v>0</v>
      </c>
      <c r="FR67" s="96" t="n">
        <v>0</v>
      </c>
      <c r="FS67" s="96" t="n">
        <v>0</v>
      </c>
      <c r="FT67" s="15" t="n">
        <v>0</v>
      </c>
      <c r="FU67" s="102" t="n">
        <v>0</v>
      </c>
      <c r="FV67" s="96" t="n">
        <v>4</v>
      </c>
      <c r="FW67" s="96" t="n">
        <v>0</v>
      </c>
      <c r="FX67" s="15" t="n">
        <v>1</v>
      </c>
      <c r="FY67" s="102" t="n">
        <v>0</v>
      </c>
      <c r="FZ67" s="96" t="n">
        <v>2</v>
      </c>
      <c r="GA67" s="96" t="n">
        <v>1</v>
      </c>
      <c r="GB67" s="15" t="n">
        <v>0</v>
      </c>
      <c r="GC67" s="102" t="n">
        <v>0</v>
      </c>
      <c r="GD67" s="96" t="n">
        <v>3</v>
      </c>
      <c r="GE67" s="96" t="n">
        <v>0</v>
      </c>
      <c r="GF67" s="15" t="n">
        <v>0</v>
      </c>
      <c r="GG67" s="102" t="n">
        <v>0</v>
      </c>
      <c r="GH67" s="96" t="n">
        <v>0</v>
      </c>
      <c r="GI67" s="96" t="n">
        <v>1</v>
      </c>
      <c r="GJ67" s="15" t="n">
        <v>0</v>
      </c>
      <c r="GK67" s="102" t="n">
        <v>0</v>
      </c>
      <c r="GL67" s="96" t="n">
        <v>1</v>
      </c>
      <c r="GM67" s="96" t="n">
        <v>0</v>
      </c>
      <c r="GN67" s="15" t="n">
        <v>0</v>
      </c>
      <c r="GO67" s="102" t="n">
        <v>0</v>
      </c>
      <c r="GP67" s="96" t="n">
        <v>0</v>
      </c>
      <c r="GQ67" s="96" t="n">
        <v>0</v>
      </c>
      <c r="GR67" s="15" t="n">
        <v>0</v>
      </c>
      <c r="GS67" s="102" t="n">
        <v>0</v>
      </c>
      <c r="GT67" s="96" t="n">
        <v>1</v>
      </c>
      <c r="GU67" s="96" t="n">
        <v>0</v>
      </c>
      <c r="GV67" s="15" t="n">
        <v>0</v>
      </c>
      <c r="GW67" s="100"/>
      <c r="GX67" s="56" t="n">
        <v>2023</v>
      </c>
      <c r="GY67" s="109" t="n">
        <v>0</v>
      </c>
      <c r="GZ67" s="103" t="n">
        <v>0</v>
      </c>
      <c r="HA67" s="96" t="n">
        <v>0</v>
      </c>
      <c r="HB67" s="96" t="n">
        <v>0</v>
      </c>
      <c r="HC67" s="70" t="n">
        <f aca="false">CL32-FR67</f>
        <v>1</v>
      </c>
      <c r="HD67" s="70" t="n">
        <f aca="false">CM32-FV67</f>
        <v>6</v>
      </c>
      <c r="HE67" s="70" t="n">
        <f aca="false">CN32-FZ67</f>
        <v>4</v>
      </c>
      <c r="HF67" s="70" t="n">
        <f aca="false">CO32-GD67</f>
        <v>2</v>
      </c>
      <c r="HG67" s="70" t="n">
        <f aca="false">CP32-GH67</f>
        <v>2</v>
      </c>
      <c r="HH67" s="70" t="n">
        <f aca="false">CQ32-GL67</f>
        <v>0</v>
      </c>
      <c r="HI67" s="70" t="n">
        <f aca="false">CR32-GP67</f>
        <v>0</v>
      </c>
      <c r="HJ67" s="15" t="n">
        <f aca="false">CS32-GT67</f>
        <v>1</v>
      </c>
      <c r="HK67" s="101" t="n">
        <f aca="false">SUM(GY67:HJ67)</f>
        <v>16</v>
      </c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</row>
    <row r="68" customFormat="false" ht="12.75" hidden="false" customHeight="false" outlineLevel="0" collapsed="false">
      <c r="A68" s="16" t="s">
        <v>176</v>
      </c>
      <c r="B68" s="17" t="n">
        <f aca="false">AVERAGE(E68:AE68)</f>
        <v>0.555555555555556</v>
      </c>
      <c r="C68" s="2" t="n">
        <f aca="false">MIN(E68:AE68)</f>
        <v>0</v>
      </c>
      <c r="D68" s="18" t="n">
        <f aca="false">MAX(E68:AE68)</f>
        <v>2</v>
      </c>
      <c r="E68" s="19" t="n">
        <v>0</v>
      </c>
      <c r="F68" s="19" t="n">
        <v>0</v>
      </c>
      <c r="G68" s="19" t="n">
        <v>0</v>
      </c>
      <c r="H68" s="19" t="n">
        <v>2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2</v>
      </c>
      <c r="N68" s="19" t="n">
        <v>1</v>
      </c>
      <c r="O68" s="19" t="n">
        <v>0</v>
      </c>
      <c r="P68" s="19" t="n">
        <v>0</v>
      </c>
      <c r="Q68" s="19" t="n">
        <v>0</v>
      </c>
      <c r="R68" s="19" t="n">
        <v>2</v>
      </c>
      <c r="S68" s="19" t="n">
        <v>0</v>
      </c>
      <c r="T68" s="19" t="n">
        <v>0</v>
      </c>
      <c r="U68" s="19" t="n">
        <v>0</v>
      </c>
      <c r="V68" s="19" t="n">
        <v>0</v>
      </c>
      <c r="W68" s="19" t="n">
        <v>1</v>
      </c>
      <c r="X68" s="19" t="n">
        <v>2</v>
      </c>
      <c r="Y68" s="19" t="n">
        <v>1</v>
      </c>
      <c r="Z68" s="19" t="n">
        <v>2</v>
      </c>
      <c r="AA68" s="19" t="n">
        <v>0</v>
      </c>
      <c r="AB68" s="19" t="n">
        <v>1</v>
      </c>
      <c r="AC68" s="19" t="n">
        <v>1</v>
      </c>
      <c r="AD68" s="19" t="n">
        <v>0</v>
      </c>
      <c r="AE68" s="19" t="n">
        <v>0</v>
      </c>
      <c r="AF68" s="19" t="n">
        <v>0</v>
      </c>
      <c r="AG68" s="19"/>
      <c r="AH68" s="19"/>
      <c r="CB68" s="6"/>
      <c r="CU68" s="6"/>
      <c r="CV68" s="6"/>
      <c r="CW68" s="6"/>
      <c r="CX68" s="6"/>
      <c r="CY68" s="6"/>
      <c r="CZ68" s="6"/>
      <c r="DA68" s="6"/>
      <c r="DK68" s="43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96"/>
      <c r="EY68" s="96"/>
      <c r="EZ68" s="32" t="n">
        <v>2024</v>
      </c>
      <c r="FA68" s="102" t="n">
        <v>0</v>
      </c>
      <c r="FB68" s="96" t="n">
        <v>0</v>
      </c>
      <c r="FC68" s="96" t="n">
        <v>0</v>
      </c>
      <c r="FD68" s="15" t="n">
        <v>0</v>
      </c>
      <c r="FE68" s="102" t="n">
        <v>0</v>
      </c>
      <c r="FF68" s="96" t="n">
        <v>0</v>
      </c>
      <c r="FG68" s="96" t="n">
        <v>0</v>
      </c>
      <c r="FH68" s="15" t="n">
        <v>0</v>
      </c>
      <c r="FI68" s="102" t="n">
        <v>0</v>
      </c>
      <c r="FJ68" s="96" t="n">
        <v>0</v>
      </c>
      <c r="FK68" s="96" t="n">
        <v>0</v>
      </c>
      <c r="FL68" s="15" t="n">
        <v>0</v>
      </c>
      <c r="FM68" s="102" t="n">
        <v>0</v>
      </c>
      <c r="FN68" s="96" t="n">
        <v>1</v>
      </c>
      <c r="FO68" s="96" t="n">
        <v>0</v>
      </c>
      <c r="FP68" s="15" t="n">
        <v>0</v>
      </c>
      <c r="FQ68" s="102" t="n">
        <v>0</v>
      </c>
      <c r="FR68" s="96" t="n">
        <v>5</v>
      </c>
      <c r="FS68" s="96" t="n">
        <v>0</v>
      </c>
      <c r="FT68" s="15" t="n">
        <v>0</v>
      </c>
      <c r="FU68" s="102" t="n">
        <v>0</v>
      </c>
      <c r="FV68" s="96" t="n">
        <v>1</v>
      </c>
      <c r="FW68" s="96" t="n">
        <v>2</v>
      </c>
      <c r="FX68" s="15" t="n">
        <v>0</v>
      </c>
      <c r="FY68" s="102" t="n">
        <v>0</v>
      </c>
      <c r="FZ68" s="96" t="n">
        <v>2</v>
      </c>
      <c r="GA68" s="96" t="n">
        <v>5</v>
      </c>
      <c r="GB68" s="15" t="n">
        <v>0</v>
      </c>
      <c r="GC68" s="102" t="n">
        <v>0</v>
      </c>
      <c r="GD68" s="96" t="n">
        <v>1</v>
      </c>
      <c r="GE68" s="96" t="n">
        <v>2</v>
      </c>
      <c r="GF68" s="15" t="n">
        <v>0</v>
      </c>
      <c r="GG68" s="102" t="n">
        <v>0</v>
      </c>
      <c r="GH68" s="96" t="n">
        <v>1</v>
      </c>
      <c r="GI68" s="96" t="n">
        <v>0</v>
      </c>
      <c r="GJ68" s="15" t="n">
        <v>0</v>
      </c>
      <c r="GK68" s="102" t="n">
        <v>0</v>
      </c>
      <c r="GL68" s="96" t="n">
        <v>0</v>
      </c>
      <c r="GM68" s="96" t="n">
        <v>0</v>
      </c>
      <c r="GN68" s="15" t="n">
        <v>0</v>
      </c>
      <c r="GO68" s="102" t="n">
        <v>0</v>
      </c>
      <c r="GP68" s="96" t="n">
        <v>0</v>
      </c>
      <c r="GQ68" s="96" t="n">
        <v>0</v>
      </c>
      <c r="GR68" s="15" t="n">
        <v>0</v>
      </c>
      <c r="GS68" s="102" t="n">
        <v>0</v>
      </c>
      <c r="GT68" s="96" t="n">
        <v>0</v>
      </c>
      <c r="GU68" s="96" t="n">
        <v>0</v>
      </c>
      <c r="GV68" s="15" t="n">
        <v>0</v>
      </c>
      <c r="GW68" s="100"/>
      <c r="GX68" s="56" t="n">
        <v>2024</v>
      </c>
      <c r="GY68" s="109" t="n">
        <v>0</v>
      </c>
      <c r="GZ68" s="103" t="n">
        <v>0</v>
      </c>
      <c r="HA68" s="96" t="n">
        <v>0</v>
      </c>
      <c r="HB68" s="96" t="n">
        <v>0</v>
      </c>
      <c r="HC68" s="70" t="n">
        <f aca="false">CL33-FR68</f>
        <v>2</v>
      </c>
      <c r="HD68" s="70" t="n">
        <f aca="false">CM33-FV68</f>
        <v>5</v>
      </c>
      <c r="HE68" s="70" t="n">
        <f aca="false">CN33-FZ68</f>
        <v>4</v>
      </c>
      <c r="HF68" s="70" t="n">
        <f aca="false">CO33-GD68</f>
        <v>8</v>
      </c>
      <c r="HG68" s="70" t="n">
        <f aca="false">CP33-GH68</f>
        <v>0</v>
      </c>
      <c r="HH68" s="70" t="n">
        <f aca="false">CQ33-GL68</f>
        <v>0</v>
      </c>
      <c r="HI68" s="70" t="n">
        <f aca="false">CR33-GP68</f>
        <v>0</v>
      </c>
      <c r="HJ68" s="15" t="n">
        <f aca="false">CS33-GT68</f>
        <v>0</v>
      </c>
      <c r="HK68" s="101" t="n">
        <f aca="false">SUM(GY68:HJ68)</f>
        <v>19</v>
      </c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</row>
    <row r="69" customFormat="false" ht="12.75" hidden="false" customHeight="false" outlineLevel="0" collapsed="false">
      <c r="A69" s="16" t="s">
        <v>177</v>
      </c>
      <c r="B69" s="17" t="n">
        <f aca="false">AVERAGE(E69:AE69)</f>
        <v>0.592592592592593</v>
      </c>
      <c r="C69" s="2" t="n">
        <f aca="false">MIN(E69:AE69)</f>
        <v>0</v>
      </c>
      <c r="D69" s="18" t="n">
        <f aca="false">MAX(E69:AE69)</f>
        <v>2</v>
      </c>
      <c r="E69" s="19" t="n">
        <v>0</v>
      </c>
      <c r="F69" s="30" t="n">
        <v>1</v>
      </c>
      <c r="G69" s="19" t="n">
        <v>0</v>
      </c>
      <c r="H69" s="19" t="n">
        <v>2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2</v>
      </c>
      <c r="N69" s="19" t="n">
        <v>1</v>
      </c>
      <c r="O69" s="19" t="n">
        <v>0</v>
      </c>
      <c r="P69" s="19" t="n">
        <v>0</v>
      </c>
      <c r="Q69" s="19" t="n">
        <v>0</v>
      </c>
      <c r="R69" s="19" t="n">
        <v>2</v>
      </c>
      <c r="S69" s="19" t="n">
        <v>0</v>
      </c>
      <c r="T69" s="19" t="n">
        <v>0</v>
      </c>
      <c r="U69" s="19" t="n">
        <v>0</v>
      </c>
      <c r="V69" s="19" t="n">
        <v>0</v>
      </c>
      <c r="W69" s="19" t="n">
        <v>1</v>
      </c>
      <c r="X69" s="19" t="n">
        <v>2</v>
      </c>
      <c r="Y69" s="19" t="n">
        <v>1</v>
      </c>
      <c r="Z69" s="19" t="n">
        <v>2</v>
      </c>
      <c r="AA69" s="19" t="n">
        <v>0</v>
      </c>
      <c r="AB69" s="19" t="n">
        <v>1</v>
      </c>
      <c r="AC69" s="19" t="n">
        <v>1</v>
      </c>
      <c r="AD69" s="19" t="n">
        <v>0</v>
      </c>
      <c r="AE69" s="19" t="n">
        <v>0</v>
      </c>
      <c r="AF69" s="19" t="n">
        <v>0</v>
      </c>
      <c r="AG69" s="19"/>
      <c r="AH69" s="19"/>
      <c r="CB69" s="6"/>
      <c r="CU69" s="6"/>
      <c r="CV69" s="6"/>
      <c r="CW69" s="6"/>
      <c r="CX69" s="6"/>
      <c r="CY69" s="6"/>
      <c r="CZ69" s="6"/>
      <c r="DA69" s="6"/>
      <c r="DK69" s="43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96"/>
      <c r="EY69" s="96"/>
      <c r="EZ69" s="32" t="n">
        <v>2025</v>
      </c>
      <c r="FA69" s="102" t="n">
        <v>0</v>
      </c>
      <c r="FB69" s="96" t="n">
        <v>0</v>
      </c>
      <c r="FC69" s="96" t="n">
        <v>0</v>
      </c>
      <c r="FD69" s="15" t="n">
        <v>0</v>
      </c>
      <c r="FE69" s="102" t="n">
        <v>0</v>
      </c>
      <c r="FF69" s="96" t="n">
        <v>0</v>
      </c>
      <c r="FG69" s="96" t="n">
        <v>0</v>
      </c>
      <c r="FH69" s="15" t="n">
        <v>0</v>
      </c>
      <c r="FI69" s="102" t="n">
        <v>0</v>
      </c>
      <c r="FJ69" s="96" t="n">
        <v>0</v>
      </c>
      <c r="FK69" s="96" t="n">
        <v>0</v>
      </c>
      <c r="FL69" s="15" t="n">
        <v>0</v>
      </c>
      <c r="FM69" s="102" t="n">
        <v>0</v>
      </c>
      <c r="FN69" s="96" t="n">
        <v>0</v>
      </c>
      <c r="FO69" s="96" t="n">
        <v>0</v>
      </c>
      <c r="FP69" s="15" t="n">
        <v>0</v>
      </c>
      <c r="FQ69" s="102" t="n">
        <v>0</v>
      </c>
      <c r="FR69" s="96" t="n">
        <v>1</v>
      </c>
      <c r="FS69" s="96" t="n">
        <v>0</v>
      </c>
      <c r="FT69" s="15" t="n">
        <v>0</v>
      </c>
      <c r="FU69" s="102" t="n">
        <v>0</v>
      </c>
      <c r="FV69" s="96" t="n">
        <v>1</v>
      </c>
      <c r="FW69" s="96" t="n">
        <v>1</v>
      </c>
      <c r="FX69" s="15" t="n">
        <v>0</v>
      </c>
      <c r="FY69" s="102" t="n">
        <v>0</v>
      </c>
      <c r="FZ69" s="96" t="n">
        <v>3</v>
      </c>
      <c r="GA69" s="96" t="n">
        <v>0</v>
      </c>
      <c r="GB69" s="15" t="n">
        <v>0</v>
      </c>
      <c r="GC69" s="102" t="n">
        <v>0</v>
      </c>
      <c r="GD69" s="96" t="n">
        <v>0</v>
      </c>
      <c r="GE69" s="96" t="n">
        <v>1</v>
      </c>
      <c r="GF69" s="15" t="n">
        <v>0</v>
      </c>
      <c r="GG69" s="102" t="n">
        <v>0</v>
      </c>
      <c r="GH69" s="96" t="n">
        <v>2</v>
      </c>
      <c r="GI69" s="96" t="n">
        <v>1</v>
      </c>
      <c r="GJ69" s="15" t="n">
        <v>0</v>
      </c>
      <c r="GK69" s="102" t="n">
        <v>0</v>
      </c>
      <c r="GL69" s="96" t="n">
        <v>0</v>
      </c>
      <c r="GM69" s="96" t="n">
        <v>0</v>
      </c>
      <c r="GN69" s="15" t="n">
        <v>0</v>
      </c>
      <c r="GO69" s="102" t="n">
        <v>0</v>
      </c>
      <c r="GP69" s="96" t="n">
        <v>0</v>
      </c>
      <c r="GQ69" s="96" t="n">
        <v>0</v>
      </c>
      <c r="GR69" s="15" t="n">
        <v>0</v>
      </c>
      <c r="GS69" s="102" t="n">
        <v>0</v>
      </c>
      <c r="GT69" s="96" t="n">
        <v>0</v>
      </c>
      <c r="GU69" s="96" t="n">
        <v>0</v>
      </c>
      <c r="GV69" s="15" t="n">
        <v>0</v>
      </c>
      <c r="GW69" s="100"/>
      <c r="GX69" s="56" t="n">
        <v>2025</v>
      </c>
      <c r="GY69" s="109" t="n">
        <v>0</v>
      </c>
      <c r="GZ69" s="103" t="n">
        <v>0</v>
      </c>
      <c r="HA69" s="96" t="n">
        <v>0</v>
      </c>
      <c r="HB69" s="96" t="n">
        <v>0</v>
      </c>
      <c r="HC69" s="70" t="n">
        <f aca="false">CL34-FR69</f>
        <v>3</v>
      </c>
      <c r="HD69" s="70" t="n">
        <f aca="false">CM34-FV69</f>
        <v>2</v>
      </c>
      <c r="HE69" s="70" t="n">
        <f aca="false">CN34-FZ69</f>
        <v>4</v>
      </c>
      <c r="HF69" s="70" t="n">
        <f aca="false">CO34-GD69</f>
        <v>2</v>
      </c>
      <c r="HG69" s="70" t="n">
        <f aca="false">CP34-GH69</f>
        <v>1</v>
      </c>
      <c r="HH69" s="70" t="n">
        <f aca="false">CQ34-GL69</f>
        <v>0</v>
      </c>
      <c r="HI69" s="70" t="n">
        <f aca="false">CR34-GP69</f>
        <v>0</v>
      </c>
      <c r="HJ69" s="15" t="n">
        <f aca="false">CS34-GT69</f>
        <v>0</v>
      </c>
      <c r="HK69" s="101" t="n">
        <f aca="false">SUM(GY69:HJ69)</f>
        <v>12</v>
      </c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</row>
    <row r="70" customFormat="false" ht="12.75" hidden="false" customHeight="false" outlineLevel="0" collapsed="false">
      <c r="A70" s="16" t="s">
        <v>178</v>
      </c>
      <c r="B70" s="17" t="n">
        <f aca="false">AVERAGE(E70:AE70)</f>
        <v>0.592592592592593</v>
      </c>
      <c r="C70" s="2" t="n">
        <f aca="false">MIN(E70:AE70)</f>
        <v>0</v>
      </c>
      <c r="D70" s="18" t="n">
        <f aca="false">MAX(E70:AE70)</f>
        <v>2</v>
      </c>
      <c r="E70" s="19" t="n">
        <v>0</v>
      </c>
      <c r="F70" s="19" t="n">
        <v>1</v>
      </c>
      <c r="G70" s="19" t="n">
        <v>0</v>
      </c>
      <c r="H70" s="19" t="n">
        <v>2</v>
      </c>
      <c r="I70" s="19" t="n">
        <v>0</v>
      </c>
      <c r="J70" s="19" t="n">
        <v>0</v>
      </c>
      <c r="K70" s="19" t="n">
        <v>0</v>
      </c>
      <c r="L70" s="19" t="n">
        <v>0</v>
      </c>
      <c r="M70" s="19" t="n">
        <v>2</v>
      </c>
      <c r="N70" s="19" t="n">
        <v>1</v>
      </c>
      <c r="O70" s="19" t="n">
        <v>0</v>
      </c>
      <c r="P70" s="19" t="n">
        <v>0</v>
      </c>
      <c r="Q70" s="19" t="n">
        <v>0</v>
      </c>
      <c r="R70" s="19" t="n">
        <v>2</v>
      </c>
      <c r="S70" s="19" t="n">
        <v>0</v>
      </c>
      <c r="T70" s="19" t="n">
        <v>0</v>
      </c>
      <c r="U70" s="19" t="n">
        <v>0</v>
      </c>
      <c r="V70" s="19" t="n">
        <v>0</v>
      </c>
      <c r="W70" s="19" t="n">
        <v>1</v>
      </c>
      <c r="X70" s="19" t="n">
        <v>2</v>
      </c>
      <c r="Y70" s="19" t="n">
        <v>1</v>
      </c>
      <c r="Z70" s="19" t="n">
        <v>2</v>
      </c>
      <c r="AA70" s="19" t="n">
        <v>0</v>
      </c>
      <c r="AB70" s="19" t="n">
        <v>1</v>
      </c>
      <c r="AC70" s="19" t="n">
        <v>1</v>
      </c>
      <c r="AD70" s="19" t="n">
        <v>0</v>
      </c>
      <c r="AE70" s="19" t="n">
        <v>0</v>
      </c>
      <c r="AF70" s="19" t="n">
        <v>0</v>
      </c>
      <c r="AG70" s="19"/>
      <c r="AH70" s="19"/>
      <c r="CB70" s="6"/>
      <c r="CU70" s="6"/>
      <c r="CV70" s="6"/>
      <c r="CW70" s="6"/>
      <c r="CX70" s="6"/>
      <c r="CY70" s="6"/>
      <c r="CZ70" s="6"/>
      <c r="DA70" s="6"/>
      <c r="DK70" s="43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96"/>
      <c r="EY70" s="96"/>
      <c r="EZ70" s="32" t="n">
        <v>2026</v>
      </c>
      <c r="FA70" s="102" t="n">
        <v>0</v>
      </c>
      <c r="FB70" s="96" t="n">
        <v>0</v>
      </c>
      <c r="FC70" s="96" t="n">
        <v>0</v>
      </c>
      <c r="FD70" s="15" t="n">
        <v>0</v>
      </c>
      <c r="FE70" s="102" t="n">
        <v>0</v>
      </c>
      <c r="FF70" s="96" t="n">
        <v>0</v>
      </c>
      <c r="FG70" s="96" t="n">
        <v>0</v>
      </c>
      <c r="FH70" s="15" t="n">
        <v>0</v>
      </c>
      <c r="FI70" s="102" t="n">
        <v>0</v>
      </c>
      <c r="FJ70" s="96" t="n">
        <v>0</v>
      </c>
      <c r="FK70" s="96" t="n">
        <v>0</v>
      </c>
      <c r="FL70" s="15" t="n">
        <v>0</v>
      </c>
      <c r="FM70" s="102" t="n">
        <v>0</v>
      </c>
      <c r="FN70" s="96" t="n">
        <v>1</v>
      </c>
      <c r="FO70" s="96" t="n">
        <v>0</v>
      </c>
      <c r="FP70" s="15" t="n">
        <v>0</v>
      </c>
      <c r="FQ70" s="102" t="n">
        <v>0</v>
      </c>
      <c r="FR70" s="96" t="n">
        <v>2</v>
      </c>
      <c r="FS70" s="96" t="n">
        <v>0</v>
      </c>
      <c r="FT70" s="15" t="n">
        <v>0</v>
      </c>
      <c r="FU70" s="102" t="n">
        <v>0</v>
      </c>
      <c r="FV70" s="96" t="n">
        <v>2</v>
      </c>
      <c r="FW70" s="96" t="n">
        <v>1</v>
      </c>
      <c r="FX70" s="15" t="n">
        <v>0</v>
      </c>
      <c r="FY70" s="102" t="n">
        <v>0</v>
      </c>
      <c r="FZ70" s="96" t="n">
        <v>1</v>
      </c>
      <c r="GA70" s="96" t="n">
        <v>0</v>
      </c>
      <c r="GB70" s="15" t="n">
        <v>0</v>
      </c>
      <c r="GC70" s="102" t="n">
        <v>0</v>
      </c>
      <c r="GD70" s="96" t="n">
        <v>3</v>
      </c>
      <c r="GE70" s="96" t="n">
        <v>2</v>
      </c>
      <c r="GF70" s="15" t="n">
        <v>1</v>
      </c>
      <c r="GG70" s="102" t="n">
        <v>0</v>
      </c>
      <c r="GH70" s="96"/>
      <c r="GI70" s="96"/>
      <c r="GJ70" s="15"/>
      <c r="GK70" s="102" t="n">
        <v>0</v>
      </c>
      <c r="GL70" s="96"/>
      <c r="GM70" s="96"/>
      <c r="GN70" s="15"/>
      <c r="GO70" s="102" t="n">
        <v>0</v>
      </c>
      <c r="GP70" s="96" t="n">
        <v>0</v>
      </c>
      <c r="GQ70" s="96" t="n">
        <v>0</v>
      </c>
      <c r="GR70" s="15" t="n">
        <v>0</v>
      </c>
      <c r="GS70" s="102" t="n">
        <v>0</v>
      </c>
      <c r="GT70" s="96"/>
      <c r="GU70" s="96"/>
      <c r="GV70" s="15"/>
      <c r="GW70" s="100"/>
      <c r="GX70" s="86" t="n">
        <v>2026</v>
      </c>
      <c r="GY70" s="110" t="n">
        <v>0</v>
      </c>
      <c r="GZ70" s="111" t="n">
        <v>0</v>
      </c>
      <c r="HA70" s="112" t="n">
        <v>0</v>
      </c>
      <c r="HB70" s="112" t="n">
        <v>0</v>
      </c>
      <c r="HC70" s="112" t="n">
        <v>2</v>
      </c>
      <c r="HD70" s="112" t="n">
        <v>3</v>
      </c>
      <c r="HE70" s="112" t="n">
        <v>2</v>
      </c>
      <c r="HF70" s="112" t="n">
        <v>5</v>
      </c>
      <c r="HG70" s="112"/>
      <c r="HH70" s="112"/>
      <c r="HI70" s="112"/>
      <c r="HJ70" s="113"/>
      <c r="HK70" s="101" t="n">
        <f aca="false">SUM(GY70:HJ70)</f>
        <v>12</v>
      </c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</row>
    <row r="71" customFormat="false" ht="12.75" hidden="false" customHeight="false" outlineLevel="0" collapsed="false">
      <c r="A71" s="16" t="s">
        <v>179</v>
      </c>
      <c r="B71" s="17" t="n">
        <f aca="false">AVERAGE(E71:AE71)</f>
        <v>0.592592592592593</v>
      </c>
      <c r="C71" s="2" t="n">
        <f aca="false">MIN(E71:AE71)</f>
        <v>0</v>
      </c>
      <c r="D71" s="18" t="n">
        <f aca="false">MAX(E71:AE71)</f>
        <v>2</v>
      </c>
      <c r="E71" s="19" t="n">
        <v>0</v>
      </c>
      <c r="F71" s="19" t="n">
        <v>1</v>
      </c>
      <c r="G71" s="19" t="n">
        <v>0</v>
      </c>
      <c r="H71" s="19" t="n">
        <v>2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2</v>
      </c>
      <c r="N71" s="19" t="n">
        <v>1</v>
      </c>
      <c r="O71" s="19" t="n">
        <v>0</v>
      </c>
      <c r="P71" s="19" t="n">
        <v>0</v>
      </c>
      <c r="Q71" s="19" t="n">
        <v>0</v>
      </c>
      <c r="R71" s="19" t="n">
        <v>2</v>
      </c>
      <c r="S71" s="19" t="n">
        <v>0</v>
      </c>
      <c r="T71" s="19" t="n">
        <v>0</v>
      </c>
      <c r="U71" s="19" t="n">
        <v>0</v>
      </c>
      <c r="V71" s="19" t="n">
        <v>0</v>
      </c>
      <c r="W71" s="19" t="n">
        <v>1</v>
      </c>
      <c r="X71" s="19" t="n">
        <v>2</v>
      </c>
      <c r="Y71" s="19" t="n">
        <v>1</v>
      </c>
      <c r="Z71" s="19" t="n">
        <v>2</v>
      </c>
      <c r="AA71" s="19" t="n">
        <v>0</v>
      </c>
      <c r="AB71" s="19" t="n">
        <v>1</v>
      </c>
      <c r="AC71" s="19" t="n">
        <v>1</v>
      </c>
      <c r="AD71" s="19" t="n">
        <v>0</v>
      </c>
      <c r="AE71" s="19" t="n">
        <v>0</v>
      </c>
      <c r="AF71" s="19" t="n">
        <v>0</v>
      </c>
      <c r="AG71" s="19"/>
      <c r="AH71" s="19"/>
      <c r="CB71" s="6"/>
      <c r="CU71" s="6"/>
      <c r="CV71" s="6"/>
      <c r="CW71" s="6"/>
      <c r="CX71" s="6"/>
      <c r="CY71" s="6"/>
      <c r="CZ71" s="6"/>
      <c r="DA71" s="6"/>
      <c r="DK71" s="43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96"/>
      <c r="EY71" s="96"/>
      <c r="EZ71" s="32" t="s">
        <v>34</v>
      </c>
      <c r="FA71" s="97" t="n">
        <f aca="false">SUM(FA43:FA70)</f>
        <v>7</v>
      </c>
      <c r="FB71" s="97" t="n">
        <f aca="false">SUM(FB43:FB70)</f>
        <v>4</v>
      </c>
      <c r="FC71" s="97" t="n">
        <f aca="false">SUM(FC43:FC70)</f>
        <v>0</v>
      </c>
      <c r="FD71" s="97" t="n">
        <f aca="false">SUM(FD43:FD70)</f>
        <v>1</v>
      </c>
      <c r="FE71" s="97" t="n">
        <f aca="false">SUM(FE43:FE70)</f>
        <v>4</v>
      </c>
      <c r="FF71" s="97" t="n">
        <f aca="false">SUM(FF43:FF70)</f>
        <v>5</v>
      </c>
      <c r="FG71" s="97" t="n">
        <f aca="false">SUM(FG43:FG70)</f>
        <v>0</v>
      </c>
      <c r="FH71" s="97" t="n">
        <f aca="false">SUM(FH43:FH70)</f>
        <v>0</v>
      </c>
      <c r="FI71" s="97" t="n">
        <f aca="false">SUM(FI43:FI70)</f>
        <v>6</v>
      </c>
      <c r="FJ71" s="97" t="n">
        <f aca="false">SUM(FJ43:FJ70)</f>
        <v>5</v>
      </c>
      <c r="FK71" s="97" t="n">
        <f aca="false">SUM(FK43:FK70)</f>
        <v>0</v>
      </c>
      <c r="FL71" s="97" t="n">
        <f aca="false">SUM(FL43:FL70)</f>
        <v>2</v>
      </c>
      <c r="FM71" s="97" t="n">
        <f aca="false">SUM(FM43:FM70)</f>
        <v>2</v>
      </c>
      <c r="FN71" s="97" t="n">
        <f aca="false">SUM(FN43:FN70)</f>
        <v>25</v>
      </c>
      <c r="FO71" s="97" t="n">
        <f aca="false">SUM(FO43:FO70)</f>
        <v>2</v>
      </c>
      <c r="FP71" s="97" t="n">
        <f aca="false">SUM(FP43:FP70)</f>
        <v>0</v>
      </c>
      <c r="FQ71" s="97" t="n">
        <f aca="false">SUM(FQ43:FQ70)</f>
        <v>1</v>
      </c>
      <c r="FR71" s="97" t="n">
        <f aca="false">SUM(FR43:FR70)</f>
        <v>49</v>
      </c>
      <c r="FS71" s="97" t="n">
        <f aca="false">SUM(FS43:FS70)</f>
        <v>5</v>
      </c>
      <c r="FT71" s="97" t="n">
        <f aca="false">SUM(FT43:FT70)</f>
        <v>3</v>
      </c>
      <c r="FU71" s="97" t="n">
        <f aca="false">SUM(FU43:FU70)</f>
        <v>0</v>
      </c>
      <c r="FV71" s="97" t="n">
        <f aca="false">SUM(FV43:FV70)</f>
        <v>51</v>
      </c>
      <c r="FW71" s="97" t="n">
        <f aca="false">SUM(FW43:FW70)</f>
        <v>17</v>
      </c>
      <c r="FX71" s="97" t="n">
        <f aca="false">SUM(FX43:FX70)</f>
        <v>11</v>
      </c>
      <c r="FY71" s="97" t="n">
        <f aca="false">SUM(FY43:FY70)</f>
        <v>0</v>
      </c>
      <c r="FZ71" s="97" t="n">
        <f aca="false">SUM(FZ43:FZ70)</f>
        <v>65</v>
      </c>
      <c r="GA71" s="97" t="n">
        <f aca="false">SUM(GA43:GA70)</f>
        <v>15</v>
      </c>
      <c r="GB71" s="97" t="n">
        <f aca="false">SUM(GB43:GB70)</f>
        <v>12</v>
      </c>
      <c r="GC71" s="97" t="n">
        <f aca="false">SUM(GC43:GC70)</f>
        <v>0</v>
      </c>
      <c r="GD71" s="97" t="n">
        <f aca="false">SUM(GD43:GD70)</f>
        <v>54</v>
      </c>
      <c r="GE71" s="97" t="n">
        <f aca="false">SUM(GE43:GE70)</f>
        <v>17</v>
      </c>
      <c r="GF71" s="97" t="n">
        <f aca="false">SUM(GF43:GF70)</f>
        <v>7</v>
      </c>
      <c r="GG71" s="97" t="n">
        <f aca="false">SUM(GG43:GG70)</f>
        <v>0</v>
      </c>
      <c r="GH71" s="97" t="n">
        <f aca="false">SUM(GH43:GH70)</f>
        <v>19</v>
      </c>
      <c r="GI71" s="97" t="n">
        <f aca="false">SUM(GI43:GI70)</f>
        <v>2</v>
      </c>
      <c r="GJ71" s="97" t="n">
        <f aca="false">SUM(GJ43:GJ70)</f>
        <v>3</v>
      </c>
      <c r="GK71" s="97" t="n">
        <f aca="false">SUM(GK43:GK70)</f>
        <v>0</v>
      </c>
      <c r="GL71" s="97" t="n">
        <f aca="false">SUM(GL43:GL70)</f>
        <v>3</v>
      </c>
      <c r="GM71" s="97" t="n">
        <f aca="false">SUM(GM43:GM70)</f>
        <v>0</v>
      </c>
      <c r="GN71" s="97" t="n">
        <f aca="false">SUM(GN43:GN70)</f>
        <v>0</v>
      </c>
      <c r="GO71" s="97" t="n">
        <f aca="false">SUM(GO43:GO70)</f>
        <v>0</v>
      </c>
      <c r="GP71" s="97" t="n">
        <f aca="false">SUM(GP43:GP70)</f>
        <v>0</v>
      </c>
      <c r="GQ71" s="97" t="n">
        <f aca="false">SUM(GQ43:GQ70)</f>
        <v>0</v>
      </c>
      <c r="GR71" s="97" t="n">
        <f aca="false">SUM(GR43:GR70)</f>
        <v>0</v>
      </c>
      <c r="GS71" s="97" t="n">
        <f aca="false">SUM(GS43:GS70)</f>
        <v>0</v>
      </c>
      <c r="GT71" s="97" t="n">
        <f aca="false">SUM(GT43:GT70)</f>
        <v>3</v>
      </c>
      <c r="GU71" s="97" t="n">
        <f aca="false">SUM(GU43:GU70)</f>
        <v>0</v>
      </c>
      <c r="GV71" s="114" t="n">
        <f aca="false">SUM(GV43:GV70)</f>
        <v>1</v>
      </c>
      <c r="GW71" s="101"/>
      <c r="GX71" s="101" t="s">
        <v>34</v>
      </c>
      <c r="GY71" s="101" t="n">
        <f aca="false">SUM(GY43:GY70)</f>
        <v>3</v>
      </c>
      <c r="GZ71" s="101" t="n">
        <f aca="false">SUM(GZ43:GZ70)</f>
        <v>1</v>
      </c>
      <c r="HA71" s="101" t="n">
        <f aca="false">SUM(HA43:HA70)</f>
        <v>3</v>
      </c>
      <c r="HB71" s="101" t="n">
        <f aca="false">SUM(HB43:HB70)</f>
        <v>16</v>
      </c>
      <c r="HC71" s="101" t="n">
        <f aca="false">SUM(HC43:HC70)</f>
        <v>90</v>
      </c>
      <c r="HD71" s="101" t="n">
        <f aca="false">SUM(HD43:HD70)</f>
        <v>119</v>
      </c>
      <c r="HE71" s="101" t="n">
        <f aca="false">SUM(HE43:HE70)</f>
        <v>131</v>
      </c>
      <c r="HF71" s="101" t="n">
        <f aca="false">SUM(HF43:HF70)</f>
        <v>99</v>
      </c>
      <c r="HG71" s="101" t="n">
        <f aca="false">SUM(HG43:HG70)</f>
        <v>25</v>
      </c>
      <c r="HH71" s="101" t="n">
        <f aca="false">SUM(HH43:HH70)</f>
        <v>4</v>
      </c>
      <c r="HI71" s="101" t="n">
        <f aca="false">SUM(HI43:HI70)</f>
        <v>1</v>
      </c>
      <c r="HJ71" s="101" t="n">
        <f aca="false">SUM(HJ43:HJ70)</f>
        <v>2</v>
      </c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</row>
    <row r="72" customFormat="false" ht="12.75" hidden="false" customHeight="false" outlineLevel="0" collapsed="false">
      <c r="A72" s="16" t="s">
        <v>180</v>
      </c>
      <c r="B72" s="17" t="n">
        <f aca="false">AVERAGE(E72:AE72)</f>
        <v>0.592592592592593</v>
      </c>
      <c r="C72" s="2" t="n">
        <f aca="false">MIN(E72:AE72)</f>
        <v>0</v>
      </c>
      <c r="D72" s="18" t="n">
        <f aca="false">MAX(E72:AE72)</f>
        <v>2</v>
      </c>
      <c r="E72" s="19" t="n">
        <v>0</v>
      </c>
      <c r="F72" s="19" t="n">
        <v>1</v>
      </c>
      <c r="G72" s="19" t="n">
        <v>0</v>
      </c>
      <c r="H72" s="19" t="n">
        <v>2</v>
      </c>
      <c r="I72" s="19" t="n">
        <v>0</v>
      </c>
      <c r="J72" s="19" t="n">
        <v>0</v>
      </c>
      <c r="K72" s="19" t="n">
        <v>0</v>
      </c>
      <c r="L72" s="19" t="n">
        <v>0</v>
      </c>
      <c r="M72" s="19" t="n">
        <v>2</v>
      </c>
      <c r="N72" s="19" t="n">
        <v>1</v>
      </c>
      <c r="O72" s="19" t="n">
        <v>0</v>
      </c>
      <c r="P72" s="19" t="n">
        <v>0</v>
      </c>
      <c r="Q72" s="19" t="n">
        <v>0</v>
      </c>
      <c r="R72" s="19" t="n">
        <v>2</v>
      </c>
      <c r="S72" s="19" t="n">
        <v>0</v>
      </c>
      <c r="T72" s="19" t="n">
        <v>0</v>
      </c>
      <c r="U72" s="19" t="n">
        <v>0</v>
      </c>
      <c r="V72" s="19" t="n">
        <v>0</v>
      </c>
      <c r="W72" s="19" t="n">
        <v>1</v>
      </c>
      <c r="X72" s="19" t="n">
        <v>2</v>
      </c>
      <c r="Y72" s="19" t="n">
        <v>1</v>
      </c>
      <c r="Z72" s="19" t="n">
        <v>2</v>
      </c>
      <c r="AA72" s="19" t="n">
        <v>0</v>
      </c>
      <c r="AB72" s="19" t="n">
        <v>1</v>
      </c>
      <c r="AC72" s="19" t="n">
        <v>1</v>
      </c>
      <c r="AD72" s="19" t="n">
        <v>0</v>
      </c>
      <c r="AE72" s="19" t="n">
        <v>0</v>
      </c>
      <c r="AF72" s="19" t="n">
        <v>0</v>
      </c>
      <c r="AG72" s="19"/>
      <c r="AH72" s="19"/>
      <c r="CB72" s="6"/>
      <c r="CU72" s="6"/>
      <c r="CV72" s="6"/>
      <c r="CW72" s="6"/>
      <c r="CX72" s="6"/>
      <c r="CY72" s="6"/>
      <c r="CZ72" s="6"/>
      <c r="DA72" s="6"/>
      <c r="DK72" s="43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96"/>
      <c r="EY72" s="96"/>
      <c r="EZ72" s="80" t="s">
        <v>114</v>
      </c>
      <c r="FA72" s="115" t="n">
        <f aca="false">AVERAGE(FA43:FA70)</f>
        <v>0.25</v>
      </c>
      <c r="FB72" s="115" t="n">
        <f aca="false">AVERAGE(FB43:FB70)</f>
        <v>0.142857142857143</v>
      </c>
      <c r="FC72" s="115" t="n">
        <f aca="false">AVERAGE(FC43:FC70)</f>
        <v>0</v>
      </c>
      <c r="FD72" s="115" t="n">
        <f aca="false">AVERAGE(FD43:FD70)</f>
        <v>0.0357142857142857</v>
      </c>
      <c r="FE72" s="115" t="n">
        <f aca="false">AVERAGE(FE43:FE70)</f>
        <v>0.142857142857143</v>
      </c>
      <c r="FF72" s="115" t="n">
        <f aca="false">AVERAGE(FF43:FF70)</f>
        <v>0.178571428571429</v>
      </c>
      <c r="FG72" s="115" t="n">
        <f aca="false">AVERAGE(FG43:FG70)</f>
        <v>0</v>
      </c>
      <c r="FH72" s="115" t="n">
        <f aca="false">AVERAGE(FH43:FH70)</f>
        <v>0</v>
      </c>
      <c r="FI72" s="115" t="n">
        <f aca="false">AVERAGE(FI43:FI70)</f>
        <v>0.214285714285714</v>
      </c>
      <c r="FJ72" s="115" t="n">
        <f aca="false">AVERAGE(FJ43:FJ70)</f>
        <v>0.178571428571429</v>
      </c>
      <c r="FK72" s="115" t="n">
        <f aca="false">AVERAGE(FK43:FK70)</f>
        <v>0</v>
      </c>
      <c r="FL72" s="115" t="n">
        <f aca="false">AVERAGE(FL43:FL70)</f>
        <v>0.0714285714285714</v>
      </c>
      <c r="FM72" s="115" t="n">
        <f aca="false">AVERAGE(FM43:FM70)</f>
        <v>0.0714285714285714</v>
      </c>
      <c r="FN72" s="115" t="n">
        <f aca="false">AVERAGE(FN43:FN70)</f>
        <v>0.892857142857143</v>
      </c>
      <c r="FO72" s="115" t="n">
        <f aca="false">AVERAGE(FO43:FO70)</f>
        <v>0.0714285714285714</v>
      </c>
      <c r="FP72" s="115" t="n">
        <f aca="false">AVERAGE(FP43:FP70)</f>
        <v>0</v>
      </c>
      <c r="FQ72" s="115" t="n">
        <f aca="false">AVERAGE(FQ43:FQ70)</f>
        <v>0.0357142857142857</v>
      </c>
      <c r="FR72" s="115" t="n">
        <f aca="false">AVERAGE(FR43:FR70)</f>
        <v>1.75</v>
      </c>
      <c r="FS72" s="115" t="n">
        <f aca="false">AVERAGE(FS43:FS70)</f>
        <v>0.178571428571429</v>
      </c>
      <c r="FT72" s="115" t="n">
        <f aca="false">AVERAGE(FT43:FT70)</f>
        <v>0.107142857142857</v>
      </c>
      <c r="FU72" s="115" t="n">
        <f aca="false">AVERAGE(FU43:FU70)</f>
        <v>0</v>
      </c>
      <c r="FV72" s="115" t="n">
        <f aca="false">AVERAGE(FV43:FV70)</f>
        <v>1.82142857142857</v>
      </c>
      <c r="FW72" s="115" t="n">
        <f aca="false">AVERAGE(FW43:FW70)</f>
        <v>0.607142857142857</v>
      </c>
      <c r="FX72" s="115" t="n">
        <f aca="false">AVERAGE(FX43:FX70)</f>
        <v>0.392857142857143</v>
      </c>
      <c r="FY72" s="115" t="n">
        <f aca="false">AVERAGE(FY43:FY70)</f>
        <v>0</v>
      </c>
      <c r="FZ72" s="115" t="n">
        <f aca="false">AVERAGE(FZ43:FZ70)</f>
        <v>2.32142857142857</v>
      </c>
      <c r="GA72" s="115" t="n">
        <f aca="false">AVERAGE(GA43:GA70)</f>
        <v>0.535714285714286</v>
      </c>
      <c r="GB72" s="115" t="n">
        <f aca="false">AVERAGE(GB43:GB70)</f>
        <v>0.428571428571429</v>
      </c>
      <c r="GC72" s="115" t="n">
        <f aca="false">AVERAGE(GC43:GC70)</f>
        <v>0</v>
      </c>
      <c r="GD72" s="115" t="n">
        <f aca="false">AVERAGE(GD43:GD70)</f>
        <v>1.92857142857143</v>
      </c>
      <c r="GE72" s="115" t="n">
        <f aca="false">AVERAGE(GE43:GE70)</f>
        <v>0.607142857142857</v>
      </c>
      <c r="GF72" s="115" t="n">
        <f aca="false">AVERAGE(GF43:GF70)</f>
        <v>0.25</v>
      </c>
      <c r="GG72" s="115" t="n">
        <f aca="false">AVERAGE(GG43:GG70)</f>
        <v>0</v>
      </c>
      <c r="GH72" s="115" t="n">
        <f aca="false">AVERAGE(GH43:GH70)</f>
        <v>0.703703703703704</v>
      </c>
      <c r="GI72" s="115" t="n">
        <f aca="false">AVERAGE(GI43:GI70)</f>
        <v>0.0740740740740741</v>
      </c>
      <c r="GJ72" s="115" t="n">
        <f aca="false">AVERAGE(GJ43:GJ70)</f>
        <v>0.111111111111111</v>
      </c>
      <c r="GK72" s="115" t="n">
        <f aca="false">AVERAGE(GK43:GK70)</f>
        <v>0</v>
      </c>
      <c r="GL72" s="115" t="n">
        <f aca="false">AVERAGE(GL43:GL70)</f>
        <v>0.111111111111111</v>
      </c>
      <c r="GM72" s="115" t="n">
        <f aca="false">AVERAGE(GM43:GM70)</f>
        <v>0</v>
      </c>
      <c r="GN72" s="115" t="n">
        <f aca="false">AVERAGE(GN43:GN70)</f>
        <v>0</v>
      </c>
      <c r="GO72" s="115" t="n">
        <f aca="false">AVERAGE(GO43:GO70)</f>
        <v>0</v>
      </c>
      <c r="GP72" s="115" t="n">
        <f aca="false">AVERAGE(GP43:GP70)</f>
        <v>0</v>
      </c>
      <c r="GQ72" s="115" t="n">
        <f aca="false">AVERAGE(GQ43:GQ70)</f>
        <v>0</v>
      </c>
      <c r="GR72" s="115" t="n">
        <f aca="false">AVERAGE(GR43:GR70)</f>
        <v>0</v>
      </c>
      <c r="GS72" s="115" t="n">
        <f aca="false">AVERAGE(GS43:GS70)</f>
        <v>0</v>
      </c>
      <c r="GT72" s="115" t="n">
        <f aca="false">AVERAGE(GT43:GT70)</f>
        <v>0.111111111111111</v>
      </c>
      <c r="GU72" s="115" t="n">
        <f aca="false">AVERAGE(GU43:GU70)</f>
        <v>0</v>
      </c>
      <c r="GV72" s="116" t="n">
        <f aca="false">AVERAGE(GV43:GV70)</f>
        <v>0.037037037037037</v>
      </c>
      <c r="GW72" s="6"/>
      <c r="GX72" s="101" t="s">
        <v>114</v>
      </c>
      <c r="GY72" s="117" t="n">
        <f aca="false">AVERAGE(GY43:GY70)</f>
        <v>0.107142857142857</v>
      </c>
      <c r="GZ72" s="117" t="n">
        <f aca="false">AVERAGE(GZ43:GZ70)</f>
        <v>0.0357142857142857</v>
      </c>
      <c r="HA72" s="117" t="n">
        <f aca="false">AVERAGE(HA43:HA70)</f>
        <v>0.107142857142857</v>
      </c>
      <c r="HB72" s="117" t="n">
        <f aca="false">AVERAGE(HB43:HB70)</f>
        <v>0.571428571428571</v>
      </c>
      <c r="HC72" s="117" t="n">
        <f aca="false">AVERAGE(HC43:HC70)</f>
        <v>3.21428571428571</v>
      </c>
      <c r="HD72" s="117" t="n">
        <f aca="false">AVERAGE(HD43:HD70)</f>
        <v>4.25</v>
      </c>
      <c r="HE72" s="117" t="n">
        <f aca="false">AVERAGE(HE43:HE70)</f>
        <v>4.67857142857143</v>
      </c>
      <c r="HF72" s="117" t="n">
        <f aca="false">AVERAGE(HF43:HF70)</f>
        <v>3.53571428571429</v>
      </c>
      <c r="HG72" s="117" t="n">
        <f aca="false">AVERAGE(HG43:HG70)</f>
        <v>0.925925925925926</v>
      </c>
      <c r="HH72" s="117" t="n">
        <f aca="false">AVERAGE(HH43:HH70)</f>
        <v>0.148148148148148</v>
      </c>
      <c r="HI72" s="117" t="n">
        <f aca="false">AVERAGE(HI43:HI70)</f>
        <v>0.037037037037037</v>
      </c>
      <c r="HJ72" s="117" t="n">
        <f aca="false">AVERAGE(HJ43:HJ70)</f>
        <v>0.0740740740740741</v>
      </c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</row>
    <row r="73" customFormat="false" ht="12.75" hidden="false" customHeight="false" outlineLevel="0" collapsed="false">
      <c r="A73" s="16" t="s">
        <v>181</v>
      </c>
      <c r="B73" s="17" t="n">
        <f aca="false">AVERAGE(E73:AE73)</f>
        <v>0.592592592592593</v>
      </c>
      <c r="C73" s="2" t="n">
        <f aca="false">MIN(E73:AE73)</f>
        <v>0</v>
      </c>
      <c r="D73" s="18" t="n">
        <f aca="false">MAX(E73:AE73)</f>
        <v>2</v>
      </c>
      <c r="E73" s="19" t="n">
        <v>0</v>
      </c>
      <c r="F73" s="19" t="n">
        <v>1</v>
      </c>
      <c r="G73" s="19" t="n">
        <v>0</v>
      </c>
      <c r="H73" s="19" t="n">
        <v>2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2</v>
      </c>
      <c r="N73" s="19" t="n">
        <v>1</v>
      </c>
      <c r="O73" s="19" t="n">
        <v>0</v>
      </c>
      <c r="P73" s="19" t="n">
        <v>0</v>
      </c>
      <c r="Q73" s="19" t="n">
        <v>0</v>
      </c>
      <c r="R73" s="19" t="n">
        <v>2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1</v>
      </c>
      <c r="X73" s="19" t="n">
        <v>2</v>
      </c>
      <c r="Y73" s="22" t="n">
        <v>1</v>
      </c>
      <c r="Z73" s="19" t="n">
        <v>2</v>
      </c>
      <c r="AA73" s="19" t="n">
        <v>0</v>
      </c>
      <c r="AB73" s="19" t="n">
        <v>1</v>
      </c>
      <c r="AC73" s="19" t="n">
        <v>1</v>
      </c>
      <c r="AD73" s="19" t="n">
        <v>0</v>
      </c>
      <c r="AE73" s="19" t="n">
        <v>0</v>
      </c>
      <c r="AF73" s="19" t="n">
        <v>0</v>
      </c>
      <c r="AG73" s="19"/>
      <c r="AH73" s="19"/>
      <c r="CB73" s="6"/>
      <c r="CU73" s="6"/>
      <c r="CV73" s="6"/>
      <c r="CW73" s="6"/>
      <c r="CX73" s="6"/>
      <c r="CY73" s="6"/>
      <c r="CZ73" s="6"/>
      <c r="DA73" s="6"/>
      <c r="DK73" s="43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Z73" s="2"/>
      <c r="FA73" s="118" t="s">
        <v>182</v>
      </c>
      <c r="FB73" s="119" t="s">
        <v>183</v>
      </c>
      <c r="FC73" s="120" t="s">
        <v>184</v>
      </c>
      <c r="FD73" s="121" t="s">
        <v>17</v>
      </c>
      <c r="FE73" s="118" t="s">
        <v>182</v>
      </c>
      <c r="FF73" s="119" t="s">
        <v>183</v>
      </c>
      <c r="FG73" s="120" t="s">
        <v>184</v>
      </c>
      <c r="FH73" s="121" t="s">
        <v>17</v>
      </c>
      <c r="FI73" s="118" t="s">
        <v>182</v>
      </c>
      <c r="FJ73" s="119" t="s">
        <v>183</v>
      </c>
      <c r="FK73" s="120" t="s">
        <v>184</v>
      </c>
      <c r="FL73" s="121" t="s">
        <v>17</v>
      </c>
      <c r="FM73" s="118" t="s">
        <v>182</v>
      </c>
      <c r="FN73" s="119" t="s">
        <v>183</v>
      </c>
      <c r="FO73" s="120" t="s">
        <v>184</v>
      </c>
      <c r="FP73" s="121" t="s">
        <v>17</v>
      </c>
      <c r="FQ73" s="118" t="s">
        <v>182</v>
      </c>
      <c r="FR73" s="119" t="s">
        <v>183</v>
      </c>
      <c r="FS73" s="120" t="s">
        <v>184</v>
      </c>
      <c r="FT73" s="121" t="s">
        <v>17</v>
      </c>
      <c r="FU73" s="118" t="s">
        <v>182</v>
      </c>
      <c r="FV73" s="119" t="s">
        <v>183</v>
      </c>
      <c r="FW73" s="120" t="s">
        <v>184</v>
      </c>
      <c r="FX73" s="121" t="s">
        <v>17</v>
      </c>
      <c r="FY73" s="118" t="s">
        <v>182</v>
      </c>
      <c r="FZ73" s="119" t="s">
        <v>183</v>
      </c>
      <c r="GA73" s="120" t="s">
        <v>184</v>
      </c>
      <c r="GB73" s="121" t="s">
        <v>17</v>
      </c>
      <c r="GC73" s="118" t="s">
        <v>182</v>
      </c>
      <c r="GD73" s="119" t="s">
        <v>183</v>
      </c>
      <c r="GE73" s="120" t="s">
        <v>184</v>
      </c>
      <c r="GF73" s="121" t="s">
        <v>17</v>
      </c>
      <c r="GG73" s="118" t="s">
        <v>182</v>
      </c>
      <c r="GH73" s="119" t="s">
        <v>183</v>
      </c>
      <c r="GI73" s="120" t="s">
        <v>184</v>
      </c>
      <c r="GJ73" s="121" t="s">
        <v>17</v>
      </c>
      <c r="GK73" s="118" t="s">
        <v>182</v>
      </c>
      <c r="GL73" s="119" t="s">
        <v>183</v>
      </c>
      <c r="GM73" s="120" t="s">
        <v>184</v>
      </c>
      <c r="GN73" s="121" t="s">
        <v>17</v>
      </c>
      <c r="GO73" s="118" t="s">
        <v>182</v>
      </c>
      <c r="GP73" s="119" t="s">
        <v>183</v>
      </c>
      <c r="GQ73" s="120" t="s">
        <v>184</v>
      </c>
      <c r="GR73" s="121" t="s">
        <v>17</v>
      </c>
      <c r="GS73" s="118" t="s">
        <v>182</v>
      </c>
      <c r="GT73" s="119" t="s">
        <v>183</v>
      </c>
      <c r="GU73" s="120" t="s">
        <v>184</v>
      </c>
      <c r="GV73" s="121" t="s">
        <v>17</v>
      </c>
      <c r="GW73" s="6"/>
      <c r="GX73" s="6"/>
      <c r="GY73" s="6"/>
      <c r="GZ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</row>
    <row r="74" customFormat="false" ht="12.75" hidden="false" customHeight="false" outlineLevel="0" collapsed="false">
      <c r="A74" s="16" t="s">
        <v>185</v>
      </c>
      <c r="B74" s="17" t="n">
        <f aca="false">AVERAGE(E74:AE74)</f>
        <v>0.666666666666667</v>
      </c>
      <c r="C74" s="2" t="n">
        <f aca="false">MIN(E74:AE74)</f>
        <v>0</v>
      </c>
      <c r="D74" s="18" t="n">
        <f aca="false">MAX(E74:AE74)</f>
        <v>2</v>
      </c>
      <c r="E74" s="19" t="n">
        <v>0</v>
      </c>
      <c r="F74" s="19" t="n">
        <v>1</v>
      </c>
      <c r="G74" s="19" t="n">
        <v>0</v>
      </c>
      <c r="H74" s="19" t="n">
        <v>2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2</v>
      </c>
      <c r="N74" s="19" t="n">
        <v>1</v>
      </c>
      <c r="O74" s="19" t="n">
        <v>0</v>
      </c>
      <c r="P74" s="19" t="n">
        <v>0</v>
      </c>
      <c r="Q74" s="19" t="n">
        <v>0</v>
      </c>
      <c r="R74" s="19" t="n">
        <v>2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1</v>
      </c>
      <c r="X74" s="19" t="n">
        <v>2</v>
      </c>
      <c r="Y74" s="30" t="n">
        <v>2</v>
      </c>
      <c r="Z74" s="19" t="n">
        <v>2</v>
      </c>
      <c r="AA74" s="19" t="n">
        <v>0</v>
      </c>
      <c r="AB74" s="19" t="n">
        <v>1</v>
      </c>
      <c r="AC74" s="19" t="n">
        <v>2</v>
      </c>
      <c r="AD74" s="19" t="n">
        <v>0</v>
      </c>
      <c r="AE74" s="19" t="n">
        <v>0</v>
      </c>
      <c r="AF74" s="19" t="n">
        <v>0</v>
      </c>
      <c r="AG74" s="19"/>
      <c r="AH74" s="19"/>
      <c r="CB74" s="6"/>
      <c r="CU74" s="6"/>
      <c r="CV74" s="6"/>
      <c r="CW74" s="6"/>
      <c r="CX74" s="6"/>
      <c r="CY74" s="6"/>
      <c r="CZ74" s="6"/>
      <c r="DA74" s="6"/>
      <c r="DK74" s="43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</row>
    <row r="75" customFormat="false" ht="12.75" hidden="false" customHeight="false" outlineLevel="0" collapsed="false">
      <c r="A75" s="16" t="s">
        <v>186</v>
      </c>
      <c r="B75" s="17" t="n">
        <f aca="false">AVERAGE(E75:AE75)</f>
        <v>0.666666666666667</v>
      </c>
      <c r="C75" s="2" t="n">
        <f aca="false">MIN(E75:AE75)</f>
        <v>0</v>
      </c>
      <c r="D75" s="18" t="n">
        <f aca="false">MAX(E75:AE75)</f>
        <v>2</v>
      </c>
      <c r="E75" s="19" t="n">
        <v>0</v>
      </c>
      <c r="F75" s="19" t="n">
        <v>1</v>
      </c>
      <c r="G75" s="19" t="n">
        <v>0</v>
      </c>
      <c r="H75" s="19" t="n">
        <v>2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2</v>
      </c>
      <c r="N75" s="19" t="n">
        <v>1</v>
      </c>
      <c r="O75" s="19" t="n">
        <v>0</v>
      </c>
      <c r="P75" s="19" t="n">
        <v>0</v>
      </c>
      <c r="Q75" s="19" t="n">
        <v>0</v>
      </c>
      <c r="R75" s="19" t="n">
        <v>2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1</v>
      </c>
      <c r="X75" s="19" t="n">
        <v>2</v>
      </c>
      <c r="Y75" s="19" t="n">
        <v>2</v>
      </c>
      <c r="Z75" s="19" t="n">
        <v>2</v>
      </c>
      <c r="AA75" s="19" t="n">
        <v>0</v>
      </c>
      <c r="AB75" s="19" t="n">
        <v>1</v>
      </c>
      <c r="AC75" s="19" t="n">
        <v>2</v>
      </c>
      <c r="AD75" s="19" t="n">
        <v>0</v>
      </c>
      <c r="AE75" s="19" t="n">
        <v>0</v>
      </c>
      <c r="AF75" s="19" t="n">
        <v>0</v>
      </c>
      <c r="AG75" s="19"/>
      <c r="AH75" s="19"/>
      <c r="CB75" s="6"/>
      <c r="CU75" s="6"/>
      <c r="CV75" s="6"/>
      <c r="CW75" s="6"/>
      <c r="CX75" s="6"/>
      <c r="CY75" s="6"/>
      <c r="CZ75" s="6"/>
      <c r="DA75" s="6"/>
      <c r="DK75" s="43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</row>
    <row r="76" customFormat="false" ht="12.75" hidden="false" customHeight="false" outlineLevel="0" collapsed="false">
      <c r="A76" s="16" t="s">
        <v>187</v>
      </c>
      <c r="B76" s="17" t="n">
        <f aca="false">AVERAGE(E76:AE76)</f>
        <v>0.666666666666667</v>
      </c>
      <c r="C76" s="2" t="n">
        <f aca="false">MIN(E76:AE76)</f>
        <v>0</v>
      </c>
      <c r="D76" s="18" t="n">
        <f aca="false">MAX(E76:AE76)</f>
        <v>2</v>
      </c>
      <c r="E76" s="19" t="n">
        <v>0</v>
      </c>
      <c r="F76" s="19" t="n">
        <v>1</v>
      </c>
      <c r="G76" s="19" t="n">
        <v>0</v>
      </c>
      <c r="H76" s="19" t="n">
        <v>2</v>
      </c>
      <c r="I76" s="19" t="n">
        <v>0</v>
      </c>
      <c r="J76" s="19" t="n">
        <v>0</v>
      </c>
      <c r="K76" s="19" t="n">
        <v>0</v>
      </c>
      <c r="L76" s="19" t="n">
        <v>0</v>
      </c>
      <c r="M76" s="19" t="n">
        <v>2</v>
      </c>
      <c r="N76" s="19" t="n">
        <v>1</v>
      </c>
      <c r="O76" s="19" t="n">
        <v>0</v>
      </c>
      <c r="P76" s="19" t="n">
        <v>0</v>
      </c>
      <c r="Q76" s="19" t="n">
        <v>0</v>
      </c>
      <c r="R76" s="19" t="n">
        <v>2</v>
      </c>
      <c r="S76" s="19" t="n">
        <v>0</v>
      </c>
      <c r="T76" s="19" t="n">
        <v>0</v>
      </c>
      <c r="U76" s="19" t="n">
        <v>0</v>
      </c>
      <c r="V76" s="19" t="n">
        <v>0</v>
      </c>
      <c r="W76" s="19" t="n">
        <v>1</v>
      </c>
      <c r="X76" s="19" t="n">
        <v>2</v>
      </c>
      <c r="Y76" s="19" t="n">
        <v>2</v>
      </c>
      <c r="Z76" s="19" t="n">
        <v>2</v>
      </c>
      <c r="AA76" s="19" t="n">
        <v>0</v>
      </c>
      <c r="AB76" s="19" t="n">
        <v>1</v>
      </c>
      <c r="AC76" s="19" t="n">
        <v>2</v>
      </c>
      <c r="AD76" s="19" t="n">
        <v>0</v>
      </c>
      <c r="AE76" s="19" t="n">
        <v>0</v>
      </c>
      <c r="AF76" s="19" t="n">
        <v>0</v>
      </c>
      <c r="AG76" s="19"/>
      <c r="AH76" s="19"/>
      <c r="CB76" s="6"/>
      <c r="CU76" s="6"/>
      <c r="CV76" s="6"/>
      <c r="CW76" s="6"/>
      <c r="CX76" s="6"/>
      <c r="CY76" s="6"/>
      <c r="CZ76" s="6"/>
      <c r="DA76" s="6"/>
      <c r="DK76" s="43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</row>
    <row r="77" customFormat="false" ht="12.75" hidden="false" customHeight="false" outlineLevel="0" collapsed="false">
      <c r="A77" s="16" t="s">
        <v>188</v>
      </c>
      <c r="B77" s="17" t="n">
        <f aca="false">AVERAGE(E77:AE77)</f>
        <v>0.666666666666667</v>
      </c>
      <c r="C77" s="2" t="n">
        <f aca="false">MIN(E77:AE77)</f>
        <v>0</v>
      </c>
      <c r="D77" s="18" t="n">
        <f aca="false">MAX(E77:AE77)</f>
        <v>2</v>
      </c>
      <c r="E77" s="19" t="n">
        <v>0</v>
      </c>
      <c r="F77" s="19" t="n">
        <v>1</v>
      </c>
      <c r="G77" s="19" t="n">
        <v>0</v>
      </c>
      <c r="H77" s="19" t="n">
        <v>2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2</v>
      </c>
      <c r="N77" s="19" t="n">
        <v>1</v>
      </c>
      <c r="O77" s="19" t="n">
        <v>0</v>
      </c>
      <c r="P77" s="19" t="n">
        <v>0</v>
      </c>
      <c r="Q77" s="19" t="n">
        <v>0</v>
      </c>
      <c r="R77" s="19" t="n">
        <v>2</v>
      </c>
      <c r="S77" s="19" t="n">
        <v>0</v>
      </c>
      <c r="T77" s="19" t="n">
        <v>0</v>
      </c>
      <c r="U77" s="19" t="n">
        <v>0</v>
      </c>
      <c r="V77" s="19" t="n">
        <v>0</v>
      </c>
      <c r="W77" s="19" t="n">
        <v>1</v>
      </c>
      <c r="X77" s="19" t="n">
        <v>2</v>
      </c>
      <c r="Y77" s="19" t="n">
        <v>2</v>
      </c>
      <c r="Z77" s="22" t="n">
        <v>2</v>
      </c>
      <c r="AA77" s="19" t="n">
        <v>0</v>
      </c>
      <c r="AB77" s="19" t="n">
        <v>1</v>
      </c>
      <c r="AC77" s="19" t="n">
        <v>2</v>
      </c>
      <c r="AD77" s="19" t="n">
        <v>0</v>
      </c>
      <c r="AE77" s="19" t="n">
        <v>0</v>
      </c>
      <c r="AF77" s="19" t="n">
        <v>0</v>
      </c>
      <c r="AG77" s="19"/>
      <c r="AH77" s="19"/>
      <c r="CB77" s="6"/>
      <c r="CU77" s="6"/>
      <c r="CV77" s="6"/>
      <c r="CW77" s="6"/>
      <c r="CX77" s="6"/>
      <c r="CY77" s="6"/>
      <c r="CZ77" s="6"/>
      <c r="DA77" s="6"/>
      <c r="DK77" s="43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</row>
    <row r="78" customFormat="false" ht="12.75" hidden="false" customHeight="false" outlineLevel="0" collapsed="false">
      <c r="A78" s="16" t="s">
        <v>189</v>
      </c>
      <c r="B78" s="17" t="n">
        <f aca="false">AVERAGE(E78:AE78)</f>
        <v>0.703703703703704</v>
      </c>
      <c r="C78" s="2" t="n">
        <f aca="false">MIN(E78:AE78)</f>
        <v>0</v>
      </c>
      <c r="D78" s="18" t="n">
        <f aca="false">MAX(E78:AE78)</f>
        <v>2</v>
      </c>
      <c r="E78" s="19" t="n">
        <v>0</v>
      </c>
      <c r="F78" s="19" t="n">
        <v>1</v>
      </c>
      <c r="G78" s="19" t="n">
        <v>0</v>
      </c>
      <c r="H78" s="19" t="n">
        <v>2</v>
      </c>
      <c r="I78" s="19" t="n">
        <v>0</v>
      </c>
      <c r="J78" s="19" t="n">
        <v>0</v>
      </c>
      <c r="K78" s="19" t="n">
        <v>0</v>
      </c>
      <c r="L78" s="19" t="n">
        <v>0</v>
      </c>
      <c r="M78" s="19" t="n">
        <v>2</v>
      </c>
      <c r="N78" s="19" t="n">
        <v>1</v>
      </c>
      <c r="O78" s="19" t="n">
        <v>0</v>
      </c>
      <c r="P78" s="30" t="n">
        <v>1</v>
      </c>
      <c r="Q78" s="19" t="n">
        <v>0</v>
      </c>
      <c r="R78" s="19" t="n">
        <v>2</v>
      </c>
      <c r="S78" s="19" t="n">
        <v>0</v>
      </c>
      <c r="T78" s="19" t="n">
        <v>0</v>
      </c>
      <c r="U78" s="19" t="n">
        <v>0</v>
      </c>
      <c r="V78" s="19" t="n">
        <v>0</v>
      </c>
      <c r="W78" s="19" t="n">
        <v>1</v>
      </c>
      <c r="X78" s="19" t="n">
        <v>2</v>
      </c>
      <c r="Y78" s="19" t="n">
        <v>2</v>
      </c>
      <c r="Z78" s="19" t="n">
        <v>2</v>
      </c>
      <c r="AA78" s="19" t="n">
        <v>0</v>
      </c>
      <c r="AB78" s="19" t="n">
        <v>1</v>
      </c>
      <c r="AC78" s="19" t="n">
        <v>2</v>
      </c>
      <c r="AD78" s="19" t="n">
        <v>0</v>
      </c>
      <c r="AE78" s="19" t="n">
        <v>0</v>
      </c>
      <c r="AF78" s="19" t="n">
        <v>0</v>
      </c>
      <c r="AG78" s="19"/>
      <c r="AH78" s="19"/>
      <c r="CB78" s="6"/>
      <c r="CU78" s="6"/>
      <c r="CV78" s="6"/>
      <c r="CW78" s="6"/>
      <c r="CX78" s="6"/>
      <c r="CY78" s="6"/>
      <c r="CZ78" s="6"/>
      <c r="DA78" s="6"/>
      <c r="DK78" s="43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</row>
    <row r="79" customFormat="false" ht="12.75" hidden="false" customHeight="false" outlineLevel="0" collapsed="false">
      <c r="A79" s="16" t="s">
        <v>190</v>
      </c>
      <c r="B79" s="17" t="n">
        <f aca="false">AVERAGE(E79:AE79)</f>
        <v>0.740740740740741</v>
      </c>
      <c r="C79" s="2" t="n">
        <f aca="false">MIN(E79:AE79)</f>
        <v>0</v>
      </c>
      <c r="D79" s="18" t="n">
        <f aca="false">MAX(E79:AE79)</f>
        <v>2</v>
      </c>
      <c r="E79" s="19" t="n">
        <v>0</v>
      </c>
      <c r="F79" s="30" t="n">
        <v>2</v>
      </c>
      <c r="G79" s="19" t="n">
        <v>0</v>
      </c>
      <c r="H79" s="19" t="n">
        <v>2</v>
      </c>
      <c r="I79" s="19" t="n">
        <v>0</v>
      </c>
      <c r="J79" s="19" t="n">
        <v>0</v>
      </c>
      <c r="K79" s="19" t="n">
        <v>0</v>
      </c>
      <c r="L79" s="19" t="n">
        <v>0</v>
      </c>
      <c r="M79" s="19" t="n">
        <v>2</v>
      </c>
      <c r="N79" s="19" t="n">
        <v>1</v>
      </c>
      <c r="O79" s="19" t="n">
        <v>0</v>
      </c>
      <c r="P79" s="19" t="n">
        <v>1</v>
      </c>
      <c r="Q79" s="19" t="n">
        <v>0</v>
      </c>
      <c r="R79" s="19" t="n">
        <v>2</v>
      </c>
      <c r="S79" s="19" t="n">
        <v>0</v>
      </c>
      <c r="T79" s="19" t="n">
        <v>0</v>
      </c>
      <c r="U79" s="19" t="n">
        <v>0</v>
      </c>
      <c r="V79" s="19" t="n">
        <v>0</v>
      </c>
      <c r="W79" s="19" t="n">
        <v>1</v>
      </c>
      <c r="X79" s="19" t="n">
        <v>2</v>
      </c>
      <c r="Y79" s="19" t="n">
        <v>2</v>
      </c>
      <c r="Z79" s="19" t="n">
        <v>2</v>
      </c>
      <c r="AA79" s="19" t="n">
        <v>0</v>
      </c>
      <c r="AB79" s="19" t="n">
        <v>1</v>
      </c>
      <c r="AC79" s="19" t="n">
        <v>2</v>
      </c>
      <c r="AD79" s="19" t="n">
        <v>0</v>
      </c>
      <c r="AE79" s="19" t="n">
        <v>0</v>
      </c>
      <c r="AF79" s="19" t="n">
        <v>0</v>
      </c>
      <c r="AG79" s="19"/>
      <c r="AH79" s="19"/>
      <c r="CB79" s="6"/>
      <c r="CU79" s="6"/>
      <c r="CV79" s="6"/>
      <c r="CW79" s="6"/>
      <c r="CX79" s="6"/>
      <c r="CY79" s="6"/>
      <c r="CZ79" s="6"/>
      <c r="DA79" s="6"/>
      <c r="DK79" s="43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</row>
    <row r="80" customFormat="false" ht="12.75" hidden="false" customHeight="false" outlineLevel="0" collapsed="false">
      <c r="A80" s="16" t="s">
        <v>191</v>
      </c>
      <c r="B80" s="17" t="n">
        <f aca="false">AVERAGE(E80:AE80)</f>
        <v>0.740740740740741</v>
      </c>
      <c r="C80" s="2" t="n">
        <f aca="false">MIN(E80:AE80)</f>
        <v>0</v>
      </c>
      <c r="D80" s="18" t="n">
        <f aca="false">MAX(E80:AE80)</f>
        <v>2</v>
      </c>
      <c r="E80" s="19" t="n">
        <v>0</v>
      </c>
      <c r="F80" s="19" t="n">
        <v>2</v>
      </c>
      <c r="G80" s="19" t="n">
        <v>0</v>
      </c>
      <c r="H80" s="19" t="n">
        <v>2</v>
      </c>
      <c r="I80" s="19" t="n">
        <v>0</v>
      </c>
      <c r="J80" s="19" t="n">
        <v>0</v>
      </c>
      <c r="K80" s="19" t="n">
        <v>0</v>
      </c>
      <c r="L80" s="19" t="n">
        <v>0</v>
      </c>
      <c r="M80" s="19" t="n">
        <v>2</v>
      </c>
      <c r="N80" s="19" t="n">
        <v>1</v>
      </c>
      <c r="O80" s="19" t="n">
        <v>0</v>
      </c>
      <c r="P80" s="19" t="n">
        <v>1</v>
      </c>
      <c r="Q80" s="19" t="n">
        <v>0</v>
      </c>
      <c r="R80" s="19" t="n">
        <v>2</v>
      </c>
      <c r="S80" s="19" t="n">
        <v>0</v>
      </c>
      <c r="T80" s="19" t="n">
        <v>0</v>
      </c>
      <c r="U80" s="19" t="n">
        <v>0</v>
      </c>
      <c r="V80" s="19" t="n">
        <v>0</v>
      </c>
      <c r="W80" s="19" t="n">
        <v>1</v>
      </c>
      <c r="X80" s="19" t="n">
        <v>2</v>
      </c>
      <c r="Y80" s="19" t="n">
        <v>2</v>
      </c>
      <c r="Z80" s="19" t="n">
        <v>2</v>
      </c>
      <c r="AA80" s="19" t="n">
        <v>0</v>
      </c>
      <c r="AB80" s="19" t="n">
        <v>1</v>
      </c>
      <c r="AC80" s="19" t="n">
        <v>2</v>
      </c>
      <c r="AD80" s="19" t="n">
        <v>0</v>
      </c>
      <c r="AE80" s="19" t="n">
        <v>0</v>
      </c>
      <c r="AF80" s="19" t="n">
        <v>0</v>
      </c>
      <c r="AG80" s="19"/>
      <c r="AH80" s="19"/>
      <c r="CB80" s="6"/>
      <c r="CU80" s="6"/>
      <c r="CV80" s="6"/>
      <c r="CW80" s="6"/>
      <c r="CX80" s="6"/>
      <c r="CY80" s="6"/>
      <c r="CZ80" s="6"/>
      <c r="DA80" s="6"/>
      <c r="DK80" s="43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</row>
    <row r="81" customFormat="false" ht="12.75" hidden="false" customHeight="false" outlineLevel="0" collapsed="false">
      <c r="A81" s="16" t="s">
        <v>192</v>
      </c>
      <c r="B81" s="17" t="n">
        <f aca="false">AVERAGE(E81:AE81)</f>
        <v>0.740740740740741</v>
      </c>
      <c r="C81" s="2" t="n">
        <f aca="false">MIN(E81:AE81)</f>
        <v>0</v>
      </c>
      <c r="D81" s="18" t="n">
        <f aca="false">MAX(E81:AE81)</f>
        <v>2</v>
      </c>
      <c r="E81" s="19" t="n">
        <v>0</v>
      </c>
      <c r="F81" s="19" t="n">
        <v>2</v>
      </c>
      <c r="G81" s="19" t="n">
        <v>0</v>
      </c>
      <c r="H81" s="19" t="n">
        <v>2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2</v>
      </c>
      <c r="N81" s="19" t="n">
        <v>1</v>
      </c>
      <c r="O81" s="19" t="n">
        <v>0</v>
      </c>
      <c r="P81" s="19" t="n">
        <v>1</v>
      </c>
      <c r="Q81" s="19" t="n">
        <v>0</v>
      </c>
      <c r="R81" s="19" t="n">
        <v>2</v>
      </c>
      <c r="S81" s="19" t="n">
        <v>0</v>
      </c>
      <c r="T81" s="19" t="n">
        <v>0</v>
      </c>
      <c r="U81" s="19" t="n">
        <v>0</v>
      </c>
      <c r="V81" s="19" t="n">
        <v>0</v>
      </c>
      <c r="W81" s="19" t="n">
        <v>1</v>
      </c>
      <c r="X81" s="19" t="n">
        <v>2</v>
      </c>
      <c r="Y81" s="19" t="n">
        <v>2</v>
      </c>
      <c r="Z81" s="19" t="n">
        <v>2</v>
      </c>
      <c r="AA81" s="19" t="n">
        <v>0</v>
      </c>
      <c r="AB81" s="19" t="n">
        <v>1</v>
      </c>
      <c r="AC81" s="19" t="n">
        <v>2</v>
      </c>
      <c r="AD81" s="19" t="n">
        <v>0</v>
      </c>
      <c r="AE81" s="19" t="n">
        <v>0</v>
      </c>
      <c r="AF81" s="19" t="n">
        <v>0</v>
      </c>
      <c r="AG81" s="19"/>
      <c r="AH81" s="19"/>
      <c r="CB81" s="6"/>
      <c r="CU81" s="6"/>
      <c r="CV81" s="6"/>
      <c r="CW81" s="6"/>
      <c r="CX81" s="6"/>
      <c r="CY81" s="6"/>
      <c r="CZ81" s="6"/>
      <c r="DA81" s="6"/>
      <c r="DK81" s="43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</row>
    <row r="82" customFormat="false" ht="12.75" hidden="false" customHeight="false" outlineLevel="0" collapsed="false">
      <c r="A82" s="16" t="s">
        <v>193</v>
      </c>
      <c r="B82" s="17" t="n">
        <f aca="false">AVERAGE(E82:AE82)</f>
        <v>0.740740740740741</v>
      </c>
      <c r="C82" s="2" t="n">
        <f aca="false">MIN(E82:AE82)</f>
        <v>0</v>
      </c>
      <c r="D82" s="18" t="n">
        <f aca="false">MAX(E82:AE82)</f>
        <v>2</v>
      </c>
      <c r="E82" s="19" t="n">
        <v>0</v>
      </c>
      <c r="F82" s="19" t="n">
        <v>2</v>
      </c>
      <c r="G82" s="19" t="n">
        <v>0</v>
      </c>
      <c r="H82" s="19" t="n">
        <v>2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2</v>
      </c>
      <c r="N82" s="22" t="n">
        <v>1</v>
      </c>
      <c r="O82" s="19" t="n">
        <v>0</v>
      </c>
      <c r="P82" s="19" t="n">
        <v>1</v>
      </c>
      <c r="Q82" s="19" t="n">
        <v>0</v>
      </c>
      <c r="R82" s="19" t="n">
        <v>2</v>
      </c>
      <c r="S82" s="19" t="n">
        <v>0</v>
      </c>
      <c r="T82" s="19" t="n">
        <v>0</v>
      </c>
      <c r="U82" s="19" t="n">
        <v>0</v>
      </c>
      <c r="V82" s="19" t="n">
        <v>0</v>
      </c>
      <c r="W82" s="19" t="n">
        <v>1</v>
      </c>
      <c r="X82" s="19" t="n">
        <v>2</v>
      </c>
      <c r="Y82" s="19" t="n">
        <v>2</v>
      </c>
      <c r="Z82" s="19" t="n">
        <v>2</v>
      </c>
      <c r="AA82" s="19" t="n">
        <v>0</v>
      </c>
      <c r="AB82" s="19" t="n">
        <v>1</v>
      </c>
      <c r="AC82" s="19" t="n">
        <v>2</v>
      </c>
      <c r="AD82" s="19" t="n">
        <v>0</v>
      </c>
      <c r="AE82" s="19" t="n">
        <v>0</v>
      </c>
      <c r="AF82" s="19" t="n">
        <v>0</v>
      </c>
      <c r="AG82" s="19"/>
      <c r="AH82" s="19"/>
      <c r="CB82" s="6"/>
      <c r="CU82" s="6"/>
      <c r="CV82" s="6"/>
      <c r="CW82" s="6"/>
      <c r="CX82" s="6"/>
      <c r="CY82" s="6"/>
      <c r="CZ82" s="6"/>
      <c r="DA82" s="6"/>
      <c r="DK82" s="43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</row>
    <row r="83" customFormat="false" ht="12.75" hidden="false" customHeight="false" outlineLevel="0" collapsed="false">
      <c r="A83" s="16" t="s">
        <v>194</v>
      </c>
      <c r="B83" s="17" t="n">
        <f aca="false">AVERAGE(E83:AE83)</f>
        <v>0.740740740740741</v>
      </c>
      <c r="C83" s="2" t="n">
        <f aca="false">MIN(E83:AE83)</f>
        <v>0</v>
      </c>
      <c r="D83" s="18" t="n">
        <f aca="false">MAX(E83:AE83)</f>
        <v>2</v>
      </c>
      <c r="E83" s="19" t="n">
        <v>0</v>
      </c>
      <c r="F83" s="19" t="n">
        <v>2</v>
      </c>
      <c r="G83" s="19" t="n">
        <v>0</v>
      </c>
      <c r="H83" s="19" t="n">
        <v>2</v>
      </c>
      <c r="I83" s="19" t="n">
        <v>0</v>
      </c>
      <c r="J83" s="19" t="n">
        <v>0</v>
      </c>
      <c r="K83" s="19" t="n">
        <v>0</v>
      </c>
      <c r="L83" s="19" t="n">
        <v>0</v>
      </c>
      <c r="M83" s="19" t="n">
        <v>2</v>
      </c>
      <c r="N83" s="19" t="n">
        <v>1</v>
      </c>
      <c r="O83" s="19" t="n">
        <v>0</v>
      </c>
      <c r="P83" s="19" t="n">
        <v>1</v>
      </c>
      <c r="Q83" s="19" t="n">
        <v>0</v>
      </c>
      <c r="R83" s="19" t="n">
        <v>2</v>
      </c>
      <c r="S83" s="19" t="n">
        <v>0</v>
      </c>
      <c r="T83" s="19" t="n">
        <v>0</v>
      </c>
      <c r="U83" s="19" t="n">
        <v>0</v>
      </c>
      <c r="V83" s="19" t="n">
        <v>0</v>
      </c>
      <c r="W83" s="19" t="n">
        <v>1</v>
      </c>
      <c r="X83" s="19" t="n">
        <v>2</v>
      </c>
      <c r="Y83" s="19" t="n">
        <v>2</v>
      </c>
      <c r="Z83" s="19" t="n">
        <v>2</v>
      </c>
      <c r="AA83" s="19" t="n">
        <v>0</v>
      </c>
      <c r="AB83" s="19" t="n">
        <v>1</v>
      </c>
      <c r="AC83" s="19" t="n">
        <v>2</v>
      </c>
      <c r="AD83" s="19" t="n">
        <v>0</v>
      </c>
      <c r="AE83" s="19" t="n">
        <v>0</v>
      </c>
      <c r="AF83" s="19" t="n">
        <v>0</v>
      </c>
      <c r="AG83" s="19"/>
      <c r="AH83" s="19"/>
      <c r="CB83" s="6"/>
      <c r="CU83" s="6"/>
      <c r="CV83" s="6"/>
      <c r="CW83" s="6"/>
      <c r="CX83" s="6"/>
      <c r="CY83" s="6"/>
      <c r="CZ83" s="6"/>
      <c r="DA83" s="6"/>
      <c r="DK83" s="43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</row>
    <row r="84" customFormat="false" ht="12.75" hidden="false" customHeight="false" outlineLevel="0" collapsed="false">
      <c r="A84" s="16" t="s">
        <v>195</v>
      </c>
      <c r="B84" s="17" t="n">
        <f aca="false">AVERAGE(E84:AE84)</f>
        <v>0.740740740740741</v>
      </c>
      <c r="C84" s="2" t="n">
        <f aca="false">MIN(E84:AE84)</f>
        <v>0</v>
      </c>
      <c r="D84" s="18" t="n">
        <f aca="false">MAX(E84:AE84)</f>
        <v>2</v>
      </c>
      <c r="E84" s="19" t="n">
        <v>0</v>
      </c>
      <c r="F84" s="19" t="n">
        <v>2</v>
      </c>
      <c r="G84" s="19" t="n">
        <v>0</v>
      </c>
      <c r="H84" s="19" t="n">
        <v>2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2</v>
      </c>
      <c r="N84" s="19" t="n">
        <v>1</v>
      </c>
      <c r="O84" s="19" t="n">
        <v>0</v>
      </c>
      <c r="P84" s="19" t="n">
        <v>1</v>
      </c>
      <c r="Q84" s="19" t="n">
        <v>0</v>
      </c>
      <c r="R84" s="19" t="n">
        <v>2</v>
      </c>
      <c r="S84" s="19" t="n">
        <v>0</v>
      </c>
      <c r="T84" s="19" t="n">
        <v>0</v>
      </c>
      <c r="U84" s="19" t="n">
        <v>0</v>
      </c>
      <c r="V84" s="19" t="n">
        <v>0</v>
      </c>
      <c r="W84" s="19" t="n">
        <v>1</v>
      </c>
      <c r="X84" s="19" t="n">
        <v>2</v>
      </c>
      <c r="Y84" s="19" t="n">
        <v>2</v>
      </c>
      <c r="Z84" s="19" t="n">
        <v>2</v>
      </c>
      <c r="AA84" s="19" t="n">
        <v>0</v>
      </c>
      <c r="AB84" s="19" t="n">
        <v>1</v>
      </c>
      <c r="AC84" s="19" t="n">
        <v>2</v>
      </c>
      <c r="AD84" s="19" t="n">
        <v>0</v>
      </c>
      <c r="AE84" s="19" t="n">
        <v>0</v>
      </c>
      <c r="AF84" s="19" t="n">
        <v>0</v>
      </c>
      <c r="AG84" s="19"/>
      <c r="AH84" s="19"/>
      <c r="CB84" s="6"/>
      <c r="CU84" s="6"/>
      <c r="CV84" s="6"/>
      <c r="CW84" s="6"/>
      <c r="CX84" s="6"/>
      <c r="CY84" s="6"/>
      <c r="CZ84" s="6"/>
      <c r="DA84" s="6"/>
      <c r="DK84" s="43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</row>
    <row r="85" customFormat="false" ht="12.75" hidden="false" customHeight="false" outlineLevel="0" collapsed="false">
      <c r="A85" s="16" t="s">
        <v>196</v>
      </c>
      <c r="B85" s="17" t="n">
        <f aca="false">AVERAGE(E85:AE85)</f>
        <v>0.740740740740741</v>
      </c>
      <c r="C85" s="2" t="n">
        <f aca="false">MIN(E85:AE85)</f>
        <v>0</v>
      </c>
      <c r="D85" s="18" t="n">
        <f aca="false">MAX(E85:AE85)</f>
        <v>2</v>
      </c>
      <c r="E85" s="19" t="n">
        <v>0</v>
      </c>
      <c r="F85" s="19" t="n">
        <v>2</v>
      </c>
      <c r="G85" s="19" t="n">
        <v>0</v>
      </c>
      <c r="H85" s="19" t="n">
        <v>2</v>
      </c>
      <c r="I85" s="19" t="n">
        <v>0</v>
      </c>
      <c r="J85" s="19" t="n">
        <v>0</v>
      </c>
      <c r="K85" s="19" t="n">
        <v>0</v>
      </c>
      <c r="L85" s="19" t="n">
        <v>0</v>
      </c>
      <c r="M85" s="19" t="n">
        <v>2</v>
      </c>
      <c r="N85" s="19" t="n">
        <v>1</v>
      </c>
      <c r="O85" s="19" t="n">
        <v>0</v>
      </c>
      <c r="P85" s="19" t="n">
        <v>1</v>
      </c>
      <c r="Q85" s="19" t="n">
        <v>0</v>
      </c>
      <c r="R85" s="19" t="n">
        <v>2</v>
      </c>
      <c r="S85" s="19" t="n">
        <v>0</v>
      </c>
      <c r="T85" s="19" t="n">
        <v>0</v>
      </c>
      <c r="U85" s="19" t="n">
        <v>0</v>
      </c>
      <c r="V85" s="19" t="n">
        <v>0</v>
      </c>
      <c r="W85" s="19" t="n">
        <v>1</v>
      </c>
      <c r="X85" s="19" t="n">
        <v>2</v>
      </c>
      <c r="Y85" s="19" t="n">
        <v>2</v>
      </c>
      <c r="Z85" s="19" t="n">
        <v>2</v>
      </c>
      <c r="AA85" s="19" t="n">
        <v>0</v>
      </c>
      <c r="AB85" s="19" t="n">
        <v>1</v>
      </c>
      <c r="AC85" s="19" t="n">
        <v>2</v>
      </c>
      <c r="AD85" s="19" t="n">
        <v>0</v>
      </c>
      <c r="AE85" s="19" t="n">
        <v>0</v>
      </c>
      <c r="AF85" s="19" t="n">
        <v>0</v>
      </c>
      <c r="AG85" s="19"/>
      <c r="AH85" s="19"/>
      <c r="CB85" s="6"/>
      <c r="CU85" s="6"/>
      <c r="CV85" s="6"/>
      <c r="CW85" s="6"/>
      <c r="CX85" s="6"/>
      <c r="CY85" s="6"/>
      <c r="CZ85" s="6"/>
      <c r="DA85" s="6"/>
      <c r="DK85" s="43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</row>
    <row r="86" customFormat="false" ht="12.75" hidden="false" customHeight="false" outlineLevel="0" collapsed="false">
      <c r="A86" s="16" t="s">
        <v>197</v>
      </c>
      <c r="B86" s="17" t="n">
        <f aca="false">AVERAGE(E86:AE86)</f>
        <v>0.740740740740741</v>
      </c>
      <c r="C86" s="2" t="n">
        <f aca="false">MIN(E86:AE86)</f>
        <v>0</v>
      </c>
      <c r="D86" s="18" t="n">
        <f aca="false">MAX(E86:AE86)</f>
        <v>2</v>
      </c>
      <c r="E86" s="19" t="n">
        <v>0</v>
      </c>
      <c r="F86" s="19" t="n">
        <v>2</v>
      </c>
      <c r="G86" s="19" t="n">
        <v>0</v>
      </c>
      <c r="H86" s="19" t="n">
        <v>2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2</v>
      </c>
      <c r="N86" s="19" t="n">
        <v>1</v>
      </c>
      <c r="O86" s="19" t="n">
        <v>0</v>
      </c>
      <c r="P86" s="19" t="n">
        <v>1</v>
      </c>
      <c r="Q86" s="19" t="n">
        <v>0</v>
      </c>
      <c r="R86" s="19" t="n">
        <v>2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1</v>
      </c>
      <c r="X86" s="19" t="n">
        <v>2</v>
      </c>
      <c r="Y86" s="19" t="n">
        <v>2</v>
      </c>
      <c r="Z86" s="19" t="n">
        <v>2</v>
      </c>
      <c r="AA86" s="19" t="n">
        <v>0</v>
      </c>
      <c r="AB86" s="19" t="n">
        <v>1</v>
      </c>
      <c r="AC86" s="19" t="n">
        <v>2</v>
      </c>
      <c r="AD86" s="19" t="n">
        <v>0</v>
      </c>
      <c r="AE86" s="19" t="n">
        <v>0</v>
      </c>
      <c r="AF86" s="19" t="n">
        <v>0</v>
      </c>
      <c r="AG86" s="19"/>
      <c r="AH86" s="19"/>
      <c r="CB86" s="6"/>
      <c r="CU86" s="6"/>
      <c r="CV86" s="6"/>
      <c r="CW86" s="6"/>
      <c r="CX86" s="6"/>
      <c r="CY86" s="6"/>
      <c r="CZ86" s="6"/>
      <c r="DA86" s="6"/>
      <c r="DK86" s="43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</row>
    <row r="87" customFormat="false" ht="12.75" hidden="false" customHeight="false" outlineLevel="0" collapsed="false">
      <c r="A87" s="16" t="s">
        <v>198</v>
      </c>
      <c r="B87" s="17" t="n">
        <f aca="false">AVERAGE(E87:AE87)</f>
        <v>0.777777777777778</v>
      </c>
      <c r="C87" s="2" t="n">
        <f aca="false">MIN(E87:AE87)</f>
        <v>0</v>
      </c>
      <c r="D87" s="18" t="n">
        <f aca="false">MAX(E87:AE87)</f>
        <v>2</v>
      </c>
      <c r="E87" s="19" t="n">
        <v>0</v>
      </c>
      <c r="F87" s="19" t="n">
        <v>2</v>
      </c>
      <c r="G87" s="19" t="n">
        <v>0</v>
      </c>
      <c r="H87" s="19" t="n">
        <v>2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2</v>
      </c>
      <c r="N87" s="19" t="n">
        <v>1</v>
      </c>
      <c r="O87" s="122" t="n">
        <v>1</v>
      </c>
      <c r="P87" s="19" t="n">
        <v>1</v>
      </c>
      <c r="Q87" s="19" t="n">
        <v>0</v>
      </c>
      <c r="R87" s="19" t="n">
        <v>2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1</v>
      </c>
      <c r="X87" s="19" t="n">
        <v>2</v>
      </c>
      <c r="Y87" s="19" t="n">
        <v>2</v>
      </c>
      <c r="Z87" s="19" t="n">
        <v>2</v>
      </c>
      <c r="AA87" s="19" t="n">
        <v>0</v>
      </c>
      <c r="AB87" s="19" t="n">
        <v>1</v>
      </c>
      <c r="AC87" s="19" t="n">
        <v>2</v>
      </c>
      <c r="AD87" s="19" t="n">
        <v>0</v>
      </c>
      <c r="AE87" s="19" t="n">
        <v>0</v>
      </c>
      <c r="AF87" s="19" t="n">
        <v>0</v>
      </c>
      <c r="AG87" s="19"/>
      <c r="AH87" s="19"/>
      <c r="CB87" s="6"/>
      <c r="CU87" s="6"/>
      <c r="CV87" s="6"/>
      <c r="CW87" s="6"/>
      <c r="CX87" s="6"/>
      <c r="CY87" s="6"/>
      <c r="CZ87" s="6"/>
      <c r="DA87" s="6"/>
      <c r="DK87" s="43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</row>
    <row r="88" customFormat="false" ht="12.75" hidden="false" customHeight="false" outlineLevel="0" collapsed="false">
      <c r="A88" s="16" t="s">
        <v>199</v>
      </c>
      <c r="B88" s="17" t="n">
        <f aca="false">AVERAGE(E88:AE88)</f>
        <v>0.777777777777778</v>
      </c>
      <c r="C88" s="2" t="n">
        <f aca="false">MIN(E88:AE88)</f>
        <v>0</v>
      </c>
      <c r="D88" s="18" t="n">
        <f aca="false">MAX(E88:AE88)</f>
        <v>2</v>
      </c>
      <c r="E88" s="19" t="n">
        <v>0</v>
      </c>
      <c r="F88" s="19" t="n">
        <v>2</v>
      </c>
      <c r="G88" s="19" t="n">
        <v>0</v>
      </c>
      <c r="H88" s="19" t="n">
        <v>2</v>
      </c>
      <c r="I88" s="19" t="n">
        <v>0</v>
      </c>
      <c r="J88" s="19" t="n">
        <v>0</v>
      </c>
      <c r="K88" s="19" t="n">
        <v>0</v>
      </c>
      <c r="L88" s="19" t="n">
        <v>0</v>
      </c>
      <c r="M88" s="19" t="n">
        <v>2</v>
      </c>
      <c r="N88" s="19" t="n">
        <v>1</v>
      </c>
      <c r="O88" s="22" t="n">
        <v>1</v>
      </c>
      <c r="P88" s="19" t="n">
        <v>1</v>
      </c>
      <c r="Q88" s="19" t="n">
        <v>0</v>
      </c>
      <c r="R88" s="19" t="n">
        <v>2</v>
      </c>
      <c r="S88" s="19" t="n">
        <v>0</v>
      </c>
      <c r="T88" s="19" t="n">
        <v>0</v>
      </c>
      <c r="U88" s="19" t="n">
        <v>0</v>
      </c>
      <c r="V88" s="19" t="n">
        <v>0</v>
      </c>
      <c r="W88" s="19" t="n">
        <v>1</v>
      </c>
      <c r="X88" s="19" t="n">
        <v>2</v>
      </c>
      <c r="Y88" s="19" t="n">
        <v>2</v>
      </c>
      <c r="Z88" s="19" t="n">
        <v>2</v>
      </c>
      <c r="AA88" s="19" t="n">
        <v>0</v>
      </c>
      <c r="AB88" s="19" t="n">
        <v>1</v>
      </c>
      <c r="AC88" s="19" t="n">
        <v>2</v>
      </c>
      <c r="AD88" s="19" t="n">
        <v>0</v>
      </c>
      <c r="AE88" s="19" t="n">
        <v>0</v>
      </c>
      <c r="AF88" s="19" t="n">
        <v>0</v>
      </c>
      <c r="AG88" s="19"/>
      <c r="AH88" s="19"/>
      <c r="CB88" s="6"/>
      <c r="CU88" s="6"/>
      <c r="CV88" s="6"/>
      <c r="CW88" s="6"/>
      <c r="CX88" s="6"/>
      <c r="CY88" s="6"/>
      <c r="CZ88" s="6"/>
      <c r="DA88" s="6"/>
      <c r="DK88" s="43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</row>
    <row r="89" customFormat="false" ht="12.75" hidden="false" customHeight="false" outlineLevel="0" collapsed="false">
      <c r="A89" s="16" t="s">
        <v>200</v>
      </c>
      <c r="B89" s="17" t="n">
        <f aca="false">AVERAGE(E89:AE89)</f>
        <v>0.777777777777778</v>
      </c>
      <c r="C89" s="2" t="n">
        <f aca="false">MIN(E89:AE89)</f>
        <v>0</v>
      </c>
      <c r="D89" s="18" t="n">
        <f aca="false">MAX(E89:AE89)</f>
        <v>2</v>
      </c>
      <c r="E89" s="19" t="n">
        <v>0</v>
      </c>
      <c r="F89" s="19" t="n">
        <v>2</v>
      </c>
      <c r="G89" s="19" t="n">
        <v>0</v>
      </c>
      <c r="H89" s="19" t="n">
        <v>2</v>
      </c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2</v>
      </c>
      <c r="N89" s="19" t="n">
        <v>1</v>
      </c>
      <c r="O89" s="19" t="n">
        <v>1</v>
      </c>
      <c r="P89" s="19" t="n">
        <v>1</v>
      </c>
      <c r="Q89" s="19" t="n">
        <v>0</v>
      </c>
      <c r="R89" s="19" t="n">
        <v>2</v>
      </c>
      <c r="S89" s="19" t="n">
        <v>0</v>
      </c>
      <c r="T89" s="19" t="n">
        <v>0</v>
      </c>
      <c r="U89" s="19" t="n">
        <v>0</v>
      </c>
      <c r="V89" s="19" t="n">
        <v>0</v>
      </c>
      <c r="W89" s="19" t="n">
        <v>1</v>
      </c>
      <c r="X89" s="19" t="n">
        <v>2</v>
      </c>
      <c r="Y89" s="19" t="n">
        <v>2</v>
      </c>
      <c r="Z89" s="19" t="n">
        <v>2</v>
      </c>
      <c r="AA89" s="19" t="n">
        <v>0</v>
      </c>
      <c r="AB89" s="19" t="n">
        <v>1</v>
      </c>
      <c r="AC89" s="19" t="n">
        <v>2</v>
      </c>
      <c r="AD89" s="19" t="n">
        <v>0</v>
      </c>
      <c r="AE89" s="19" t="n">
        <v>0</v>
      </c>
      <c r="AF89" s="19" t="n">
        <v>0</v>
      </c>
      <c r="AG89" s="19"/>
      <c r="AH89" s="19"/>
      <c r="CB89" s="6"/>
      <c r="CU89" s="6"/>
      <c r="CV89" s="6"/>
      <c r="CW89" s="6"/>
      <c r="CX89" s="6"/>
      <c r="CY89" s="6"/>
      <c r="CZ89" s="6"/>
      <c r="DA89" s="6"/>
      <c r="DK89" s="43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</row>
    <row r="90" customFormat="false" ht="12.75" hidden="false" customHeight="false" outlineLevel="0" collapsed="false">
      <c r="A90" s="16" t="s">
        <v>201</v>
      </c>
      <c r="B90" s="17" t="n">
        <f aca="false">AVERAGE(E90:AE90)</f>
        <v>0.814814814814815</v>
      </c>
      <c r="C90" s="2" t="n">
        <f aca="false">MIN(E90:AE90)</f>
        <v>0</v>
      </c>
      <c r="D90" s="18" t="n">
        <f aca="false">MAX(E90:AE90)</f>
        <v>2</v>
      </c>
      <c r="E90" s="19" t="n">
        <v>0</v>
      </c>
      <c r="F90" s="19" t="n">
        <v>2</v>
      </c>
      <c r="G90" s="19" t="n">
        <v>0</v>
      </c>
      <c r="H90" s="19" t="n">
        <v>2</v>
      </c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2</v>
      </c>
      <c r="N90" s="19" t="n">
        <v>1</v>
      </c>
      <c r="O90" s="19" t="n">
        <v>1</v>
      </c>
      <c r="P90" s="19" t="n">
        <v>2</v>
      </c>
      <c r="Q90" s="19" t="n">
        <v>0</v>
      </c>
      <c r="R90" s="19" t="n">
        <v>2</v>
      </c>
      <c r="S90" s="19" t="n">
        <v>0</v>
      </c>
      <c r="T90" s="19" t="n">
        <v>0</v>
      </c>
      <c r="U90" s="19" t="n">
        <v>0</v>
      </c>
      <c r="V90" s="19" t="n">
        <v>0</v>
      </c>
      <c r="W90" s="19" t="n">
        <v>1</v>
      </c>
      <c r="X90" s="19" t="n">
        <v>2</v>
      </c>
      <c r="Y90" s="19" t="n">
        <v>2</v>
      </c>
      <c r="Z90" s="19" t="n">
        <v>2</v>
      </c>
      <c r="AA90" s="19" t="n">
        <v>0</v>
      </c>
      <c r="AB90" s="19" t="n">
        <v>1</v>
      </c>
      <c r="AC90" s="19" t="n">
        <v>2</v>
      </c>
      <c r="AD90" s="19" t="n">
        <v>0</v>
      </c>
      <c r="AE90" s="19" t="n">
        <v>0</v>
      </c>
      <c r="AF90" s="19" t="n">
        <v>0</v>
      </c>
      <c r="AG90" s="19"/>
      <c r="AH90" s="19"/>
      <c r="CB90" s="6"/>
      <c r="CU90" s="6"/>
      <c r="CV90" s="6"/>
      <c r="CW90" s="6"/>
      <c r="CX90" s="6"/>
      <c r="CY90" s="6"/>
      <c r="CZ90" s="6"/>
      <c r="DA90" s="6"/>
      <c r="DK90" s="43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</row>
    <row r="91" customFormat="false" ht="12.75" hidden="false" customHeight="false" outlineLevel="0" collapsed="false">
      <c r="A91" s="16" t="s">
        <v>202</v>
      </c>
      <c r="B91" s="17" t="n">
        <f aca="false">AVERAGE(E91:AE91)</f>
        <v>0.814814814814815</v>
      </c>
      <c r="C91" s="2" t="n">
        <f aca="false">MIN(E91:AE91)</f>
        <v>0</v>
      </c>
      <c r="D91" s="18" t="n">
        <f aca="false">MAX(E91:AE91)</f>
        <v>2</v>
      </c>
      <c r="E91" s="19" t="n">
        <v>0</v>
      </c>
      <c r="F91" s="19" t="n">
        <v>2</v>
      </c>
      <c r="G91" s="19" t="n">
        <v>0</v>
      </c>
      <c r="H91" s="19" t="n">
        <v>2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2</v>
      </c>
      <c r="N91" s="19" t="n">
        <v>1</v>
      </c>
      <c r="O91" s="19" t="n">
        <v>1</v>
      </c>
      <c r="P91" s="19" t="n">
        <v>2</v>
      </c>
      <c r="Q91" s="19" t="n">
        <v>0</v>
      </c>
      <c r="R91" s="19" t="n">
        <v>2</v>
      </c>
      <c r="S91" s="19" t="n">
        <v>0</v>
      </c>
      <c r="T91" s="19" t="n">
        <v>0</v>
      </c>
      <c r="U91" s="19" t="n">
        <v>0</v>
      </c>
      <c r="V91" s="19" t="n">
        <v>0</v>
      </c>
      <c r="W91" s="19" t="n">
        <v>1</v>
      </c>
      <c r="X91" s="19" t="n">
        <v>2</v>
      </c>
      <c r="Y91" s="19" t="n">
        <v>2</v>
      </c>
      <c r="Z91" s="19" t="n">
        <v>2</v>
      </c>
      <c r="AA91" s="22" t="n">
        <v>0</v>
      </c>
      <c r="AB91" s="19" t="n">
        <v>1</v>
      </c>
      <c r="AC91" s="22" t="n">
        <v>2</v>
      </c>
      <c r="AD91" s="19" t="n">
        <v>0</v>
      </c>
      <c r="AE91" s="19" t="n">
        <v>0</v>
      </c>
      <c r="AF91" s="19" t="n">
        <v>0</v>
      </c>
      <c r="AG91" s="19"/>
      <c r="AH91" s="19"/>
      <c r="CB91" s="6"/>
      <c r="CU91" s="6"/>
      <c r="CV91" s="6"/>
      <c r="CW91" s="6"/>
      <c r="CX91" s="6"/>
      <c r="CY91" s="6"/>
      <c r="CZ91" s="6"/>
      <c r="DA91" s="6"/>
      <c r="DK91" s="43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</row>
    <row r="92" customFormat="false" ht="12.75" hidden="false" customHeight="false" outlineLevel="0" collapsed="false">
      <c r="A92" s="16" t="s">
        <v>203</v>
      </c>
      <c r="B92" s="17" t="n">
        <f aca="false">AVERAGE(E92:AE92)</f>
        <v>0.814814814814815</v>
      </c>
      <c r="C92" s="2" t="n">
        <f aca="false">MIN(E92:AE92)</f>
        <v>0</v>
      </c>
      <c r="D92" s="18" t="n">
        <f aca="false">MAX(E92:AE92)</f>
        <v>2</v>
      </c>
      <c r="E92" s="19" t="n">
        <v>0</v>
      </c>
      <c r="F92" s="19" t="n">
        <v>2</v>
      </c>
      <c r="G92" s="19" t="n">
        <v>0</v>
      </c>
      <c r="H92" s="19" t="n">
        <v>2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2</v>
      </c>
      <c r="N92" s="19" t="n">
        <v>1</v>
      </c>
      <c r="O92" s="19" t="n">
        <v>1</v>
      </c>
      <c r="P92" s="19" t="n">
        <v>2</v>
      </c>
      <c r="Q92" s="19" t="n">
        <v>0</v>
      </c>
      <c r="R92" s="19" t="n">
        <v>2</v>
      </c>
      <c r="S92" s="19" t="n">
        <v>0</v>
      </c>
      <c r="T92" s="19" t="n">
        <v>0</v>
      </c>
      <c r="U92" s="19" t="n">
        <v>0</v>
      </c>
      <c r="V92" s="19" t="n">
        <v>0</v>
      </c>
      <c r="W92" s="19" t="n">
        <v>1</v>
      </c>
      <c r="X92" s="19" t="n">
        <v>2</v>
      </c>
      <c r="Y92" s="19" t="n">
        <v>2</v>
      </c>
      <c r="Z92" s="19" t="n">
        <v>2</v>
      </c>
      <c r="AA92" s="19" t="n">
        <v>0</v>
      </c>
      <c r="AB92" s="19" t="n">
        <v>1</v>
      </c>
      <c r="AC92" s="19" t="n">
        <v>2</v>
      </c>
      <c r="AD92" s="19" t="n">
        <v>0</v>
      </c>
      <c r="AE92" s="19" t="n">
        <v>0</v>
      </c>
      <c r="AF92" s="19" t="n">
        <v>0</v>
      </c>
      <c r="AG92" s="19"/>
      <c r="AH92" s="19"/>
      <c r="CB92" s="6"/>
      <c r="CU92" s="6"/>
      <c r="CV92" s="6"/>
      <c r="CW92" s="6"/>
      <c r="CX92" s="6"/>
      <c r="CY92" s="6"/>
      <c r="CZ92" s="6"/>
      <c r="DA92" s="6"/>
      <c r="DK92" s="43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</row>
    <row r="93" customFormat="false" ht="12.75" hidden="false" customHeight="false" outlineLevel="0" collapsed="false">
      <c r="A93" s="16" t="s">
        <v>204</v>
      </c>
      <c r="B93" s="17" t="n">
        <f aca="false">AVERAGE(E93:AE93)</f>
        <v>0.814814814814815</v>
      </c>
      <c r="C93" s="2" t="n">
        <f aca="false">MIN(E93:AE93)</f>
        <v>0</v>
      </c>
      <c r="D93" s="18" t="n">
        <f aca="false">MAX(E93:AE93)</f>
        <v>2</v>
      </c>
      <c r="E93" s="19" t="n">
        <v>0</v>
      </c>
      <c r="F93" s="19" t="n">
        <v>2</v>
      </c>
      <c r="G93" s="19" t="n">
        <v>0</v>
      </c>
      <c r="H93" s="19" t="n">
        <v>2</v>
      </c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2</v>
      </c>
      <c r="N93" s="19" t="n">
        <v>1</v>
      </c>
      <c r="O93" s="19" t="n">
        <v>1</v>
      </c>
      <c r="P93" s="19" t="n">
        <v>2</v>
      </c>
      <c r="Q93" s="19" t="n">
        <v>0</v>
      </c>
      <c r="R93" s="19" t="n">
        <v>2</v>
      </c>
      <c r="S93" s="19" t="n">
        <v>0</v>
      </c>
      <c r="T93" s="19" t="n">
        <v>0</v>
      </c>
      <c r="U93" s="19" t="n">
        <v>0</v>
      </c>
      <c r="V93" s="19" t="n">
        <v>0</v>
      </c>
      <c r="W93" s="19" t="n">
        <v>1</v>
      </c>
      <c r="X93" s="19" t="n">
        <v>2</v>
      </c>
      <c r="Y93" s="19" t="n">
        <v>2</v>
      </c>
      <c r="Z93" s="19" t="n">
        <v>2</v>
      </c>
      <c r="AA93" s="19" t="n">
        <v>0</v>
      </c>
      <c r="AB93" s="19" t="n">
        <v>1</v>
      </c>
      <c r="AC93" s="19" t="n">
        <v>2</v>
      </c>
      <c r="AD93" s="19" t="n">
        <v>0</v>
      </c>
      <c r="AE93" s="19" t="n">
        <v>0</v>
      </c>
      <c r="AF93" s="19" t="n">
        <v>0</v>
      </c>
      <c r="AG93" s="19"/>
      <c r="AH93" s="19"/>
      <c r="CB93" s="6"/>
      <c r="CU93" s="6"/>
      <c r="CV93" s="6"/>
      <c r="CW93" s="6"/>
      <c r="CX93" s="6"/>
      <c r="CY93" s="6"/>
      <c r="CZ93" s="6"/>
      <c r="DA93" s="6"/>
      <c r="DK93" s="43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</row>
    <row r="94" customFormat="false" ht="12.75" hidden="false" customHeight="false" outlineLevel="0" collapsed="false">
      <c r="A94" s="16" t="s">
        <v>205</v>
      </c>
      <c r="B94" s="17" t="n">
        <f aca="false">AVERAGE(E94:AE94)</f>
        <v>0.851851851851852</v>
      </c>
      <c r="C94" s="2" t="n">
        <f aca="false">MIN(E94:AE94)</f>
        <v>0</v>
      </c>
      <c r="D94" s="18" t="n">
        <f aca="false">MAX(E94:AE94)</f>
        <v>3</v>
      </c>
      <c r="E94" s="19" t="n">
        <v>0</v>
      </c>
      <c r="F94" s="19" t="n">
        <v>2</v>
      </c>
      <c r="G94" s="19" t="n">
        <v>0</v>
      </c>
      <c r="H94" s="19" t="n">
        <v>2</v>
      </c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2</v>
      </c>
      <c r="N94" s="19" t="n">
        <v>1</v>
      </c>
      <c r="O94" s="19" t="n">
        <v>1</v>
      </c>
      <c r="P94" s="30" t="n">
        <v>3</v>
      </c>
      <c r="Q94" s="19" t="n">
        <v>0</v>
      </c>
      <c r="R94" s="19" t="n">
        <v>2</v>
      </c>
      <c r="S94" s="19" t="n">
        <v>0</v>
      </c>
      <c r="T94" s="19" t="n">
        <v>0</v>
      </c>
      <c r="U94" s="19" t="n">
        <v>0</v>
      </c>
      <c r="V94" s="19" t="n">
        <v>0</v>
      </c>
      <c r="W94" s="19" t="n">
        <v>1</v>
      </c>
      <c r="X94" s="19" t="n">
        <v>2</v>
      </c>
      <c r="Y94" s="19" t="n">
        <v>2</v>
      </c>
      <c r="Z94" s="19" t="n">
        <v>2</v>
      </c>
      <c r="AA94" s="19" t="n">
        <v>0</v>
      </c>
      <c r="AB94" s="19" t="n">
        <v>1</v>
      </c>
      <c r="AC94" s="19" t="n">
        <v>2</v>
      </c>
      <c r="AD94" s="19" t="n">
        <v>0</v>
      </c>
      <c r="AE94" s="19" t="n">
        <v>0</v>
      </c>
      <c r="AF94" s="19" t="n">
        <v>0</v>
      </c>
      <c r="AG94" s="19"/>
      <c r="AH94" s="19"/>
      <c r="CB94" s="6"/>
      <c r="CU94" s="6"/>
      <c r="CV94" s="6"/>
      <c r="CW94" s="6"/>
      <c r="CX94" s="6"/>
      <c r="CY94" s="6"/>
      <c r="CZ94" s="6"/>
      <c r="DA94" s="6"/>
      <c r="DK94" s="43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</row>
    <row r="95" customFormat="false" ht="12.75" hidden="false" customHeight="false" outlineLevel="0" collapsed="false">
      <c r="A95" s="16" t="s">
        <v>206</v>
      </c>
      <c r="B95" s="17" t="n">
        <f aca="false">AVERAGE(E95:AE95)</f>
        <v>0.888888888888889</v>
      </c>
      <c r="C95" s="2" t="n">
        <f aca="false">MIN(E95:AE95)</f>
        <v>0</v>
      </c>
      <c r="D95" s="18" t="n">
        <f aca="false">MAX(E95:AE95)</f>
        <v>3</v>
      </c>
      <c r="E95" s="19" t="n">
        <v>0</v>
      </c>
      <c r="F95" s="19" t="n">
        <v>2</v>
      </c>
      <c r="G95" s="19" t="n">
        <v>0</v>
      </c>
      <c r="H95" s="19" t="n">
        <v>2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2</v>
      </c>
      <c r="N95" s="19" t="n">
        <v>1</v>
      </c>
      <c r="O95" s="19" t="n">
        <v>1</v>
      </c>
      <c r="P95" s="19" t="n">
        <v>3</v>
      </c>
      <c r="Q95" s="19" t="n">
        <v>0</v>
      </c>
      <c r="R95" s="19" t="n">
        <v>2</v>
      </c>
      <c r="S95" s="19" t="n">
        <v>0</v>
      </c>
      <c r="T95" s="19" t="n">
        <v>0</v>
      </c>
      <c r="U95" s="19" t="n">
        <v>1</v>
      </c>
      <c r="V95" s="19" t="n">
        <v>0</v>
      </c>
      <c r="W95" s="19" t="n">
        <v>1</v>
      </c>
      <c r="X95" s="19" t="n">
        <v>2</v>
      </c>
      <c r="Y95" s="19" t="n">
        <v>2</v>
      </c>
      <c r="Z95" s="19" t="n">
        <v>2</v>
      </c>
      <c r="AA95" s="19" t="n">
        <v>0</v>
      </c>
      <c r="AB95" s="19" t="n">
        <v>1</v>
      </c>
      <c r="AC95" s="19" t="n">
        <v>2</v>
      </c>
      <c r="AD95" s="19" t="n">
        <v>0</v>
      </c>
      <c r="AE95" s="19" t="n">
        <v>0</v>
      </c>
      <c r="AF95" s="19" t="n">
        <v>0</v>
      </c>
      <c r="AG95" s="19"/>
      <c r="AH95" s="19"/>
      <c r="CB95" s="6"/>
      <c r="CU95" s="6"/>
      <c r="CV95" s="6"/>
      <c r="CW95" s="6"/>
      <c r="CX95" s="6"/>
      <c r="CY95" s="6"/>
      <c r="CZ95" s="6"/>
      <c r="DA95" s="6"/>
      <c r="DK95" s="43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</row>
    <row r="96" customFormat="false" ht="12.75" hidden="false" customHeight="false" outlineLevel="0" collapsed="false">
      <c r="A96" s="16" t="s">
        <v>207</v>
      </c>
      <c r="B96" s="17" t="n">
        <f aca="false">AVERAGE(E96:AE96)</f>
        <v>0.888888888888889</v>
      </c>
      <c r="C96" s="2" t="n">
        <f aca="false">MIN(E96:AE96)</f>
        <v>0</v>
      </c>
      <c r="D96" s="18" t="n">
        <f aca="false">MAX(E96:AE96)</f>
        <v>3</v>
      </c>
      <c r="E96" s="19" t="n">
        <v>0</v>
      </c>
      <c r="F96" s="19" t="n">
        <v>2</v>
      </c>
      <c r="G96" s="19" t="n">
        <v>0</v>
      </c>
      <c r="H96" s="19" t="n">
        <v>2</v>
      </c>
      <c r="I96" s="19" t="n">
        <v>0</v>
      </c>
      <c r="J96" s="19" t="n">
        <v>0</v>
      </c>
      <c r="K96" s="19" t="n">
        <v>0</v>
      </c>
      <c r="L96" s="19" t="n">
        <v>0</v>
      </c>
      <c r="M96" s="19" t="n">
        <v>2</v>
      </c>
      <c r="N96" s="19" t="n">
        <v>1</v>
      </c>
      <c r="O96" s="19" t="n">
        <v>1</v>
      </c>
      <c r="P96" s="19" t="n">
        <v>3</v>
      </c>
      <c r="Q96" s="19" t="n">
        <v>0</v>
      </c>
      <c r="R96" s="19" t="n">
        <v>2</v>
      </c>
      <c r="S96" s="19" t="n">
        <v>0</v>
      </c>
      <c r="T96" s="19" t="n">
        <v>0</v>
      </c>
      <c r="U96" s="19" t="n">
        <v>1</v>
      </c>
      <c r="V96" s="22" t="n">
        <v>0</v>
      </c>
      <c r="W96" s="19" t="n">
        <v>1</v>
      </c>
      <c r="X96" s="19" t="n">
        <v>2</v>
      </c>
      <c r="Y96" s="19" t="n">
        <v>2</v>
      </c>
      <c r="Z96" s="19" t="n">
        <v>2</v>
      </c>
      <c r="AA96" s="19" t="n">
        <v>0</v>
      </c>
      <c r="AB96" s="19" t="n">
        <v>1</v>
      </c>
      <c r="AC96" s="19" t="n">
        <v>2</v>
      </c>
      <c r="AD96" s="19" t="n">
        <v>0</v>
      </c>
      <c r="AE96" s="19" t="n">
        <v>0</v>
      </c>
      <c r="AF96" s="19" t="n">
        <v>0</v>
      </c>
      <c r="AG96" s="19"/>
      <c r="AH96" s="19"/>
      <c r="CB96" s="6"/>
      <c r="CU96" s="6"/>
      <c r="CV96" s="6"/>
      <c r="CW96" s="6"/>
      <c r="CX96" s="6"/>
      <c r="CY96" s="6"/>
      <c r="CZ96" s="6"/>
      <c r="DA96" s="6"/>
      <c r="DK96" s="43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</row>
    <row r="97" customFormat="false" ht="12.75" hidden="false" customHeight="false" outlineLevel="0" collapsed="false">
      <c r="A97" s="16" t="s">
        <v>208</v>
      </c>
      <c r="B97" s="17" t="n">
        <f aca="false">AVERAGE(E97:AE97)</f>
        <v>0.888888888888889</v>
      </c>
      <c r="C97" s="2" t="n">
        <f aca="false">MIN(E97:AE97)</f>
        <v>0</v>
      </c>
      <c r="D97" s="18" t="n">
        <f aca="false">MAX(E97:AE97)</f>
        <v>3</v>
      </c>
      <c r="E97" s="19" t="n">
        <v>0</v>
      </c>
      <c r="F97" s="19" t="n">
        <v>2</v>
      </c>
      <c r="G97" s="19" t="n">
        <v>0</v>
      </c>
      <c r="H97" s="19" t="n">
        <v>2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2</v>
      </c>
      <c r="N97" s="19" t="n">
        <v>1</v>
      </c>
      <c r="O97" s="19" t="n">
        <v>1</v>
      </c>
      <c r="P97" s="19" t="n">
        <v>3</v>
      </c>
      <c r="Q97" s="19" t="n">
        <v>0</v>
      </c>
      <c r="R97" s="19" t="n">
        <v>2</v>
      </c>
      <c r="S97" s="19" t="n">
        <v>0</v>
      </c>
      <c r="T97" s="19" t="n">
        <v>0</v>
      </c>
      <c r="U97" s="19" t="n">
        <v>1</v>
      </c>
      <c r="V97" s="19" t="n">
        <v>0</v>
      </c>
      <c r="W97" s="19" t="n">
        <v>1</v>
      </c>
      <c r="X97" s="19" t="n">
        <v>2</v>
      </c>
      <c r="Y97" s="19" t="n">
        <v>2</v>
      </c>
      <c r="Z97" s="19" t="n">
        <v>2</v>
      </c>
      <c r="AA97" s="19" t="n">
        <v>0</v>
      </c>
      <c r="AB97" s="19" t="n">
        <v>1</v>
      </c>
      <c r="AC97" s="19" t="n">
        <v>2</v>
      </c>
      <c r="AD97" s="19" t="n">
        <v>0</v>
      </c>
      <c r="AE97" s="19" t="n">
        <v>0</v>
      </c>
      <c r="AF97" s="19" t="n">
        <v>0</v>
      </c>
      <c r="AG97" s="19"/>
      <c r="AH97" s="19"/>
      <c r="CB97" s="6"/>
      <c r="CU97" s="6"/>
      <c r="CV97" s="6"/>
      <c r="CW97" s="6"/>
      <c r="CX97" s="6"/>
      <c r="CY97" s="6"/>
      <c r="CZ97" s="6"/>
      <c r="DA97" s="6"/>
      <c r="DK97" s="43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</row>
    <row r="98" customFormat="false" ht="12.75" hidden="false" customHeight="false" outlineLevel="0" collapsed="false">
      <c r="A98" s="16" t="s">
        <v>209</v>
      </c>
      <c r="B98" s="17" t="n">
        <f aca="false">AVERAGE(E98:AE98)</f>
        <v>0.962962962962963</v>
      </c>
      <c r="C98" s="2" t="n">
        <f aca="false">MIN(E98:AE98)</f>
        <v>0</v>
      </c>
      <c r="D98" s="18" t="n">
        <f aca="false">MAX(E98:AE98)</f>
        <v>3</v>
      </c>
      <c r="E98" s="19" t="n">
        <v>0</v>
      </c>
      <c r="F98" s="19" t="n">
        <v>2</v>
      </c>
      <c r="G98" s="19" t="n">
        <v>0</v>
      </c>
      <c r="H98" s="19" t="n">
        <v>2</v>
      </c>
      <c r="I98" s="19" t="n">
        <v>0</v>
      </c>
      <c r="J98" s="19" t="n">
        <v>0</v>
      </c>
      <c r="K98" s="19" t="n">
        <v>0</v>
      </c>
      <c r="L98" s="19" t="n">
        <v>0</v>
      </c>
      <c r="M98" s="30" t="n">
        <v>3</v>
      </c>
      <c r="N98" s="19" t="n">
        <v>1</v>
      </c>
      <c r="O98" s="19" t="n">
        <v>1</v>
      </c>
      <c r="P98" s="19" t="n">
        <v>3</v>
      </c>
      <c r="Q98" s="19" t="n">
        <v>0</v>
      </c>
      <c r="R98" s="19" t="n">
        <v>2</v>
      </c>
      <c r="S98" s="19" t="n">
        <v>0</v>
      </c>
      <c r="T98" s="19" t="n">
        <v>1</v>
      </c>
      <c r="U98" s="19" t="n">
        <v>1</v>
      </c>
      <c r="V98" s="19" t="n">
        <v>0</v>
      </c>
      <c r="W98" s="19" t="n">
        <v>1</v>
      </c>
      <c r="X98" s="19" t="n">
        <v>2</v>
      </c>
      <c r="Y98" s="19" t="n">
        <v>2</v>
      </c>
      <c r="Z98" s="19" t="n">
        <v>2</v>
      </c>
      <c r="AA98" s="19" t="n">
        <v>0</v>
      </c>
      <c r="AB98" s="19" t="n">
        <v>1</v>
      </c>
      <c r="AC98" s="19" t="n">
        <v>2</v>
      </c>
      <c r="AD98" s="19" t="n">
        <v>0</v>
      </c>
      <c r="AE98" s="19" t="n">
        <v>0</v>
      </c>
      <c r="AF98" s="19" t="n">
        <v>0</v>
      </c>
      <c r="AG98" s="19"/>
      <c r="AH98" s="19"/>
      <c r="CB98" s="6"/>
      <c r="CU98" s="6"/>
      <c r="CV98" s="6"/>
      <c r="CW98" s="6"/>
      <c r="CX98" s="6"/>
      <c r="CY98" s="6"/>
      <c r="CZ98" s="6"/>
      <c r="DA98" s="6"/>
      <c r="DK98" s="43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</row>
    <row r="99" customFormat="false" ht="12.75" hidden="false" customHeight="false" outlineLevel="0" collapsed="false">
      <c r="A99" s="16" t="s">
        <v>210</v>
      </c>
      <c r="B99" s="17" t="n">
        <f aca="false">AVERAGE(E99:AE99)</f>
        <v>1.03703703703704</v>
      </c>
      <c r="C99" s="2" t="n">
        <f aca="false">MIN(E99:AE99)</f>
        <v>0</v>
      </c>
      <c r="D99" s="18" t="n">
        <f aca="false">MAX(E99:AE99)</f>
        <v>3</v>
      </c>
      <c r="E99" s="19" t="n">
        <v>0</v>
      </c>
      <c r="F99" s="19" t="n">
        <v>2</v>
      </c>
      <c r="G99" s="30" t="n">
        <v>1</v>
      </c>
      <c r="H99" s="19" t="n">
        <v>2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3</v>
      </c>
      <c r="N99" s="19" t="n">
        <v>1</v>
      </c>
      <c r="O99" s="19" t="n">
        <v>1</v>
      </c>
      <c r="P99" s="19" t="n">
        <v>3</v>
      </c>
      <c r="Q99" s="19" t="n">
        <v>0</v>
      </c>
      <c r="R99" s="19" t="n">
        <v>2</v>
      </c>
      <c r="S99" s="19" t="n">
        <v>0</v>
      </c>
      <c r="T99" s="19" t="n">
        <v>1</v>
      </c>
      <c r="U99" s="19" t="n">
        <v>1</v>
      </c>
      <c r="V99" s="19" t="n">
        <v>0</v>
      </c>
      <c r="W99" s="19" t="n">
        <v>1</v>
      </c>
      <c r="X99" s="19" t="n">
        <v>3</v>
      </c>
      <c r="Y99" s="19" t="n">
        <v>2</v>
      </c>
      <c r="Z99" s="19" t="n">
        <v>2</v>
      </c>
      <c r="AA99" s="19" t="n">
        <v>0</v>
      </c>
      <c r="AB99" s="19" t="n">
        <v>1</v>
      </c>
      <c r="AC99" s="19" t="n">
        <v>2</v>
      </c>
      <c r="AD99" s="19" t="n">
        <v>0</v>
      </c>
      <c r="AE99" s="19" t="n">
        <v>0</v>
      </c>
      <c r="AF99" s="19" t="n">
        <v>0</v>
      </c>
      <c r="AG99" s="19"/>
      <c r="AH99" s="19"/>
      <c r="CB99" s="6"/>
      <c r="CU99" s="6"/>
      <c r="CV99" s="6"/>
      <c r="CW99" s="6"/>
      <c r="CX99" s="6"/>
      <c r="CY99" s="6"/>
      <c r="CZ99" s="6"/>
      <c r="DA99" s="6"/>
      <c r="DK99" s="43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</row>
    <row r="100" customFormat="false" ht="12.75" hidden="false" customHeight="false" outlineLevel="0" collapsed="false">
      <c r="A100" s="16" t="s">
        <v>211</v>
      </c>
      <c r="B100" s="17" t="n">
        <f aca="false">AVERAGE(E100:AE100)</f>
        <v>1.11111111111111</v>
      </c>
      <c r="C100" s="2" t="n">
        <f aca="false">MIN(E100:AE100)</f>
        <v>0</v>
      </c>
      <c r="D100" s="18" t="n">
        <f aca="false">MAX(E100:AE100)</f>
        <v>3</v>
      </c>
      <c r="E100" s="19" t="n">
        <v>0</v>
      </c>
      <c r="F100" s="19" t="n">
        <v>2</v>
      </c>
      <c r="G100" s="19" t="n">
        <v>1</v>
      </c>
      <c r="H100" s="19" t="n">
        <v>2</v>
      </c>
      <c r="I100" s="19" t="n">
        <v>0</v>
      </c>
      <c r="J100" s="19" t="n">
        <v>1</v>
      </c>
      <c r="K100" s="19" t="n">
        <v>0</v>
      </c>
      <c r="L100" s="19" t="n">
        <v>0</v>
      </c>
      <c r="M100" s="19" t="n">
        <v>3</v>
      </c>
      <c r="N100" s="19" t="n">
        <v>1</v>
      </c>
      <c r="O100" s="19" t="n">
        <v>1</v>
      </c>
      <c r="P100" s="19" t="n">
        <v>3</v>
      </c>
      <c r="Q100" s="19" t="n">
        <v>0</v>
      </c>
      <c r="R100" s="19" t="n">
        <v>2</v>
      </c>
      <c r="S100" s="19" t="n">
        <v>0</v>
      </c>
      <c r="T100" s="19" t="n">
        <v>1</v>
      </c>
      <c r="U100" s="19" t="n">
        <v>1</v>
      </c>
      <c r="V100" s="19" t="n">
        <v>0</v>
      </c>
      <c r="W100" s="19" t="n">
        <v>1</v>
      </c>
      <c r="X100" s="19" t="n">
        <v>3</v>
      </c>
      <c r="Y100" s="19" t="n">
        <v>2</v>
      </c>
      <c r="Z100" s="19" t="n">
        <v>2</v>
      </c>
      <c r="AA100" s="19" t="n">
        <v>0</v>
      </c>
      <c r="AB100" s="19" t="n">
        <v>1</v>
      </c>
      <c r="AC100" s="19" t="n">
        <v>2</v>
      </c>
      <c r="AD100" s="30" t="n">
        <v>1</v>
      </c>
      <c r="AE100" s="19" t="n">
        <v>0</v>
      </c>
      <c r="AF100" s="19" t="n">
        <v>0</v>
      </c>
      <c r="AG100" s="19"/>
      <c r="AH100" s="19"/>
      <c r="CB100" s="6"/>
      <c r="CU100" s="6"/>
      <c r="CV100" s="6"/>
      <c r="CW100" s="6"/>
      <c r="CX100" s="6"/>
      <c r="CY100" s="6"/>
      <c r="CZ100" s="6"/>
      <c r="DA100" s="6"/>
      <c r="DK100" s="43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</row>
    <row r="101" customFormat="false" ht="12.75" hidden="false" customHeight="false" outlineLevel="0" collapsed="false">
      <c r="A101" s="16" t="s">
        <v>212</v>
      </c>
      <c r="B101" s="17" t="n">
        <f aca="false">AVERAGE(E101:AE101)</f>
        <v>1.14814814814815</v>
      </c>
      <c r="C101" s="2" t="n">
        <f aca="false">MIN(E101:AE101)</f>
        <v>0</v>
      </c>
      <c r="D101" s="18" t="n">
        <f aca="false">MAX(E101:AE101)</f>
        <v>3</v>
      </c>
      <c r="E101" s="19" t="n">
        <v>0</v>
      </c>
      <c r="F101" s="19" t="n">
        <v>2</v>
      </c>
      <c r="G101" s="19" t="n">
        <v>1</v>
      </c>
      <c r="H101" s="19" t="n">
        <v>2</v>
      </c>
      <c r="I101" s="19" t="n">
        <v>0</v>
      </c>
      <c r="J101" s="19" t="n">
        <v>1</v>
      </c>
      <c r="K101" s="19" t="n">
        <v>0</v>
      </c>
      <c r="L101" s="19" t="n">
        <v>0</v>
      </c>
      <c r="M101" s="19" t="n">
        <v>3</v>
      </c>
      <c r="N101" s="19" t="n">
        <v>1</v>
      </c>
      <c r="O101" s="19" t="n">
        <v>1</v>
      </c>
      <c r="P101" s="19" t="n">
        <v>3</v>
      </c>
      <c r="Q101" s="19" t="n">
        <v>0</v>
      </c>
      <c r="R101" s="19" t="n">
        <v>2</v>
      </c>
      <c r="S101" s="19" t="n">
        <v>0</v>
      </c>
      <c r="T101" s="19" t="n">
        <v>1</v>
      </c>
      <c r="U101" s="30" t="n">
        <v>2</v>
      </c>
      <c r="V101" s="19" t="n">
        <v>0</v>
      </c>
      <c r="W101" s="19" t="n">
        <v>1</v>
      </c>
      <c r="X101" s="19" t="n">
        <v>3</v>
      </c>
      <c r="Y101" s="19" t="n">
        <v>2</v>
      </c>
      <c r="Z101" s="19" t="n">
        <v>2</v>
      </c>
      <c r="AA101" s="19" t="n">
        <v>0</v>
      </c>
      <c r="AB101" s="19" t="n">
        <v>1</v>
      </c>
      <c r="AC101" s="19" t="n">
        <v>2</v>
      </c>
      <c r="AD101" s="19" t="n">
        <v>1</v>
      </c>
      <c r="AE101" s="19" t="n">
        <v>0</v>
      </c>
      <c r="AF101" s="19" t="n">
        <v>0</v>
      </c>
      <c r="AG101" s="19"/>
      <c r="AH101" s="19"/>
      <c r="CB101" s="6"/>
      <c r="CU101" s="6"/>
      <c r="CV101" s="6"/>
      <c r="CW101" s="6"/>
      <c r="CX101" s="6"/>
      <c r="CY101" s="6"/>
      <c r="CZ101" s="6"/>
      <c r="DA101" s="6"/>
      <c r="DK101" s="43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</row>
    <row r="102" customFormat="false" ht="12.75" hidden="false" customHeight="false" outlineLevel="0" collapsed="false">
      <c r="A102" s="16" t="s">
        <v>213</v>
      </c>
      <c r="B102" s="17" t="n">
        <f aca="false">AVERAGE(E102:AE102)</f>
        <v>1.14814814814815</v>
      </c>
      <c r="C102" s="2" t="n">
        <f aca="false">MIN(E102:AE102)</f>
        <v>0</v>
      </c>
      <c r="D102" s="18" t="n">
        <f aca="false">MAX(E102:AE102)</f>
        <v>3</v>
      </c>
      <c r="E102" s="19" t="n">
        <v>0</v>
      </c>
      <c r="F102" s="19" t="n">
        <v>2</v>
      </c>
      <c r="G102" s="19" t="n">
        <v>1</v>
      </c>
      <c r="H102" s="19" t="n">
        <v>2</v>
      </c>
      <c r="I102" s="19" t="n">
        <v>0</v>
      </c>
      <c r="J102" s="19" t="n">
        <v>1</v>
      </c>
      <c r="K102" s="19" t="n">
        <v>0</v>
      </c>
      <c r="L102" s="19" t="n">
        <v>0</v>
      </c>
      <c r="M102" s="19" t="n">
        <v>3</v>
      </c>
      <c r="N102" s="19" t="n">
        <v>1</v>
      </c>
      <c r="O102" s="19" t="n">
        <v>1</v>
      </c>
      <c r="P102" s="19" t="n">
        <v>3</v>
      </c>
      <c r="Q102" s="19" t="n">
        <v>0</v>
      </c>
      <c r="R102" s="19" t="n">
        <v>2</v>
      </c>
      <c r="S102" s="19" t="n">
        <v>0</v>
      </c>
      <c r="T102" s="19" t="n">
        <v>1</v>
      </c>
      <c r="U102" s="19" t="n">
        <v>2</v>
      </c>
      <c r="V102" s="19" t="n">
        <v>0</v>
      </c>
      <c r="W102" s="19" t="n">
        <v>1</v>
      </c>
      <c r="X102" s="19" t="n">
        <v>3</v>
      </c>
      <c r="Y102" s="19" t="n">
        <v>2</v>
      </c>
      <c r="Z102" s="19" t="n">
        <v>2</v>
      </c>
      <c r="AA102" s="19" t="n">
        <v>0</v>
      </c>
      <c r="AB102" s="19" t="n">
        <v>1</v>
      </c>
      <c r="AC102" s="19" t="n">
        <v>2</v>
      </c>
      <c r="AD102" s="19" t="n">
        <v>1</v>
      </c>
      <c r="AE102" s="19" t="n">
        <v>0</v>
      </c>
      <c r="AF102" s="19" t="n">
        <v>0</v>
      </c>
      <c r="AG102" s="19"/>
      <c r="AH102" s="19"/>
      <c r="CB102" s="6"/>
      <c r="CU102" s="6"/>
      <c r="CV102" s="6"/>
      <c r="CW102" s="6"/>
      <c r="CX102" s="6"/>
      <c r="CY102" s="6"/>
      <c r="CZ102" s="6"/>
      <c r="DA102" s="6"/>
      <c r="DK102" s="43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</row>
    <row r="103" customFormat="false" ht="12.75" hidden="false" customHeight="false" outlineLevel="0" collapsed="false">
      <c r="A103" s="16" t="s">
        <v>214</v>
      </c>
      <c r="B103" s="17" t="n">
        <f aca="false">AVERAGE(E103:AE103)</f>
        <v>1.18518518518519</v>
      </c>
      <c r="C103" s="2" t="n">
        <f aca="false">MIN(E103:AE103)</f>
        <v>0</v>
      </c>
      <c r="D103" s="18" t="n">
        <f aca="false">MAX(E103:AE103)</f>
        <v>3</v>
      </c>
      <c r="E103" s="19" t="n">
        <v>0</v>
      </c>
      <c r="F103" s="19" t="n">
        <v>2</v>
      </c>
      <c r="G103" s="19" t="n">
        <v>1</v>
      </c>
      <c r="H103" s="19" t="n">
        <v>2</v>
      </c>
      <c r="I103" s="19" t="n">
        <v>0</v>
      </c>
      <c r="J103" s="30" t="n">
        <v>2</v>
      </c>
      <c r="K103" s="19" t="n">
        <v>0</v>
      </c>
      <c r="L103" s="19" t="n">
        <v>0</v>
      </c>
      <c r="M103" s="19" t="n">
        <v>3</v>
      </c>
      <c r="N103" s="19" t="n">
        <v>1</v>
      </c>
      <c r="O103" s="19" t="n">
        <v>1</v>
      </c>
      <c r="P103" s="19" t="n">
        <v>3</v>
      </c>
      <c r="Q103" s="19" t="n">
        <v>0</v>
      </c>
      <c r="R103" s="19" t="n">
        <v>2</v>
      </c>
      <c r="S103" s="19" t="n">
        <v>0</v>
      </c>
      <c r="T103" s="19" t="n">
        <v>1</v>
      </c>
      <c r="U103" s="19" t="n">
        <v>2</v>
      </c>
      <c r="V103" s="19" t="n">
        <v>0</v>
      </c>
      <c r="W103" s="19" t="n">
        <v>1</v>
      </c>
      <c r="X103" s="19" t="n">
        <v>3</v>
      </c>
      <c r="Y103" s="19" t="n">
        <v>2</v>
      </c>
      <c r="Z103" s="19" t="n">
        <v>2</v>
      </c>
      <c r="AA103" s="19" t="n">
        <v>0</v>
      </c>
      <c r="AB103" s="19" t="n">
        <v>1</v>
      </c>
      <c r="AC103" s="19" t="n">
        <v>2</v>
      </c>
      <c r="AD103" s="19" t="n">
        <v>1</v>
      </c>
      <c r="AE103" s="19" t="n">
        <v>0</v>
      </c>
      <c r="AF103" s="19" t="n">
        <v>0</v>
      </c>
      <c r="AG103" s="19"/>
      <c r="AH103" s="19"/>
      <c r="CB103" s="6"/>
      <c r="CU103" s="6"/>
      <c r="CV103" s="6"/>
      <c r="CW103" s="6"/>
      <c r="CX103" s="6"/>
      <c r="CY103" s="6"/>
      <c r="CZ103" s="6"/>
      <c r="DA103" s="6"/>
      <c r="DK103" s="43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</row>
    <row r="104" customFormat="false" ht="12.75" hidden="false" customHeight="false" outlineLevel="0" collapsed="false">
      <c r="A104" s="16" t="s">
        <v>215</v>
      </c>
      <c r="B104" s="17" t="n">
        <f aca="false">AVERAGE(E104:AE104)</f>
        <v>1.22222222222222</v>
      </c>
      <c r="C104" s="2" t="n">
        <f aca="false">MIN(E104:AE104)</f>
        <v>0</v>
      </c>
      <c r="D104" s="18" t="n">
        <f aca="false">MAX(E104:AE104)</f>
        <v>3</v>
      </c>
      <c r="E104" s="19" t="n">
        <v>0</v>
      </c>
      <c r="F104" s="19" t="n">
        <v>2</v>
      </c>
      <c r="G104" s="19" t="n">
        <v>1</v>
      </c>
      <c r="H104" s="19" t="n">
        <v>2</v>
      </c>
      <c r="I104" s="19" t="n">
        <v>0</v>
      </c>
      <c r="J104" s="19" t="n">
        <v>2</v>
      </c>
      <c r="K104" s="19" t="n">
        <v>0</v>
      </c>
      <c r="L104" s="19" t="n">
        <v>0</v>
      </c>
      <c r="M104" s="19" t="n">
        <v>3</v>
      </c>
      <c r="N104" s="19" t="n">
        <v>1</v>
      </c>
      <c r="O104" s="19" t="n">
        <v>1</v>
      </c>
      <c r="P104" s="19" t="n">
        <v>3</v>
      </c>
      <c r="Q104" s="19" t="n">
        <v>0</v>
      </c>
      <c r="R104" s="19" t="n">
        <v>2</v>
      </c>
      <c r="S104" s="19" t="n">
        <v>0</v>
      </c>
      <c r="T104" s="19" t="n">
        <v>1</v>
      </c>
      <c r="U104" s="19" t="n">
        <v>2</v>
      </c>
      <c r="V104" s="19" t="n">
        <v>0</v>
      </c>
      <c r="W104" s="19" t="n">
        <v>1</v>
      </c>
      <c r="X104" s="19" t="n">
        <v>3</v>
      </c>
      <c r="Y104" s="19" t="n">
        <v>2</v>
      </c>
      <c r="Z104" s="19" t="n">
        <v>2</v>
      </c>
      <c r="AA104" s="19" t="n">
        <v>0</v>
      </c>
      <c r="AB104" s="30" t="n">
        <v>2</v>
      </c>
      <c r="AC104" s="19" t="n">
        <v>2</v>
      </c>
      <c r="AD104" s="19" t="n">
        <v>1</v>
      </c>
      <c r="AE104" s="19" t="n">
        <v>0</v>
      </c>
      <c r="AF104" s="19" t="n">
        <v>0</v>
      </c>
      <c r="AG104" s="19"/>
      <c r="AH104" s="19"/>
      <c r="CB104" s="6"/>
      <c r="CU104" s="6"/>
      <c r="CV104" s="6"/>
      <c r="CW104" s="6"/>
      <c r="CX104" s="6"/>
      <c r="CY104" s="6"/>
      <c r="CZ104" s="6"/>
      <c r="DA104" s="6"/>
      <c r="DK104" s="43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</row>
    <row r="105" customFormat="false" ht="12.75" hidden="false" customHeight="false" outlineLevel="0" collapsed="false">
      <c r="A105" s="16" t="s">
        <v>216</v>
      </c>
      <c r="B105" s="17" t="n">
        <f aca="false">AVERAGE(E105:AE105)</f>
        <v>1.22222222222222</v>
      </c>
      <c r="C105" s="2" t="n">
        <f aca="false">MIN(E105:AE105)</f>
        <v>0</v>
      </c>
      <c r="D105" s="18" t="n">
        <f aca="false">MAX(E105:AE105)</f>
        <v>3</v>
      </c>
      <c r="E105" s="19" t="n">
        <v>0</v>
      </c>
      <c r="F105" s="19" t="n">
        <v>2</v>
      </c>
      <c r="G105" s="19" t="n">
        <v>1</v>
      </c>
      <c r="H105" s="19" t="n">
        <v>2</v>
      </c>
      <c r="I105" s="19" t="n">
        <v>0</v>
      </c>
      <c r="J105" s="19" t="n">
        <v>2</v>
      </c>
      <c r="K105" s="19" t="n">
        <v>0</v>
      </c>
      <c r="L105" s="19" t="n">
        <v>0</v>
      </c>
      <c r="M105" s="19" t="n">
        <v>3</v>
      </c>
      <c r="N105" s="19" t="n">
        <v>1</v>
      </c>
      <c r="O105" s="19" t="n">
        <v>1</v>
      </c>
      <c r="P105" s="19" t="n">
        <v>3</v>
      </c>
      <c r="Q105" s="19" t="n">
        <v>0</v>
      </c>
      <c r="R105" s="19" t="n">
        <v>2</v>
      </c>
      <c r="S105" s="19" t="n">
        <v>0</v>
      </c>
      <c r="T105" s="19" t="n">
        <v>1</v>
      </c>
      <c r="U105" s="19" t="n">
        <v>2</v>
      </c>
      <c r="V105" s="19" t="n">
        <v>0</v>
      </c>
      <c r="W105" s="19" t="n">
        <v>1</v>
      </c>
      <c r="X105" s="19" t="n">
        <v>3</v>
      </c>
      <c r="Y105" s="19" t="n">
        <v>2</v>
      </c>
      <c r="Z105" s="19" t="n">
        <v>2</v>
      </c>
      <c r="AA105" s="19" t="n">
        <v>0</v>
      </c>
      <c r="AB105" s="22" t="n">
        <v>2</v>
      </c>
      <c r="AC105" s="19" t="n">
        <v>2</v>
      </c>
      <c r="AD105" s="19" t="n">
        <v>1</v>
      </c>
      <c r="AE105" s="19" t="n">
        <v>0</v>
      </c>
      <c r="AF105" s="19" t="n">
        <v>0</v>
      </c>
      <c r="AG105" s="19"/>
      <c r="AH105" s="19"/>
      <c r="CB105" s="6"/>
      <c r="CU105" s="6"/>
      <c r="CV105" s="6"/>
      <c r="CW105" s="6"/>
      <c r="CX105" s="6"/>
      <c r="CY105" s="6"/>
      <c r="CZ105" s="6"/>
      <c r="DA105" s="6"/>
      <c r="DK105" s="43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</row>
    <row r="106" customFormat="false" ht="12.75" hidden="false" customHeight="false" outlineLevel="0" collapsed="false">
      <c r="A106" s="16" t="s">
        <v>217</v>
      </c>
      <c r="B106" s="17" t="n">
        <f aca="false">AVERAGE(E106:AE106)</f>
        <v>1.25925925925926</v>
      </c>
      <c r="C106" s="2" t="n">
        <f aca="false">MIN(E106:AE106)</f>
        <v>0</v>
      </c>
      <c r="D106" s="18" t="n">
        <f aca="false">MAX(E106:AE106)</f>
        <v>3</v>
      </c>
      <c r="E106" s="19" t="n">
        <v>0</v>
      </c>
      <c r="F106" s="19" t="n">
        <v>2</v>
      </c>
      <c r="G106" s="19" t="n">
        <v>1</v>
      </c>
      <c r="H106" s="19" t="n">
        <v>2</v>
      </c>
      <c r="I106" s="19" t="n">
        <v>0</v>
      </c>
      <c r="J106" s="19" t="n">
        <v>2</v>
      </c>
      <c r="K106" s="19" t="n">
        <v>0</v>
      </c>
      <c r="L106" s="19" t="n">
        <v>0</v>
      </c>
      <c r="M106" s="19" t="n">
        <v>3</v>
      </c>
      <c r="N106" s="19" t="n">
        <v>2</v>
      </c>
      <c r="O106" s="19" t="n">
        <v>1</v>
      </c>
      <c r="P106" s="19" t="n">
        <v>3</v>
      </c>
      <c r="Q106" s="19" t="n">
        <v>0</v>
      </c>
      <c r="R106" s="19" t="n">
        <v>2</v>
      </c>
      <c r="S106" s="19" t="n">
        <v>0</v>
      </c>
      <c r="T106" s="19" t="n">
        <v>1</v>
      </c>
      <c r="U106" s="19" t="n">
        <v>2</v>
      </c>
      <c r="V106" s="19" t="n">
        <v>0</v>
      </c>
      <c r="W106" s="19" t="n">
        <v>1</v>
      </c>
      <c r="X106" s="19" t="n">
        <v>3</v>
      </c>
      <c r="Y106" s="19" t="n">
        <v>2</v>
      </c>
      <c r="Z106" s="19" t="n">
        <v>2</v>
      </c>
      <c r="AA106" s="19" t="n">
        <v>0</v>
      </c>
      <c r="AB106" s="19" t="n">
        <v>2</v>
      </c>
      <c r="AC106" s="19" t="n">
        <v>2</v>
      </c>
      <c r="AD106" s="19" t="n">
        <v>1</v>
      </c>
      <c r="AE106" s="19" t="n">
        <v>0</v>
      </c>
      <c r="AF106" s="19" t="n">
        <v>0</v>
      </c>
      <c r="AG106" s="19"/>
      <c r="AH106" s="19"/>
      <c r="CB106" s="6"/>
      <c r="CU106" s="6"/>
      <c r="CV106" s="6"/>
      <c r="CW106" s="6"/>
      <c r="CX106" s="6"/>
      <c r="CY106" s="6"/>
      <c r="CZ106" s="6"/>
      <c r="DA106" s="6"/>
      <c r="DK106" s="43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</row>
    <row r="107" customFormat="false" ht="12.75" hidden="false" customHeight="false" outlineLevel="0" collapsed="false">
      <c r="A107" s="16" t="s">
        <v>218</v>
      </c>
      <c r="B107" s="17" t="n">
        <f aca="false">AVERAGE(E107:AE107)</f>
        <v>1.2962962962963</v>
      </c>
      <c r="C107" s="2" t="n">
        <f aca="false">MIN(E107:AE107)</f>
        <v>0</v>
      </c>
      <c r="D107" s="18" t="n">
        <f aca="false">MAX(E107:AE107)</f>
        <v>3</v>
      </c>
      <c r="E107" s="19" t="n">
        <v>0</v>
      </c>
      <c r="F107" s="19" t="n">
        <v>2</v>
      </c>
      <c r="G107" s="19" t="n">
        <v>1</v>
      </c>
      <c r="H107" s="19" t="n">
        <v>2</v>
      </c>
      <c r="I107" s="19" t="n">
        <v>0</v>
      </c>
      <c r="J107" s="19" t="n">
        <v>2</v>
      </c>
      <c r="K107" s="19" t="n">
        <v>0</v>
      </c>
      <c r="L107" s="19" t="n">
        <v>0</v>
      </c>
      <c r="M107" s="19" t="n">
        <v>3</v>
      </c>
      <c r="N107" s="2" t="n">
        <v>2</v>
      </c>
      <c r="O107" s="19" t="n">
        <v>1</v>
      </c>
      <c r="P107" s="19" t="n">
        <v>3</v>
      </c>
      <c r="Q107" s="19" t="n">
        <v>0</v>
      </c>
      <c r="R107" s="19" t="n">
        <v>2</v>
      </c>
      <c r="S107" s="19" t="n">
        <v>0</v>
      </c>
      <c r="T107" s="19" t="n">
        <v>1</v>
      </c>
      <c r="U107" s="19" t="n">
        <v>2</v>
      </c>
      <c r="V107" s="30" t="n">
        <v>1</v>
      </c>
      <c r="W107" s="19" t="n">
        <v>1</v>
      </c>
      <c r="X107" s="19" t="n">
        <v>3</v>
      </c>
      <c r="Y107" s="19" t="n">
        <v>2</v>
      </c>
      <c r="Z107" s="19" t="n">
        <v>2</v>
      </c>
      <c r="AA107" s="19" t="n">
        <v>0</v>
      </c>
      <c r="AB107" s="19" t="n">
        <v>2</v>
      </c>
      <c r="AC107" s="19" t="n">
        <v>2</v>
      </c>
      <c r="AD107" s="19" t="n">
        <v>1</v>
      </c>
      <c r="AE107" s="19" t="n">
        <v>0</v>
      </c>
      <c r="AF107" s="19" t="n">
        <v>0</v>
      </c>
      <c r="AG107" s="19"/>
      <c r="AH107" s="19"/>
      <c r="CB107" s="6"/>
      <c r="CU107" s="6"/>
      <c r="CV107" s="6"/>
      <c r="CW107" s="6"/>
      <c r="CX107" s="6"/>
      <c r="CY107" s="6"/>
      <c r="CZ107" s="6"/>
      <c r="DA107" s="6"/>
      <c r="DK107" s="43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</row>
    <row r="108" customFormat="false" ht="12.75" hidden="false" customHeight="false" outlineLevel="0" collapsed="false">
      <c r="A108" s="16" t="s">
        <v>219</v>
      </c>
      <c r="B108" s="17" t="n">
        <f aca="false">AVERAGE(E108:AE108)</f>
        <v>1.2962962962963</v>
      </c>
      <c r="C108" s="2" t="n">
        <f aca="false">MIN(E108:AE108)</f>
        <v>0</v>
      </c>
      <c r="D108" s="18" t="n">
        <f aca="false">MAX(E108:AE108)</f>
        <v>3</v>
      </c>
      <c r="E108" s="19" t="n">
        <v>0</v>
      </c>
      <c r="F108" s="19" t="n">
        <v>2</v>
      </c>
      <c r="G108" s="19" t="n">
        <v>1</v>
      </c>
      <c r="H108" s="19" t="n">
        <v>2</v>
      </c>
      <c r="I108" s="19" t="n">
        <v>0</v>
      </c>
      <c r="J108" s="19" t="n">
        <v>2</v>
      </c>
      <c r="K108" s="19" t="n">
        <v>0</v>
      </c>
      <c r="L108" s="19" t="n">
        <v>0</v>
      </c>
      <c r="M108" s="19" t="n">
        <v>3</v>
      </c>
      <c r="N108" s="19" t="n">
        <v>2</v>
      </c>
      <c r="O108" s="19" t="n">
        <v>1</v>
      </c>
      <c r="P108" s="19" t="n">
        <v>3</v>
      </c>
      <c r="Q108" s="19" t="n">
        <v>0</v>
      </c>
      <c r="R108" s="19" t="n">
        <v>2</v>
      </c>
      <c r="S108" s="19" t="n">
        <v>0</v>
      </c>
      <c r="T108" s="19" t="n">
        <v>1</v>
      </c>
      <c r="U108" s="19" t="n">
        <v>2</v>
      </c>
      <c r="V108" s="19" t="n">
        <v>1</v>
      </c>
      <c r="W108" s="19" t="n">
        <v>1</v>
      </c>
      <c r="X108" s="19" t="n">
        <v>3</v>
      </c>
      <c r="Y108" s="19" t="n">
        <v>2</v>
      </c>
      <c r="Z108" s="19" t="n">
        <v>2</v>
      </c>
      <c r="AA108" s="19" t="n">
        <v>0</v>
      </c>
      <c r="AB108" s="19" t="n">
        <v>2</v>
      </c>
      <c r="AC108" s="19" t="n">
        <v>2</v>
      </c>
      <c r="AD108" s="19" t="n">
        <v>1</v>
      </c>
      <c r="AE108" s="19" t="n">
        <v>0</v>
      </c>
      <c r="AF108" s="19" t="n">
        <v>0</v>
      </c>
      <c r="AG108" s="19"/>
      <c r="AH108" s="19"/>
      <c r="CB108" s="6"/>
      <c r="CU108" s="6"/>
      <c r="CV108" s="6"/>
      <c r="CW108" s="6"/>
      <c r="CX108" s="6"/>
      <c r="CY108" s="6"/>
      <c r="CZ108" s="6"/>
      <c r="DA108" s="6"/>
      <c r="DK108" s="43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</row>
    <row r="109" customFormat="false" ht="12.75" hidden="false" customHeight="false" outlineLevel="0" collapsed="false">
      <c r="A109" s="16" t="s">
        <v>220</v>
      </c>
      <c r="B109" s="17" t="n">
        <f aca="false">AVERAGE(E109:AE109)</f>
        <v>1.37037037037037</v>
      </c>
      <c r="C109" s="2" t="n">
        <f aca="false">MIN(E109:AE109)</f>
        <v>0</v>
      </c>
      <c r="D109" s="18" t="n">
        <f aca="false">MAX(E109:AE109)</f>
        <v>3</v>
      </c>
      <c r="E109" s="19" t="n">
        <v>0</v>
      </c>
      <c r="F109" s="19" t="n">
        <v>2</v>
      </c>
      <c r="G109" s="19" t="n">
        <v>1</v>
      </c>
      <c r="H109" s="19" t="n">
        <v>2</v>
      </c>
      <c r="I109" s="19" t="n">
        <v>0</v>
      </c>
      <c r="J109" s="19" t="n">
        <v>2</v>
      </c>
      <c r="K109" s="19" t="n">
        <v>0</v>
      </c>
      <c r="L109" s="19" t="n">
        <v>0</v>
      </c>
      <c r="M109" s="19" t="n">
        <v>3</v>
      </c>
      <c r="N109" s="30" t="n">
        <v>3</v>
      </c>
      <c r="O109" s="19" t="n">
        <v>1</v>
      </c>
      <c r="P109" s="19" t="n">
        <v>3</v>
      </c>
      <c r="Q109" s="19" t="n">
        <v>0</v>
      </c>
      <c r="R109" s="19" t="n">
        <v>2</v>
      </c>
      <c r="S109" s="19" t="n">
        <v>0</v>
      </c>
      <c r="T109" s="19" t="n">
        <v>2</v>
      </c>
      <c r="U109" s="19" t="n">
        <v>2</v>
      </c>
      <c r="V109" s="19" t="n">
        <v>1</v>
      </c>
      <c r="W109" s="19" t="n">
        <v>1</v>
      </c>
      <c r="X109" s="19" t="n">
        <v>3</v>
      </c>
      <c r="Y109" s="19" t="n">
        <v>2</v>
      </c>
      <c r="Z109" s="19" t="n">
        <v>2</v>
      </c>
      <c r="AA109" s="19" t="n">
        <v>0</v>
      </c>
      <c r="AB109" s="19" t="n">
        <v>2</v>
      </c>
      <c r="AC109" s="19" t="n">
        <v>2</v>
      </c>
      <c r="AD109" s="19" t="n">
        <v>1</v>
      </c>
      <c r="AE109" s="19" t="n">
        <v>0</v>
      </c>
      <c r="AF109" s="19" t="n">
        <v>0</v>
      </c>
      <c r="AG109" s="19"/>
      <c r="AH109" s="19"/>
      <c r="CB109" s="6"/>
      <c r="CU109" s="6"/>
      <c r="CV109" s="6"/>
      <c r="CW109" s="6"/>
      <c r="CX109" s="6"/>
      <c r="CY109" s="6"/>
      <c r="CZ109" s="6"/>
      <c r="DA109" s="6"/>
      <c r="DK109" s="43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</row>
    <row r="110" customFormat="false" ht="12.75" hidden="false" customHeight="false" outlineLevel="0" collapsed="false">
      <c r="A110" s="16" t="s">
        <v>221</v>
      </c>
      <c r="B110" s="17" t="n">
        <f aca="false">AVERAGE(E110:AE110)</f>
        <v>1.40740740740741</v>
      </c>
      <c r="C110" s="2" t="n">
        <f aca="false">MIN(E110:AE110)</f>
        <v>0</v>
      </c>
      <c r="D110" s="18" t="n">
        <f aca="false">MAX(E110:AE110)</f>
        <v>3</v>
      </c>
      <c r="E110" s="19" t="n">
        <v>0</v>
      </c>
      <c r="F110" s="30" t="n">
        <v>3</v>
      </c>
      <c r="G110" s="19" t="n">
        <v>1</v>
      </c>
      <c r="H110" s="19" t="n">
        <v>2</v>
      </c>
      <c r="I110" s="19" t="n">
        <v>0</v>
      </c>
      <c r="J110" s="19" t="n">
        <v>2</v>
      </c>
      <c r="K110" s="19" t="n">
        <v>0</v>
      </c>
      <c r="L110" s="19" t="n">
        <v>0</v>
      </c>
      <c r="M110" s="19" t="n">
        <v>3</v>
      </c>
      <c r="N110" s="19" t="n">
        <v>3</v>
      </c>
      <c r="O110" s="19" t="n">
        <v>1</v>
      </c>
      <c r="P110" s="19" t="n">
        <v>3</v>
      </c>
      <c r="Q110" s="19" t="n">
        <v>0</v>
      </c>
      <c r="R110" s="19" t="n">
        <v>2</v>
      </c>
      <c r="S110" s="19" t="n">
        <v>0</v>
      </c>
      <c r="T110" s="19" t="n">
        <v>2</v>
      </c>
      <c r="U110" s="19" t="n">
        <v>2</v>
      </c>
      <c r="V110" s="19" t="n">
        <v>1</v>
      </c>
      <c r="W110" s="19" t="n">
        <v>1</v>
      </c>
      <c r="X110" s="19" t="n">
        <v>3</v>
      </c>
      <c r="Y110" s="19" t="n">
        <v>2</v>
      </c>
      <c r="Z110" s="19" t="n">
        <v>2</v>
      </c>
      <c r="AA110" s="19" t="n">
        <v>0</v>
      </c>
      <c r="AB110" s="19" t="n">
        <v>2</v>
      </c>
      <c r="AC110" s="19" t="n">
        <v>2</v>
      </c>
      <c r="AD110" s="19" t="n">
        <v>1</v>
      </c>
      <c r="AE110" s="19" t="n">
        <v>0</v>
      </c>
      <c r="AF110" s="19" t="n">
        <v>0</v>
      </c>
      <c r="AG110" s="19"/>
      <c r="AH110" s="19"/>
      <c r="CB110" s="6"/>
      <c r="CU110" s="6"/>
      <c r="CV110" s="6"/>
      <c r="CW110" s="6"/>
      <c r="CX110" s="6"/>
      <c r="CY110" s="6"/>
      <c r="CZ110" s="6"/>
      <c r="DA110" s="6"/>
      <c r="DK110" s="43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</row>
    <row r="111" customFormat="false" ht="12.75" hidden="false" customHeight="false" outlineLevel="0" collapsed="false">
      <c r="A111" s="16" t="s">
        <v>222</v>
      </c>
      <c r="B111" s="17" t="n">
        <f aca="false">AVERAGE(E111:AE111)</f>
        <v>1.40740740740741</v>
      </c>
      <c r="C111" s="2" t="n">
        <f aca="false">MIN(E111:AE111)</f>
        <v>0</v>
      </c>
      <c r="D111" s="18" t="n">
        <f aca="false">MAX(E111:AE111)</f>
        <v>3</v>
      </c>
      <c r="E111" s="19" t="n">
        <v>0</v>
      </c>
      <c r="F111" s="19" t="n">
        <v>3</v>
      </c>
      <c r="G111" s="19" t="n">
        <v>1</v>
      </c>
      <c r="H111" s="19" t="n">
        <v>2</v>
      </c>
      <c r="I111" s="19" t="n">
        <v>0</v>
      </c>
      <c r="J111" s="19" t="n">
        <v>2</v>
      </c>
      <c r="K111" s="19" t="n">
        <v>0</v>
      </c>
      <c r="L111" s="19" t="n">
        <v>0</v>
      </c>
      <c r="M111" s="19" t="n">
        <v>3</v>
      </c>
      <c r="N111" s="19" t="n">
        <v>3</v>
      </c>
      <c r="O111" s="19" t="n">
        <v>1</v>
      </c>
      <c r="P111" s="19" t="n">
        <v>3</v>
      </c>
      <c r="Q111" s="19" t="n">
        <v>0</v>
      </c>
      <c r="R111" s="19" t="n">
        <v>2</v>
      </c>
      <c r="S111" s="19" t="n">
        <v>0</v>
      </c>
      <c r="T111" s="19" t="n">
        <v>2</v>
      </c>
      <c r="U111" s="19" t="n">
        <v>2</v>
      </c>
      <c r="V111" s="19" t="n">
        <v>1</v>
      </c>
      <c r="W111" s="19" t="n">
        <v>1</v>
      </c>
      <c r="X111" s="19" t="n">
        <v>3</v>
      </c>
      <c r="Y111" s="19" t="n">
        <v>2</v>
      </c>
      <c r="Z111" s="19" t="n">
        <v>2</v>
      </c>
      <c r="AA111" s="19" t="n">
        <v>0</v>
      </c>
      <c r="AB111" s="19" t="n">
        <v>2</v>
      </c>
      <c r="AC111" s="19" t="n">
        <v>2</v>
      </c>
      <c r="AD111" s="19" t="n">
        <v>1</v>
      </c>
      <c r="AE111" s="19" t="n">
        <v>0</v>
      </c>
      <c r="AF111" s="19" t="n">
        <v>0</v>
      </c>
      <c r="AG111" s="19"/>
      <c r="AH111" s="19"/>
      <c r="CB111" s="6"/>
      <c r="CU111" s="6"/>
      <c r="CV111" s="6"/>
      <c r="CW111" s="6"/>
      <c r="CX111" s="6"/>
      <c r="CY111" s="6"/>
      <c r="CZ111" s="6"/>
      <c r="DA111" s="6"/>
      <c r="DK111" s="43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</row>
    <row r="112" customFormat="false" ht="12.75" hidden="false" customHeight="false" outlineLevel="0" collapsed="false">
      <c r="A112" s="16" t="s">
        <v>223</v>
      </c>
      <c r="B112" s="17" t="n">
        <f aca="false">AVERAGE(E112:AE112)</f>
        <v>1.44444444444444</v>
      </c>
      <c r="C112" s="2" t="n">
        <f aca="false">MIN(E112:AE112)</f>
        <v>0</v>
      </c>
      <c r="D112" s="18" t="n">
        <f aca="false">MAX(E112:AE112)</f>
        <v>3</v>
      </c>
      <c r="E112" s="19" t="n">
        <v>0</v>
      </c>
      <c r="F112" s="19" t="n">
        <v>3</v>
      </c>
      <c r="G112" s="19" t="n">
        <v>1</v>
      </c>
      <c r="H112" s="19" t="n">
        <v>2</v>
      </c>
      <c r="I112" s="19" t="n">
        <v>0</v>
      </c>
      <c r="J112" s="19" t="n">
        <v>2</v>
      </c>
      <c r="K112" s="30" t="n">
        <v>1</v>
      </c>
      <c r="L112" s="19" t="n">
        <v>0</v>
      </c>
      <c r="M112" s="19" t="n">
        <v>3</v>
      </c>
      <c r="N112" s="19" t="n">
        <v>3</v>
      </c>
      <c r="O112" s="19" t="n">
        <v>1</v>
      </c>
      <c r="P112" s="19" t="n">
        <v>3</v>
      </c>
      <c r="Q112" s="19" t="n">
        <v>0</v>
      </c>
      <c r="R112" s="19" t="n">
        <v>2</v>
      </c>
      <c r="S112" s="19" t="n">
        <v>0</v>
      </c>
      <c r="T112" s="19" t="n">
        <v>2</v>
      </c>
      <c r="U112" s="19" t="n">
        <v>2</v>
      </c>
      <c r="V112" s="19" t="n">
        <v>1</v>
      </c>
      <c r="W112" s="19" t="n">
        <v>1</v>
      </c>
      <c r="X112" s="19" t="n">
        <v>3</v>
      </c>
      <c r="Y112" s="19" t="n">
        <v>2</v>
      </c>
      <c r="Z112" s="19" t="n">
        <v>2</v>
      </c>
      <c r="AA112" s="19" t="n">
        <v>0</v>
      </c>
      <c r="AB112" s="19" t="n">
        <v>2</v>
      </c>
      <c r="AC112" s="19" t="n">
        <v>2</v>
      </c>
      <c r="AD112" s="19" t="n">
        <v>1</v>
      </c>
      <c r="AE112" s="19" t="n">
        <v>0</v>
      </c>
      <c r="AF112" s="19" t="n">
        <v>0</v>
      </c>
      <c r="AG112" s="19"/>
      <c r="AH112" s="19"/>
      <c r="CB112" s="6"/>
      <c r="CU112" s="6"/>
      <c r="CV112" s="6"/>
      <c r="CW112" s="6"/>
      <c r="CX112" s="6"/>
      <c r="CY112" s="6"/>
      <c r="CZ112" s="6"/>
      <c r="DA112" s="6"/>
      <c r="DK112" s="43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</row>
    <row r="113" customFormat="false" ht="12.75" hidden="false" customHeight="false" outlineLevel="0" collapsed="false">
      <c r="A113" s="16" t="s">
        <v>224</v>
      </c>
      <c r="B113" s="17" t="n">
        <f aca="false">AVERAGE(E113:AE113)</f>
        <v>1.51851851851852</v>
      </c>
      <c r="C113" s="2" t="n">
        <f aca="false">MIN(E113:AE113)</f>
        <v>0</v>
      </c>
      <c r="D113" s="18" t="n">
        <f aca="false">MAX(E113:AE113)</f>
        <v>3</v>
      </c>
      <c r="E113" s="19" t="n">
        <v>0</v>
      </c>
      <c r="F113" s="19" t="n">
        <v>3</v>
      </c>
      <c r="G113" s="19" t="n">
        <v>1</v>
      </c>
      <c r="H113" s="19" t="n">
        <v>2</v>
      </c>
      <c r="I113" s="19" t="n">
        <v>0</v>
      </c>
      <c r="J113" s="30" t="n">
        <v>3</v>
      </c>
      <c r="K113" s="19" t="n">
        <v>1</v>
      </c>
      <c r="L113" s="19" t="n">
        <v>0</v>
      </c>
      <c r="M113" s="19" t="n">
        <v>3</v>
      </c>
      <c r="N113" s="19" t="n">
        <v>3</v>
      </c>
      <c r="O113" s="19" t="n">
        <v>1</v>
      </c>
      <c r="P113" s="19" t="n">
        <v>3</v>
      </c>
      <c r="Q113" s="19" t="n">
        <v>0</v>
      </c>
      <c r="R113" s="19" t="n">
        <v>2</v>
      </c>
      <c r="S113" s="30" t="n">
        <v>1</v>
      </c>
      <c r="T113" s="19" t="n">
        <v>2</v>
      </c>
      <c r="U113" s="19" t="n">
        <v>2</v>
      </c>
      <c r="V113" s="19" t="n">
        <v>1</v>
      </c>
      <c r="W113" s="19" t="n">
        <v>1</v>
      </c>
      <c r="X113" s="19" t="n">
        <v>3</v>
      </c>
      <c r="Y113" s="19" t="n">
        <v>2</v>
      </c>
      <c r="Z113" s="19" t="n">
        <v>2</v>
      </c>
      <c r="AA113" s="19" t="n">
        <v>0</v>
      </c>
      <c r="AB113" s="19" t="n">
        <v>2</v>
      </c>
      <c r="AC113" s="19" t="n">
        <v>2</v>
      </c>
      <c r="AD113" s="19" t="n">
        <v>1</v>
      </c>
      <c r="AE113" s="19" t="n">
        <v>0</v>
      </c>
      <c r="AF113" s="19" t="n">
        <v>0</v>
      </c>
      <c r="AG113" s="19"/>
      <c r="AH113" s="19"/>
      <c r="CB113" s="6"/>
      <c r="CU113" s="6"/>
      <c r="CV113" s="6"/>
      <c r="CW113" s="6"/>
      <c r="CX113" s="6"/>
      <c r="CY113" s="6"/>
      <c r="CZ113" s="6"/>
      <c r="DA113" s="6"/>
      <c r="DK113" s="43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</row>
    <row r="114" customFormat="false" ht="12.75" hidden="false" customHeight="false" outlineLevel="0" collapsed="false">
      <c r="A114" s="16" t="s">
        <v>225</v>
      </c>
      <c r="B114" s="17" t="n">
        <f aca="false">AVERAGE(E114:AE114)</f>
        <v>1.59259259259259</v>
      </c>
      <c r="C114" s="2" t="n">
        <f aca="false">MIN(E114:AE114)</f>
        <v>0</v>
      </c>
      <c r="D114" s="18" t="n">
        <f aca="false">MAX(E114:AE114)</f>
        <v>3</v>
      </c>
      <c r="E114" s="19" t="n">
        <v>0</v>
      </c>
      <c r="F114" s="19" t="n">
        <v>3</v>
      </c>
      <c r="G114" s="19" t="n">
        <v>1</v>
      </c>
      <c r="H114" s="30" t="n">
        <v>3</v>
      </c>
      <c r="I114" s="30" t="n">
        <v>1</v>
      </c>
      <c r="J114" s="19" t="n">
        <v>3</v>
      </c>
      <c r="K114" s="19" t="n">
        <v>1</v>
      </c>
      <c r="L114" s="19" t="n">
        <v>0</v>
      </c>
      <c r="M114" s="19" t="n">
        <v>3</v>
      </c>
      <c r="N114" s="19" t="n">
        <v>3</v>
      </c>
      <c r="O114" s="19" t="n">
        <v>1</v>
      </c>
      <c r="P114" s="19" t="n">
        <v>3</v>
      </c>
      <c r="Q114" s="19" t="n">
        <v>0</v>
      </c>
      <c r="R114" s="19" t="n">
        <v>2</v>
      </c>
      <c r="S114" s="19" t="n">
        <v>1</v>
      </c>
      <c r="T114" s="19" t="n">
        <v>2</v>
      </c>
      <c r="U114" s="19" t="n">
        <v>2</v>
      </c>
      <c r="V114" s="19" t="n">
        <v>1</v>
      </c>
      <c r="W114" s="19" t="n">
        <v>1</v>
      </c>
      <c r="X114" s="19" t="n">
        <v>3</v>
      </c>
      <c r="Y114" s="19" t="n">
        <v>2</v>
      </c>
      <c r="Z114" s="19" t="n">
        <v>2</v>
      </c>
      <c r="AA114" s="19" t="n">
        <v>0</v>
      </c>
      <c r="AB114" s="19" t="n">
        <v>2</v>
      </c>
      <c r="AC114" s="19" t="n">
        <v>2</v>
      </c>
      <c r="AD114" s="19" t="n">
        <v>1</v>
      </c>
      <c r="AE114" s="19" t="n">
        <v>0</v>
      </c>
      <c r="AF114" s="30" t="n">
        <v>1</v>
      </c>
      <c r="AG114" s="19"/>
      <c r="AH114" s="19"/>
      <c r="CB114" s="6"/>
      <c r="CU114" s="6"/>
      <c r="CV114" s="6"/>
      <c r="CW114" s="6"/>
      <c r="CX114" s="6"/>
      <c r="CY114" s="6"/>
      <c r="CZ114" s="6"/>
      <c r="DA114" s="6"/>
      <c r="DK114" s="43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</row>
    <row r="115" customFormat="false" ht="12.75" hidden="false" customHeight="false" outlineLevel="0" collapsed="false">
      <c r="A115" s="16" t="s">
        <v>226</v>
      </c>
      <c r="B115" s="17" t="n">
        <f aca="false">AVERAGE(E115:AE115)</f>
        <v>1.59259259259259</v>
      </c>
      <c r="C115" s="2" t="n">
        <f aca="false">MIN(E115:AE115)</f>
        <v>0</v>
      </c>
      <c r="D115" s="18" t="n">
        <f aca="false">MAX(E115:AE115)</f>
        <v>3</v>
      </c>
      <c r="E115" s="19" t="n">
        <v>0</v>
      </c>
      <c r="F115" s="19" t="n">
        <v>3</v>
      </c>
      <c r="G115" s="19" t="n">
        <v>1</v>
      </c>
      <c r="H115" s="19" t="n">
        <v>3</v>
      </c>
      <c r="I115" s="19" t="n">
        <v>1</v>
      </c>
      <c r="J115" s="19" t="n">
        <v>3</v>
      </c>
      <c r="K115" s="19" t="n">
        <v>1</v>
      </c>
      <c r="L115" s="19" t="n">
        <v>0</v>
      </c>
      <c r="M115" s="19" t="n">
        <v>3</v>
      </c>
      <c r="N115" s="19" t="n">
        <v>3</v>
      </c>
      <c r="O115" s="19" t="n">
        <v>1</v>
      </c>
      <c r="P115" s="19" t="n">
        <v>3</v>
      </c>
      <c r="Q115" s="19" t="n">
        <v>0</v>
      </c>
      <c r="R115" s="19" t="n">
        <v>2</v>
      </c>
      <c r="S115" s="19" t="n">
        <v>1</v>
      </c>
      <c r="T115" s="19" t="n">
        <v>2</v>
      </c>
      <c r="U115" s="19" t="n">
        <v>2</v>
      </c>
      <c r="V115" s="19" t="n">
        <v>1</v>
      </c>
      <c r="W115" s="19" t="n">
        <v>1</v>
      </c>
      <c r="X115" s="19" t="n">
        <v>3</v>
      </c>
      <c r="Y115" s="19" t="n">
        <v>2</v>
      </c>
      <c r="Z115" s="19" t="n">
        <v>2</v>
      </c>
      <c r="AA115" s="19" t="n">
        <v>0</v>
      </c>
      <c r="AB115" s="19" t="n">
        <v>2</v>
      </c>
      <c r="AC115" s="19" t="n">
        <v>2</v>
      </c>
      <c r="AD115" s="19" t="n">
        <v>1</v>
      </c>
      <c r="AE115" s="19" t="n">
        <v>0</v>
      </c>
      <c r="AF115" s="19" t="n">
        <v>1</v>
      </c>
      <c r="AG115" s="19"/>
      <c r="AH115" s="19"/>
      <c r="CB115" s="6"/>
      <c r="CU115" s="6"/>
      <c r="CV115" s="6"/>
      <c r="CW115" s="6"/>
      <c r="CX115" s="6"/>
      <c r="CY115" s="6"/>
      <c r="CZ115" s="6"/>
      <c r="DA115" s="6"/>
      <c r="DK115" s="43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</row>
    <row r="116" customFormat="false" ht="12.75" hidden="false" customHeight="false" outlineLevel="0" collapsed="false">
      <c r="A116" s="16" t="s">
        <v>227</v>
      </c>
      <c r="B116" s="17" t="n">
        <f aca="false">AVERAGE(E116:AE116)</f>
        <v>1.59259259259259</v>
      </c>
      <c r="C116" s="2" t="n">
        <f aca="false">MIN(E116:AE116)</f>
        <v>0</v>
      </c>
      <c r="D116" s="18" t="n">
        <f aca="false">MAX(E116:AE116)</f>
        <v>3</v>
      </c>
      <c r="E116" s="19" t="n">
        <v>0</v>
      </c>
      <c r="F116" s="19" t="n">
        <v>3</v>
      </c>
      <c r="G116" s="19" t="n">
        <v>1</v>
      </c>
      <c r="H116" s="19" t="n">
        <v>3</v>
      </c>
      <c r="I116" s="19" t="n">
        <v>1</v>
      </c>
      <c r="J116" s="19" t="n">
        <v>3</v>
      </c>
      <c r="K116" s="19" t="n">
        <v>1</v>
      </c>
      <c r="L116" s="19" t="n">
        <v>0</v>
      </c>
      <c r="M116" s="19" t="n">
        <v>3</v>
      </c>
      <c r="N116" s="19" t="n">
        <v>3</v>
      </c>
      <c r="O116" s="19" t="n">
        <v>1</v>
      </c>
      <c r="P116" s="19" t="n">
        <v>3</v>
      </c>
      <c r="Q116" s="19" t="n">
        <v>0</v>
      </c>
      <c r="R116" s="19" t="n">
        <v>2</v>
      </c>
      <c r="S116" s="19" t="n">
        <v>1</v>
      </c>
      <c r="T116" s="19" t="n">
        <v>2</v>
      </c>
      <c r="U116" s="19" t="n">
        <v>2</v>
      </c>
      <c r="V116" s="19" t="n">
        <v>1</v>
      </c>
      <c r="W116" s="19" t="n">
        <v>1</v>
      </c>
      <c r="X116" s="19" t="n">
        <v>3</v>
      </c>
      <c r="Y116" s="19" t="n">
        <v>2</v>
      </c>
      <c r="Z116" s="19" t="n">
        <v>2</v>
      </c>
      <c r="AA116" s="19" t="n">
        <v>0</v>
      </c>
      <c r="AB116" s="19" t="n">
        <v>2</v>
      </c>
      <c r="AC116" s="19" t="n">
        <v>2</v>
      </c>
      <c r="AD116" s="19" t="n">
        <v>1</v>
      </c>
      <c r="AE116" s="19" t="n">
        <v>0</v>
      </c>
      <c r="AF116" s="19" t="n">
        <v>1</v>
      </c>
      <c r="AG116" s="19"/>
      <c r="AH116" s="19"/>
      <c r="CB116" s="6"/>
      <c r="CU116" s="6"/>
      <c r="CV116" s="6"/>
      <c r="CW116" s="6"/>
      <c r="CX116" s="6"/>
      <c r="CY116" s="6"/>
      <c r="CZ116" s="6"/>
      <c r="DA116" s="6"/>
      <c r="DK116" s="43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</row>
    <row r="117" customFormat="false" ht="12.75" hidden="false" customHeight="false" outlineLevel="0" collapsed="false">
      <c r="A117" s="16" t="s">
        <v>228</v>
      </c>
      <c r="B117" s="17" t="n">
        <f aca="false">AVERAGE(E117:AE117)</f>
        <v>1.66666666666667</v>
      </c>
      <c r="C117" s="2" t="n">
        <f aca="false">MIN(E117:AE117)</f>
        <v>0</v>
      </c>
      <c r="D117" s="18" t="n">
        <f aca="false">MAX(E117:AE117)</f>
        <v>3</v>
      </c>
      <c r="E117" s="19" t="n">
        <v>0</v>
      </c>
      <c r="F117" s="19" t="n">
        <v>3</v>
      </c>
      <c r="G117" s="19" t="n">
        <v>1</v>
      </c>
      <c r="H117" s="19" t="n">
        <v>3</v>
      </c>
      <c r="I117" s="19" t="n">
        <v>1</v>
      </c>
      <c r="J117" s="19" t="n">
        <v>3</v>
      </c>
      <c r="K117" s="19" t="n">
        <v>1</v>
      </c>
      <c r="L117" s="19" t="n">
        <v>1</v>
      </c>
      <c r="M117" s="19" t="n">
        <v>3</v>
      </c>
      <c r="N117" s="19" t="n">
        <v>3</v>
      </c>
      <c r="O117" s="19" t="n">
        <v>1</v>
      </c>
      <c r="P117" s="19" t="n">
        <v>3</v>
      </c>
      <c r="Q117" s="19" t="n">
        <v>0</v>
      </c>
      <c r="R117" s="19" t="n">
        <v>2</v>
      </c>
      <c r="S117" s="19" t="n">
        <v>1</v>
      </c>
      <c r="T117" s="30" t="n">
        <v>3</v>
      </c>
      <c r="U117" s="19" t="n">
        <v>2</v>
      </c>
      <c r="V117" s="19" t="n">
        <v>1</v>
      </c>
      <c r="W117" s="19" t="n">
        <v>1</v>
      </c>
      <c r="X117" s="19" t="n">
        <v>3</v>
      </c>
      <c r="Y117" s="19" t="n">
        <v>2</v>
      </c>
      <c r="Z117" s="19" t="n">
        <v>2</v>
      </c>
      <c r="AA117" s="19" t="n">
        <v>0</v>
      </c>
      <c r="AB117" s="19" t="n">
        <v>2</v>
      </c>
      <c r="AC117" s="19" t="n">
        <v>2</v>
      </c>
      <c r="AD117" s="19" t="n">
        <v>1</v>
      </c>
      <c r="AE117" s="19" t="n">
        <v>0</v>
      </c>
      <c r="AF117" s="19" t="n">
        <v>1</v>
      </c>
      <c r="AG117" s="19"/>
      <c r="AH117" s="19"/>
      <c r="CB117" s="6"/>
      <c r="CU117" s="6"/>
      <c r="CV117" s="6"/>
      <c r="CW117" s="6"/>
      <c r="CX117" s="6"/>
      <c r="CY117" s="6"/>
      <c r="CZ117" s="6"/>
      <c r="DA117" s="6"/>
      <c r="DK117" s="43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</row>
    <row r="118" customFormat="false" ht="12.75" hidden="false" customHeight="false" outlineLevel="0" collapsed="false">
      <c r="A118" s="16" t="s">
        <v>229</v>
      </c>
      <c r="B118" s="17" t="n">
        <f aca="false">AVERAGE(E118:AE118)</f>
        <v>1.74074074074074</v>
      </c>
      <c r="C118" s="2" t="n">
        <f aca="false">MIN(E118:AE118)</f>
        <v>0</v>
      </c>
      <c r="D118" s="18" t="n">
        <f aca="false">MAX(E118:AE118)</f>
        <v>4</v>
      </c>
      <c r="E118" s="19" t="n">
        <v>0</v>
      </c>
      <c r="F118" s="19" t="n">
        <v>3</v>
      </c>
      <c r="G118" s="19" t="n">
        <v>1</v>
      </c>
      <c r="H118" s="19" t="n">
        <v>3</v>
      </c>
      <c r="I118" s="19" t="n">
        <v>1</v>
      </c>
      <c r="J118" s="19" t="n">
        <v>3</v>
      </c>
      <c r="K118" s="19" t="n">
        <v>1</v>
      </c>
      <c r="L118" s="19" t="n">
        <v>2</v>
      </c>
      <c r="M118" s="19" t="n">
        <v>3</v>
      </c>
      <c r="N118" s="19" t="n">
        <v>3</v>
      </c>
      <c r="O118" s="19" t="n">
        <v>1</v>
      </c>
      <c r="P118" s="19" t="n">
        <v>3</v>
      </c>
      <c r="Q118" s="19" t="n">
        <v>0</v>
      </c>
      <c r="R118" s="19" t="n">
        <v>2</v>
      </c>
      <c r="S118" s="19" t="n">
        <v>1</v>
      </c>
      <c r="T118" s="19" t="n">
        <v>3</v>
      </c>
      <c r="U118" s="19" t="n">
        <v>2</v>
      </c>
      <c r="V118" s="19" t="n">
        <v>1</v>
      </c>
      <c r="W118" s="19" t="n">
        <v>1</v>
      </c>
      <c r="X118" s="123" t="n">
        <v>4</v>
      </c>
      <c r="Y118" s="19" t="n">
        <v>2</v>
      </c>
      <c r="Z118" s="19" t="n">
        <v>2</v>
      </c>
      <c r="AA118" s="19" t="n">
        <v>0</v>
      </c>
      <c r="AB118" s="19" t="n">
        <v>2</v>
      </c>
      <c r="AC118" s="19" t="n">
        <v>2</v>
      </c>
      <c r="AD118" s="19" t="n">
        <v>1</v>
      </c>
      <c r="AE118" s="19" t="n">
        <v>0</v>
      </c>
      <c r="AF118" s="19" t="n">
        <v>1</v>
      </c>
      <c r="AG118" s="19"/>
      <c r="AH118" s="19"/>
      <c r="CB118" s="6"/>
      <c r="CU118" s="6"/>
      <c r="CV118" s="6"/>
      <c r="CW118" s="6"/>
      <c r="CX118" s="6"/>
      <c r="CY118" s="6"/>
      <c r="CZ118" s="6"/>
      <c r="DA118" s="6"/>
      <c r="DK118" s="43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</row>
    <row r="119" customFormat="false" ht="12.75" hidden="false" customHeight="false" outlineLevel="0" collapsed="false">
      <c r="A119" s="16" t="s">
        <v>230</v>
      </c>
      <c r="B119" s="17" t="n">
        <f aca="false">AVERAGE(E119:AE119)</f>
        <v>1.81481481481481</v>
      </c>
      <c r="C119" s="2" t="n">
        <f aca="false">MIN(E119:AE119)</f>
        <v>0</v>
      </c>
      <c r="D119" s="18" t="n">
        <f aca="false">MAX(E119:AE119)</f>
        <v>4</v>
      </c>
      <c r="E119" s="19" t="n">
        <v>0</v>
      </c>
      <c r="F119" s="19" t="n">
        <v>3</v>
      </c>
      <c r="G119" s="19" t="n">
        <v>1</v>
      </c>
      <c r="H119" s="19" t="n">
        <v>3</v>
      </c>
      <c r="I119" s="19" t="n">
        <v>1</v>
      </c>
      <c r="J119" s="19" t="n">
        <v>3</v>
      </c>
      <c r="K119" s="19" t="n">
        <v>1</v>
      </c>
      <c r="L119" s="19" t="n">
        <v>2</v>
      </c>
      <c r="M119" s="19" t="n">
        <v>3</v>
      </c>
      <c r="N119" s="19" t="n">
        <v>3</v>
      </c>
      <c r="O119" s="19" t="n">
        <v>1</v>
      </c>
      <c r="P119" s="19" t="n">
        <v>3</v>
      </c>
      <c r="Q119" s="19" t="n">
        <v>0</v>
      </c>
      <c r="R119" s="30" t="n">
        <v>3</v>
      </c>
      <c r="S119" s="19" t="n">
        <v>1</v>
      </c>
      <c r="T119" s="30" t="n">
        <v>4</v>
      </c>
      <c r="U119" s="19" t="n">
        <v>2</v>
      </c>
      <c r="V119" s="19" t="n">
        <v>1</v>
      </c>
      <c r="W119" s="19" t="n">
        <v>1</v>
      </c>
      <c r="X119" s="19" t="n">
        <v>4</v>
      </c>
      <c r="Y119" s="19" t="n">
        <v>2</v>
      </c>
      <c r="Z119" s="19" t="n">
        <v>2</v>
      </c>
      <c r="AA119" s="19" t="n">
        <v>0</v>
      </c>
      <c r="AB119" s="19" t="n">
        <v>2</v>
      </c>
      <c r="AC119" s="19" t="n">
        <v>2</v>
      </c>
      <c r="AD119" s="19" t="n">
        <v>1</v>
      </c>
      <c r="AE119" s="19" t="n">
        <v>0</v>
      </c>
      <c r="AF119" s="19" t="n">
        <v>1</v>
      </c>
      <c r="AG119" s="19"/>
      <c r="AH119" s="19"/>
      <c r="CB119" s="6"/>
      <c r="CU119" s="6"/>
      <c r="CV119" s="6"/>
      <c r="CW119" s="6"/>
      <c r="CX119" s="6"/>
      <c r="CY119" s="6"/>
      <c r="CZ119" s="6"/>
      <c r="DA119" s="6"/>
      <c r="DK119" s="43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</row>
    <row r="120" customFormat="false" ht="12.75" hidden="false" customHeight="false" outlineLevel="0" collapsed="false">
      <c r="A120" s="16" t="s">
        <v>231</v>
      </c>
      <c r="B120" s="17" t="n">
        <f aca="false">AVERAGE(E120:AE120)</f>
        <v>1.85185185185185</v>
      </c>
      <c r="C120" s="2" t="n">
        <f aca="false">MIN(E120:AE120)</f>
        <v>0</v>
      </c>
      <c r="D120" s="18" t="n">
        <f aca="false">MAX(E120:AE120)</f>
        <v>4</v>
      </c>
      <c r="E120" s="19" t="n">
        <v>1</v>
      </c>
      <c r="F120" s="19" t="n">
        <v>3</v>
      </c>
      <c r="G120" s="19" t="n">
        <v>1</v>
      </c>
      <c r="H120" s="19" t="n">
        <v>3</v>
      </c>
      <c r="I120" s="19" t="n">
        <v>1</v>
      </c>
      <c r="J120" s="19" t="n">
        <v>3</v>
      </c>
      <c r="K120" s="19" t="n">
        <v>1</v>
      </c>
      <c r="L120" s="19" t="n">
        <v>2</v>
      </c>
      <c r="M120" s="19" t="n">
        <v>3</v>
      </c>
      <c r="N120" s="19" t="n">
        <v>3</v>
      </c>
      <c r="O120" s="19" t="n">
        <v>1</v>
      </c>
      <c r="P120" s="19" t="n">
        <v>3</v>
      </c>
      <c r="Q120" s="19" t="n">
        <v>0</v>
      </c>
      <c r="R120" s="19" t="n">
        <v>3</v>
      </c>
      <c r="S120" s="19" t="n">
        <v>1</v>
      </c>
      <c r="T120" s="19" t="n">
        <v>4</v>
      </c>
      <c r="U120" s="19" t="n">
        <v>2</v>
      </c>
      <c r="V120" s="19" t="n">
        <v>1</v>
      </c>
      <c r="W120" s="19" t="n">
        <v>1</v>
      </c>
      <c r="X120" s="19" t="n">
        <v>4</v>
      </c>
      <c r="Y120" s="19" t="n">
        <v>2</v>
      </c>
      <c r="Z120" s="19" t="n">
        <v>2</v>
      </c>
      <c r="AA120" s="19" t="n">
        <v>0</v>
      </c>
      <c r="AB120" s="19" t="n">
        <v>2</v>
      </c>
      <c r="AC120" s="19" t="n">
        <v>2</v>
      </c>
      <c r="AD120" s="19" t="n">
        <v>1</v>
      </c>
      <c r="AE120" s="19" t="n">
        <v>0</v>
      </c>
      <c r="AF120" s="19" t="n">
        <v>1</v>
      </c>
      <c r="AG120" s="19"/>
      <c r="AH120" s="19"/>
      <c r="CB120" s="6"/>
      <c r="CU120" s="6"/>
      <c r="CV120" s="6"/>
      <c r="CW120" s="6"/>
      <c r="CX120" s="6"/>
      <c r="CY120" s="6"/>
      <c r="CZ120" s="6"/>
      <c r="DA120" s="6"/>
      <c r="DK120" s="43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</row>
    <row r="121" customFormat="false" ht="12.75" hidden="false" customHeight="false" outlineLevel="0" collapsed="false">
      <c r="A121" s="16" t="s">
        <v>232</v>
      </c>
      <c r="B121" s="17" t="n">
        <f aca="false">AVERAGE(E121:AE121)</f>
        <v>2</v>
      </c>
      <c r="C121" s="2" t="n">
        <f aca="false">MIN(E121:AE121)</f>
        <v>0</v>
      </c>
      <c r="D121" s="18" t="n">
        <f aca="false">MAX(E121:AE121)</f>
        <v>5</v>
      </c>
      <c r="E121" s="19" t="n">
        <v>1</v>
      </c>
      <c r="F121" s="19" t="n">
        <v>3</v>
      </c>
      <c r="G121" s="19" t="n">
        <v>1</v>
      </c>
      <c r="H121" s="19" t="n">
        <v>3</v>
      </c>
      <c r="I121" s="19" t="n">
        <v>1</v>
      </c>
      <c r="J121" s="19" t="n">
        <v>3</v>
      </c>
      <c r="K121" s="19" t="n">
        <v>1</v>
      </c>
      <c r="L121" s="30" t="n">
        <v>3</v>
      </c>
      <c r="M121" s="19" t="n">
        <v>3</v>
      </c>
      <c r="N121" s="19" t="n">
        <v>3</v>
      </c>
      <c r="O121" s="19" t="n">
        <v>1</v>
      </c>
      <c r="P121" s="19" t="n">
        <v>3</v>
      </c>
      <c r="Q121" s="19" t="n">
        <v>0</v>
      </c>
      <c r="R121" s="19" t="n">
        <v>3</v>
      </c>
      <c r="S121" s="19" t="n">
        <v>1</v>
      </c>
      <c r="T121" s="19" t="n">
        <v>5</v>
      </c>
      <c r="U121" s="19" t="n">
        <v>3</v>
      </c>
      <c r="V121" s="19" t="n">
        <v>1</v>
      </c>
      <c r="W121" s="19" t="n">
        <v>1</v>
      </c>
      <c r="X121" s="19" t="n">
        <v>4</v>
      </c>
      <c r="Y121" s="19" t="n">
        <v>3</v>
      </c>
      <c r="Z121" s="19" t="n">
        <v>2</v>
      </c>
      <c r="AA121" s="19" t="n">
        <v>0</v>
      </c>
      <c r="AB121" s="19" t="n">
        <v>2</v>
      </c>
      <c r="AC121" s="19" t="n">
        <v>2</v>
      </c>
      <c r="AD121" s="19" t="n">
        <v>1</v>
      </c>
      <c r="AE121" s="19" t="n">
        <v>0</v>
      </c>
      <c r="AF121" s="19" t="n">
        <v>1</v>
      </c>
      <c r="AG121" s="19"/>
      <c r="AH121" s="19"/>
      <c r="CB121" s="6"/>
      <c r="CU121" s="6"/>
      <c r="CV121" s="6"/>
      <c r="CW121" s="6"/>
      <c r="CX121" s="6"/>
      <c r="CY121" s="6"/>
      <c r="CZ121" s="6"/>
      <c r="DA121" s="6"/>
      <c r="DK121" s="43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</row>
    <row r="122" customFormat="false" ht="12.75" hidden="false" customHeight="false" outlineLevel="0" collapsed="false">
      <c r="A122" s="16" t="s">
        <v>233</v>
      </c>
      <c r="B122" s="17" t="n">
        <f aca="false">AVERAGE(E122:AE122)</f>
        <v>2.14814814814815</v>
      </c>
      <c r="C122" s="2" t="n">
        <f aca="false">MIN(E122:AE122)</f>
        <v>0</v>
      </c>
      <c r="D122" s="18" t="n">
        <f aca="false">MAX(E122:AE122)</f>
        <v>5</v>
      </c>
      <c r="E122" s="19" t="n">
        <v>1</v>
      </c>
      <c r="F122" s="19" t="n">
        <v>3</v>
      </c>
      <c r="G122" s="19" t="n">
        <v>1</v>
      </c>
      <c r="H122" s="19" t="n">
        <v>3</v>
      </c>
      <c r="I122" s="19" t="n">
        <v>1</v>
      </c>
      <c r="J122" s="19" t="n">
        <v>3</v>
      </c>
      <c r="K122" s="19" t="n">
        <v>2</v>
      </c>
      <c r="L122" s="19" t="n">
        <v>4</v>
      </c>
      <c r="M122" s="19" t="n">
        <v>3</v>
      </c>
      <c r="N122" s="19" t="n">
        <v>3</v>
      </c>
      <c r="O122" s="19" t="n">
        <v>1</v>
      </c>
      <c r="P122" s="19" t="n">
        <v>3</v>
      </c>
      <c r="Q122" s="19" t="n">
        <v>0</v>
      </c>
      <c r="R122" s="19" t="n">
        <v>3</v>
      </c>
      <c r="S122" s="30" t="n">
        <v>2</v>
      </c>
      <c r="T122" s="19" t="n">
        <v>5</v>
      </c>
      <c r="U122" s="124" t="n">
        <v>4</v>
      </c>
      <c r="V122" s="19" t="n">
        <v>1</v>
      </c>
      <c r="W122" s="19" t="n">
        <v>1</v>
      </c>
      <c r="X122" s="19" t="n">
        <v>4</v>
      </c>
      <c r="Y122" s="19" t="n">
        <v>3</v>
      </c>
      <c r="Z122" s="19" t="n">
        <v>2</v>
      </c>
      <c r="AA122" s="19" t="n">
        <v>0</v>
      </c>
      <c r="AB122" s="19" t="n">
        <v>2</v>
      </c>
      <c r="AC122" s="19" t="n">
        <v>2</v>
      </c>
      <c r="AD122" s="19" t="n">
        <v>1</v>
      </c>
      <c r="AE122" s="19" t="n">
        <v>0</v>
      </c>
      <c r="AF122" s="19" t="n">
        <v>1</v>
      </c>
      <c r="AG122" s="19"/>
      <c r="AH122" s="19"/>
      <c r="CB122" s="6"/>
      <c r="CU122" s="6"/>
      <c r="CV122" s="6"/>
      <c r="CW122" s="6"/>
      <c r="CX122" s="6"/>
      <c r="CY122" s="6"/>
      <c r="CZ122" s="6"/>
      <c r="DA122" s="6"/>
      <c r="DK122" s="43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</row>
    <row r="123" customFormat="false" ht="12.75" hidden="false" customHeight="false" outlineLevel="0" collapsed="false">
      <c r="A123" s="16" t="s">
        <v>234</v>
      </c>
      <c r="B123" s="17" t="n">
        <f aca="false">AVERAGE(E123:AE123)</f>
        <v>2.22222222222222</v>
      </c>
      <c r="C123" s="2" t="n">
        <f aca="false">MIN(E123:AE123)</f>
        <v>0</v>
      </c>
      <c r="D123" s="18" t="n">
        <f aca="false">MAX(E123:AE123)</f>
        <v>6</v>
      </c>
      <c r="E123" s="19" t="n">
        <v>1</v>
      </c>
      <c r="F123" s="19" t="n">
        <v>3</v>
      </c>
      <c r="G123" s="19" t="n">
        <v>1</v>
      </c>
      <c r="H123" s="19" t="n">
        <v>3</v>
      </c>
      <c r="I123" s="19" t="n">
        <v>1</v>
      </c>
      <c r="J123" s="19" t="n">
        <v>3</v>
      </c>
      <c r="K123" s="19" t="n">
        <v>2</v>
      </c>
      <c r="L123" s="19" t="n">
        <v>4</v>
      </c>
      <c r="M123" s="19" t="n">
        <v>3</v>
      </c>
      <c r="N123" s="19" t="n">
        <v>3</v>
      </c>
      <c r="O123" s="19" t="n">
        <v>1</v>
      </c>
      <c r="P123" s="19" t="n">
        <v>3</v>
      </c>
      <c r="Q123" s="30" t="n">
        <v>1</v>
      </c>
      <c r="R123" s="19" t="n">
        <v>3</v>
      </c>
      <c r="S123" s="19" t="n">
        <v>2</v>
      </c>
      <c r="T123" s="30" t="n">
        <v>6</v>
      </c>
      <c r="U123" s="19" t="n">
        <v>4</v>
      </c>
      <c r="V123" s="19" t="n">
        <v>1</v>
      </c>
      <c r="W123" s="19" t="n">
        <v>1</v>
      </c>
      <c r="X123" s="19" t="n">
        <v>4</v>
      </c>
      <c r="Y123" s="19" t="n">
        <v>3</v>
      </c>
      <c r="Z123" s="19" t="n">
        <v>2</v>
      </c>
      <c r="AA123" s="19" t="n">
        <v>0</v>
      </c>
      <c r="AB123" s="19" t="n">
        <v>2</v>
      </c>
      <c r="AC123" s="19" t="n">
        <v>2</v>
      </c>
      <c r="AD123" s="19" t="n">
        <v>1</v>
      </c>
      <c r="AE123" s="19" t="n">
        <v>0</v>
      </c>
      <c r="AF123" s="19" t="n">
        <v>1</v>
      </c>
      <c r="AG123" s="19"/>
      <c r="AH123" s="19"/>
      <c r="CB123" s="6"/>
      <c r="CU123" s="6"/>
      <c r="CV123" s="6"/>
      <c r="CW123" s="6"/>
      <c r="CX123" s="6"/>
      <c r="CY123" s="6"/>
      <c r="CZ123" s="6"/>
      <c r="DA123" s="6"/>
      <c r="DK123" s="43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</row>
    <row r="124" customFormat="false" ht="12.75" hidden="false" customHeight="false" outlineLevel="0" collapsed="false">
      <c r="A124" s="16" t="s">
        <v>235</v>
      </c>
      <c r="B124" s="17" t="n">
        <f aca="false">AVERAGE(E124:AE124)</f>
        <v>2.25925925925926</v>
      </c>
      <c r="C124" s="2" t="n">
        <f aca="false">MIN(E124:AE124)</f>
        <v>0</v>
      </c>
      <c r="D124" s="18" t="n">
        <f aca="false">MAX(E124:AE124)</f>
        <v>6</v>
      </c>
      <c r="E124" s="19" t="n">
        <v>1</v>
      </c>
      <c r="F124" s="19" t="n">
        <v>3</v>
      </c>
      <c r="G124" s="19" t="n">
        <v>1</v>
      </c>
      <c r="H124" s="19" t="n">
        <v>3</v>
      </c>
      <c r="I124" s="19" t="n">
        <v>1</v>
      </c>
      <c r="J124" s="19" t="n">
        <v>3</v>
      </c>
      <c r="K124" s="19" t="n">
        <v>2</v>
      </c>
      <c r="L124" s="19" t="n">
        <v>4</v>
      </c>
      <c r="M124" s="19" t="n">
        <v>3</v>
      </c>
      <c r="N124" s="19" t="n">
        <v>3</v>
      </c>
      <c r="O124" s="19" t="n">
        <v>1</v>
      </c>
      <c r="P124" s="19" t="n">
        <v>3</v>
      </c>
      <c r="Q124" s="19" t="n">
        <v>1</v>
      </c>
      <c r="R124" s="19" t="n">
        <v>3</v>
      </c>
      <c r="S124" s="19" t="n">
        <v>2</v>
      </c>
      <c r="T124" s="19" t="n">
        <v>6</v>
      </c>
      <c r="U124" s="19" t="n">
        <v>4</v>
      </c>
      <c r="V124" s="19" t="n">
        <v>1</v>
      </c>
      <c r="W124" s="19" t="n">
        <v>1</v>
      </c>
      <c r="X124" s="19" t="n">
        <v>4</v>
      </c>
      <c r="Y124" s="19" t="n">
        <v>3</v>
      </c>
      <c r="Z124" s="19" t="n">
        <v>2</v>
      </c>
      <c r="AA124" s="19" t="n">
        <v>0</v>
      </c>
      <c r="AB124" s="19" t="n">
        <v>2</v>
      </c>
      <c r="AC124" s="30" t="n">
        <v>3</v>
      </c>
      <c r="AD124" s="19" t="n">
        <v>1</v>
      </c>
      <c r="AE124" s="19" t="n">
        <v>0</v>
      </c>
      <c r="AF124" s="19" t="n">
        <v>1</v>
      </c>
      <c r="AG124" s="19"/>
      <c r="AH124" s="19"/>
      <c r="CB124" s="6"/>
      <c r="CU124" s="6"/>
      <c r="CV124" s="6"/>
      <c r="CW124" s="6"/>
      <c r="CX124" s="6"/>
      <c r="CY124" s="6"/>
      <c r="CZ124" s="6"/>
      <c r="DA124" s="6"/>
      <c r="DK124" s="43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</row>
    <row r="125" customFormat="false" ht="12.75" hidden="false" customHeight="false" outlineLevel="0" collapsed="false">
      <c r="A125" s="16" t="s">
        <v>236</v>
      </c>
      <c r="B125" s="17" t="n">
        <f aca="false">AVERAGE(E125:AE125)</f>
        <v>2.37037037037037</v>
      </c>
      <c r="C125" s="2" t="n">
        <f aca="false">MIN(E125:AE125)</f>
        <v>0</v>
      </c>
      <c r="D125" s="18" t="n">
        <f aca="false">MAX(E125:AE125)</f>
        <v>6</v>
      </c>
      <c r="E125" s="19" t="n">
        <v>1</v>
      </c>
      <c r="F125" s="30" t="n">
        <v>4</v>
      </c>
      <c r="G125" s="19" t="n">
        <v>1</v>
      </c>
      <c r="H125" s="19" t="n">
        <v>3</v>
      </c>
      <c r="I125" s="19" t="n">
        <v>1</v>
      </c>
      <c r="J125" s="19" t="n">
        <v>3</v>
      </c>
      <c r="K125" s="19" t="n">
        <v>2</v>
      </c>
      <c r="L125" s="19" t="n">
        <v>4</v>
      </c>
      <c r="M125" s="19" t="n">
        <v>3</v>
      </c>
      <c r="N125" s="19" t="n">
        <v>3</v>
      </c>
      <c r="O125" s="30" t="n">
        <v>2</v>
      </c>
      <c r="P125" s="19" t="n">
        <v>3</v>
      </c>
      <c r="Q125" s="19" t="n">
        <v>2</v>
      </c>
      <c r="R125" s="19" t="n">
        <v>3</v>
      </c>
      <c r="S125" s="19" t="n">
        <v>2</v>
      </c>
      <c r="T125" s="19" t="n">
        <v>6</v>
      </c>
      <c r="U125" s="19" t="n">
        <v>4</v>
      </c>
      <c r="V125" s="19" t="n">
        <v>1</v>
      </c>
      <c r="W125" s="19" t="n">
        <v>1</v>
      </c>
      <c r="X125" s="19" t="n">
        <v>4</v>
      </c>
      <c r="Y125" s="19" t="n">
        <v>3</v>
      </c>
      <c r="Z125" s="19" t="n">
        <v>2</v>
      </c>
      <c r="AA125" s="19" t="n">
        <v>0</v>
      </c>
      <c r="AB125" s="19" t="n">
        <v>2</v>
      </c>
      <c r="AC125" s="19" t="n">
        <v>3</v>
      </c>
      <c r="AD125" s="19" t="n">
        <v>1</v>
      </c>
      <c r="AE125" s="19" t="n">
        <v>0</v>
      </c>
      <c r="AF125" s="19" t="n">
        <v>1</v>
      </c>
      <c r="AG125" s="19"/>
      <c r="AH125" s="19"/>
      <c r="CB125" s="6"/>
      <c r="CU125" s="6"/>
      <c r="CV125" s="6"/>
      <c r="CW125" s="6"/>
      <c r="CX125" s="6"/>
      <c r="CY125" s="6"/>
      <c r="CZ125" s="6"/>
      <c r="DA125" s="6"/>
      <c r="DK125" s="43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</row>
    <row r="126" customFormat="false" ht="12.75" hidden="false" customHeight="false" outlineLevel="0" collapsed="false">
      <c r="A126" s="16" t="s">
        <v>237</v>
      </c>
      <c r="B126" s="17" t="n">
        <f aca="false">AVERAGE(E126:AE126)</f>
        <v>2.48148148148148</v>
      </c>
      <c r="C126" s="2" t="n">
        <f aca="false">MIN(E126:AE126)</f>
        <v>0</v>
      </c>
      <c r="D126" s="18" t="n">
        <f aca="false">MAX(E126:AE126)</f>
        <v>7</v>
      </c>
      <c r="E126" s="19" t="n">
        <v>1</v>
      </c>
      <c r="F126" s="19" t="n">
        <v>5</v>
      </c>
      <c r="G126" s="19" t="n">
        <v>1</v>
      </c>
      <c r="H126" s="19" t="n">
        <v>3</v>
      </c>
      <c r="I126" s="19" t="n">
        <v>1</v>
      </c>
      <c r="J126" s="30" t="n">
        <v>4</v>
      </c>
      <c r="K126" s="19" t="n">
        <v>2</v>
      </c>
      <c r="L126" s="19" t="n">
        <v>4</v>
      </c>
      <c r="M126" s="19" t="n">
        <v>3</v>
      </c>
      <c r="N126" s="19" t="n">
        <v>3</v>
      </c>
      <c r="O126" s="19" t="n">
        <v>2</v>
      </c>
      <c r="P126" s="19" t="n">
        <v>3</v>
      </c>
      <c r="Q126" s="19" t="n">
        <v>2</v>
      </c>
      <c r="R126" s="19" t="n">
        <v>3</v>
      </c>
      <c r="S126" s="19" t="n">
        <v>2</v>
      </c>
      <c r="T126" s="19" t="n">
        <v>7</v>
      </c>
      <c r="U126" s="19" t="n">
        <v>4</v>
      </c>
      <c r="V126" s="19" t="n">
        <v>1</v>
      </c>
      <c r="W126" s="19" t="n">
        <v>1</v>
      </c>
      <c r="X126" s="19" t="n">
        <v>4</v>
      </c>
      <c r="Y126" s="19" t="n">
        <v>3</v>
      </c>
      <c r="Z126" s="19" t="n">
        <v>2</v>
      </c>
      <c r="AA126" s="19" t="n">
        <v>0</v>
      </c>
      <c r="AB126" s="19" t="n">
        <v>2</v>
      </c>
      <c r="AC126" s="19" t="n">
        <v>3</v>
      </c>
      <c r="AD126" s="19" t="n">
        <v>1</v>
      </c>
      <c r="AE126" s="19" t="n">
        <v>0</v>
      </c>
      <c r="AF126" s="19" t="n">
        <v>1</v>
      </c>
      <c r="AG126" s="19"/>
      <c r="AH126" s="19"/>
      <c r="CB126" s="6"/>
      <c r="CU126" s="6"/>
      <c r="CV126" s="6"/>
      <c r="CW126" s="6"/>
      <c r="CX126" s="6"/>
      <c r="CY126" s="6"/>
      <c r="CZ126" s="6"/>
      <c r="DA126" s="6"/>
      <c r="DK126" s="43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</row>
    <row r="127" customFormat="false" ht="12.75" hidden="false" customHeight="false" outlineLevel="0" collapsed="false">
      <c r="A127" s="16" t="s">
        <v>238</v>
      </c>
      <c r="B127" s="17" t="n">
        <f aca="false">AVERAGE(E127:AE127)</f>
        <v>2.7037037037037</v>
      </c>
      <c r="C127" s="2" t="n">
        <f aca="false">MIN(E127:AE127)</f>
        <v>0</v>
      </c>
      <c r="D127" s="18" t="n">
        <f aca="false">MAX(E127:AE127)</f>
        <v>8</v>
      </c>
      <c r="E127" s="19" t="n">
        <v>1</v>
      </c>
      <c r="F127" s="19" t="n">
        <v>5</v>
      </c>
      <c r="G127" s="19" t="n">
        <v>1</v>
      </c>
      <c r="H127" s="124" t="n">
        <v>4</v>
      </c>
      <c r="I127" s="19" t="n">
        <v>1</v>
      </c>
      <c r="J127" s="19" t="n">
        <v>4</v>
      </c>
      <c r="K127" s="19" t="n">
        <v>2</v>
      </c>
      <c r="L127" s="19" t="n">
        <v>4</v>
      </c>
      <c r="M127" s="19" t="n">
        <v>3</v>
      </c>
      <c r="N127" s="30" t="n">
        <v>4</v>
      </c>
      <c r="O127" s="19" t="n">
        <v>2</v>
      </c>
      <c r="P127" s="19" t="n">
        <v>3</v>
      </c>
      <c r="Q127" s="19" t="n">
        <v>3</v>
      </c>
      <c r="R127" s="19" t="n">
        <v>4</v>
      </c>
      <c r="S127" s="19" t="n">
        <v>2</v>
      </c>
      <c r="T127" s="19" t="n">
        <v>8</v>
      </c>
      <c r="U127" s="19" t="n">
        <v>4</v>
      </c>
      <c r="V127" s="19" t="n">
        <v>1</v>
      </c>
      <c r="W127" s="19" t="n">
        <v>1</v>
      </c>
      <c r="X127" s="19" t="n">
        <v>5</v>
      </c>
      <c r="Y127" s="19" t="n">
        <v>3</v>
      </c>
      <c r="Z127" s="19" t="n">
        <v>2</v>
      </c>
      <c r="AA127" s="19" t="n">
        <v>0</v>
      </c>
      <c r="AB127" s="19" t="n">
        <v>2</v>
      </c>
      <c r="AC127" s="19" t="n">
        <v>3</v>
      </c>
      <c r="AD127" s="19" t="n">
        <v>1</v>
      </c>
      <c r="AE127" s="19" t="n">
        <v>0</v>
      </c>
      <c r="AF127" s="19" t="n">
        <v>1</v>
      </c>
      <c r="AG127" s="19"/>
      <c r="AH127" s="19"/>
      <c r="CB127" s="6"/>
      <c r="CU127" s="6"/>
      <c r="CV127" s="6"/>
      <c r="CW127" s="6"/>
      <c r="CX127" s="6"/>
      <c r="CY127" s="6"/>
      <c r="CZ127" s="6"/>
      <c r="DA127" s="6"/>
      <c r="DK127" s="43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</row>
    <row r="128" customFormat="false" ht="12.75" hidden="false" customHeight="false" outlineLevel="0" collapsed="false">
      <c r="A128" s="16" t="s">
        <v>239</v>
      </c>
      <c r="B128" s="17" t="n">
        <f aca="false">AVERAGE(E128:AE128)</f>
        <v>2.81481481481482</v>
      </c>
      <c r="C128" s="2" t="n">
        <f aca="false">MIN(E128:AE128)</f>
        <v>0</v>
      </c>
      <c r="D128" s="18" t="n">
        <f aca="false">MAX(E128:AE128)</f>
        <v>8</v>
      </c>
      <c r="E128" s="19" t="n">
        <v>1</v>
      </c>
      <c r="F128" s="19" t="n">
        <v>5</v>
      </c>
      <c r="G128" s="19" t="n">
        <v>2</v>
      </c>
      <c r="H128" s="19" t="n">
        <v>4</v>
      </c>
      <c r="I128" s="19" t="n">
        <v>1</v>
      </c>
      <c r="J128" s="19" t="n">
        <v>5</v>
      </c>
      <c r="K128" s="19" t="n">
        <v>2</v>
      </c>
      <c r="L128" s="19" t="n">
        <v>4</v>
      </c>
      <c r="M128" s="19" t="n">
        <v>3</v>
      </c>
      <c r="N128" s="19" t="n">
        <v>4</v>
      </c>
      <c r="O128" s="19" t="n">
        <v>2</v>
      </c>
      <c r="P128" s="19" t="n">
        <v>3</v>
      </c>
      <c r="Q128" s="19" t="n">
        <v>3</v>
      </c>
      <c r="R128" s="19" t="n">
        <v>4</v>
      </c>
      <c r="S128" s="19" t="n">
        <v>2</v>
      </c>
      <c r="T128" s="19" t="n">
        <v>8</v>
      </c>
      <c r="U128" s="19" t="n">
        <v>4</v>
      </c>
      <c r="V128" s="19" t="n">
        <v>1</v>
      </c>
      <c r="W128" s="19" t="n">
        <v>1</v>
      </c>
      <c r="X128" s="19" t="n">
        <v>5</v>
      </c>
      <c r="Y128" s="19" t="n">
        <v>3</v>
      </c>
      <c r="Z128" s="19" t="n">
        <v>2</v>
      </c>
      <c r="AA128" s="19" t="n">
        <v>0</v>
      </c>
      <c r="AB128" s="19" t="n">
        <v>2</v>
      </c>
      <c r="AC128" s="19" t="n">
        <v>3</v>
      </c>
      <c r="AD128" s="19" t="n">
        <v>1</v>
      </c>
      <c r="AE128" s="19" t="n">
        <v>1</v>
      </c>
      <c r="AF128" s="19" t="n">
        <v>1</v>
      </c>
      <c r="AG128" s="19"/>
      <c r="AH128" s="19"/>
      <c r="CB128" s="6"/>
      <c r="CU128" s="6"/>
      <c r="CV128" s="6"/>
      <c r="CW128" s="6"/>
      <c r="CX128" s="6"/>
      <c r="CY128" s="6"/>
      <c r="CZ128" s="6"/>
      <c r="DA128" s="6"/>
      <c r="DK128" s="43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</row>
    <row r="129" customFormat="false" ht="12.75" hidden="false" customHeight="false" outlineLevel="0" collapsed="false">
      <c r="A129" s="16" t="s">
        <v>240</v>
      </c>
      <c r="B129" s="17" t="n">
        <f aca="false">AVERAGE(E129:AE129)</f>
        <v>2.85185185185185</v>
      </c>
      <c r="C129" s="2" t="n">
        <f aca="false">MIN(E129:AE129)</f>
        <v>0</v>
      </c>
      <c r="D129" s="18" t="n">
        <f aca="false">MAX(E129:AE129)</f>
        <v>8</v>
      </c>
      <c r="E129" s="19" t="n">
        <v>1</v>
      </c>
      <c r="F129" s="19" t="n">
        <v>5</v>
      </c>
      <c r="G129" s="19" t="n">
        <v>3</v>
      </c>
      <c r="H129" s="19" t="n">
        <v>4</v>
      </c>
      <c r="I129" s="19" t="n">
        <v>1</v>
      </c>
      <c r="J129" s="19" t="n">
        <v>5</v>
      </c>
      <c r="K129" s="19" t="n">
        <v>2</v>
      </c>
      <c r="L129" s="19" t="n">
        <v>4</v>
      </c>
      <c r="M129" s="19" t="n">
        <v>3</v>
      </c>
      <c r="N129" s="19" t="n">
        <v>4</v>
      </c>
      <c r="O129" s="19" t="n">
        <v>2</v>
      </c>
      <c r="P129" s="19" t="n">
        <v>3</v>
      </c>
      <c r="Q129" s="19" t="n">
        <v>3</v>
      </c>
      <c r="R129" s="19" t="n">
        <v>4</v>
      </c>
      <c r="S129" s="19" t="n">
        <v>2</v>
      </c>
      <c r="T129" s="19" t="n">
        <v>8</v>
      </c>
      <c r="U129" s="19" t="n">
        <v>4</v>
      </c>
      <c r="V129" s="19" t="n">
        <v>1</v>
      </c>
      <c r="W129" s="19" t="n">
        <v>1</v>
      </c>
      <c r="X129" s="19" t="n">
        <v>5</v>
      </c>
      <c r="Y129" s="19" t="n">
        <v>3</v>
      </c>
      <c r="Z129" s="19" t="n">
        <v>2</v>
      </c>
      <c r="AA129" s="19" t="n">
        <v>0</v>
      </c>
      <c r="AB129" s="19" t="n">
        <v>2</v>
      </c>
      <c r="AC129" s="19" t="n">
        <v>3</v>
      </c>
      <c r="AD129" s="19" t="n">
        <v>1</v>
      </c>
      <c r="AE129" s="19" t="n">
        <v>1</v>
      </c>
      <c r="AF129" s="19" t="n">
        <v>1</v>
      </c>
      <c r="AG129" s="19"/>
      <c r="AH129" s="19"/>
      <c r="CB129" s="6"/>
      <c r="CU129" s="6"/>
      <c r="CV129" s="6"/>
      <c r="CW129" s="6"/>
      <c r="CX129" s="6"/>
      <c r="CY129" s="6"/>
      <c r="CZ129" s="6"/>
      <c r="DA129" s="6"/>
      <c r="DK129" s="43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</row>
    <row r="130" customFormat="false" ht="12.75" hidden="false" customHeight="false" outlineLevel="0" collapsed="false">
      <c r="A130" s="16" t="s">
        <v>241</v>
      </c>
      <c r="B130" s="17" t="n">
        <f aca="false">AVERAGE(E130:AE130)</f>
        <v>3</v>
      </c>
      <c r="C130" s="2" t="n">
        <f aca="false">MIN(E130:AE130)</f>
        <v>0</v>
      </c>
      <c r="D130" s="18" t="n">
        <f aca="false">MAX(E130:AE130)</f>
        <v>8</v>
      </c>
      <c r="E130" s="19" t="n">
        <v>1</v>
      </c>
      <c r="F130" s="19" t="n">
        <v>5</v>
      </c>
      <c r="G130" s="19" t="n">
        <v>3</v>
      </c>
      <c r="H130" s="19" t="n">
        <v>4</v>
      </c>
      <c r="I130" s="19" t="n">
        <v>1</v>
      </c>
      <c r="J130" s="19" t="n">
        <v>6</v>
      </c>
      <c r="K130" s="19" t="n">
        <v>2</v>
      </c>
      <c r="L130" s="19" t="n">
        <v>4</v>
      </c>
      <c r="M130" s="19" t="n">
        <v>3</v>
      </c>
      <c r="N130" s="19" t="n">
        <v>4</v>
      </c>
      <c r="O130" s="19" t="n">
        <v>2</v>
      </c>
      <c r="P130" s="19" t="n">
        <v>3</v>
      </c>
      <c r="Q130" s="19" t="n">
        <v>3</v>
      </c>
      <c r="R130" s="19" t="n">
        <v>5</v>
      </c>
      <c r="S130" s="30" t="n">
        <v>3</v>
      </c>
      <c r="T130" s="19" t="n">
        <v>8</v>
      </c>
      <c r="U130" s="19" t="n">
        <v>4</v>
      </c>
      <c r="V130" s="19" t="n">
        <v>1</v>
      </c>
      <c r="W130" s="19" t="n">
        <v>1</v>
      </c>
      <c r="X130" s="19" t="n">
        <v>5</v>
      </c>
      <c r="Y130" s="19" t="n">
        <v>3</v>
      </c>
      <c r="Z130" s="19" t="n">
        <v>2</v>
      </c>
      <c r="AA130" s="19" t="n">
        <v>0</v>
      </c>
      <c r="AB130" s="19" t="n">
        <v>3</v>
      </c>
      <c r="AC130" s="19" t="n">
        <v>3</v>
      </c>
      <c r="AD130" s="19" t="n">
        <v>1</v>
      </c>
      <c r="AE130" s="19" t="n">
        <v>1</v>
      </c>
      <c r="AF130" s="19" t="n">
        <v>2</v>
      </c>
      <c r="AG130" s="19"/>
      <c r="AH130" s="19"/>
      <c r="CB130" s="6"/>
      <c r="CU130" s="6"/>
      <c r="CV130" s="6"/>
      <c r="CW130" s="6"/>
      <c r="CX130" s="6"/>
      <c r="CY130" s="6"/>
      <c r="CZ130" s="6"/>
      <c r="DA130" s="6"/>
      <c r="DK130" s="43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</row>
    <row r="131" customFormat="false" ht="12.75" hidden="false" customHeight="false" outlineLevel="0" collapsed="false">
      <c r="A131" s="16" t="s">
        <v>242</v>
      </c>
      <c r="B131" s="17" t="n">
        <f aca="false">AVERAGE(E131:AE131)</f>
        <v>3.14814814814815</v>
      </c>
      <c r="C131" s="2" t="n">
        <f aca="false">MIN(E131:AE131)</f>
        <v>0</v>
      </c>
      <c r="D131" s="18" t="n">
        <f aca="false">MAX(E131:AE131)</f>
        <v>9</v>
      </c>
      <c r="E131" s="19" t="n">
        <v>1</v>
      </c>
      <c r="F131" s="19" t="n">
        <v>5</v>
      </c>
      <c r="G131" s="19" t="n">
        <v>3</v>
      </c>
      <c r="H131" s="19" t="n">
        <v>4</v>
      </c>
      <c r="I131" s="19" t="n">
        <v>1</v>
      </c>
      <c r="J131" s="30" t="n">
        <v>7</v>
      </c>
      <c r="K131" s="30" t="n">
        <v>3</v>
      </c>
      <c r="L131" s="19" t="n">
        <v>4</v>
      </c>
      <c r="M131" s="19" t="n">
        <v>3</v>
      </c>
      <c r="N131" s="30" t="n">
        <v>5</v>
      </c>
      <c r="O131" s="19" t="n">
        <v>2</v>
      </c>
      <c r="P131" s="19" t="n">
        <v>3</v>
      </c>
      <c r="Q131" s="19" t="n">
        <v>3</v>
      </c>
      <c r="R131" s="19" t="n">
        <v>5</v>
      </c>
      <c r="S131" s="19" t="n">
        <v>3</v>
      </c>
      <c r="T131" s="30" t="n">
        <v>9</v>
      </c>
      <c r="U131" s="19" t="n">
        <v>4</v>
      </c>
      <c r="V131" s="19" t="n">
        <v>1</v>
      </c>
      <c r="W131" s="19" t="n">
        <v>1</v>
      </c>
      <c r="X131" s="19" t="n">
        <v>5</v>
      </c>
      <c r="Y131" s="19" t="n">
        <v>3</v>
      </c>
      <c r="Z131" s="19" t="n">
        <v>2</v>
      </c>
      <c r="AA131" s="19" t="n">
        <v>0</v>
      </c>
      <c r="AB131" s="19" t="n">
        <v>3</v>
      </c>
      <c r="AC131" s="19" t="n">
        <v>3</v>
      </c>
      <c r="AD131" s="19" t="n">
        <v>1</v>
      </c>
      <c r="AE131" s="19" t="n">
        <v>1</v>
      </c>
      <c r="AF131" s="30" t="n">
        <v>3</v>
      </c>
      <c r="AG131" s="19"/>
      <c r="AH131" s="19"/>
      <c r="CB131" s="6"/>
      <c r="CU131" s="6"/>
      <c r="CV131" s="6"/>
      <c r="CW131" s="6"/>
      <c r="CX131" s="6"/>
      <c r="CY131" s="6"/>
      <c r="CZ131" s="6"/>
      <c r="DA131" s="6"/>
      <c r="DK131" s="43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</row>
    <row r="132" customFormat="false" ht="12.75" hidden="false" customHeight="false" outlineLevel="0" collapsed="false">
      <c r="A132" s="16" t="s">
        <v>243</v>
      </c>
      <c r="B132" s="17" t="n">
        <f aca="false">AVERAGE(E132:AE132)</f>
        <v>3.18518518518519</v>
      </c>
      <c r="C132" s="2" t="n">
        <f aca="false">MIN(E132:AE132)</f>
        <v>0</v>
      </c>
      <c r="D132" s="18" t="n">
        <f aca="false">MAX(E132:AE132)</f>
        <v>9</v>
      </c>
      <c r="E132" s="19" t="n">
        <v>1</v>
      </c>
      <c r="F132" s="19" t="n">
        <v>5</v>
      </c>
      <c r="G132" s="19" t="n">
        <v>3</v>
      </c>
      <c r="H132" s="19" t="n">
        <v>4</v>
      </c>
      <c r="I132" s="19" t="n">
        <v>1</v>
      </c>
      <c r="J132" s="19" t="n">
        <v>7</v>
      </c>
      <c r="K132" s="19" t="n">
        <v>3</v>
      </c>
      <c r="L132" s="19" t="n">
        <v>4</v>
      </c>
      <c r="M132" s="19" t="n">
        <v>3</v>
      </c>
      <c r="N132" s="19" t="n">
        <v>5</v>
      </c>
      <c r="O132" s="19" t="n">
        <v>2</v>
      </c>
      <c r="P132" s="19" t="n">
        <v>3</v>
      </c>
      <c r="Q132" s="19" t="n">
        <v>3</v>
      </c>
      <c r="R132" s="19" t="n">
        <v>5</v>
      </c>
      <c r="S132" s="19" t="n">
        <v>4</v>
      </c>
      <c r="T132" s="19" t="n">
        <v>9</v>
      </c>
      <c r="U132" s="19" t="n">
        <v>4</v>
      </c>
      <c r="V132" s="19" t="n">
        <v>1</v>
      </c>
      <c r="W132" s="19" t="n">
        <v>1</v>
      </c>
      <c r="X132" s="19" t="n">
        <v>5</v>
      </c>
      <c r="Y132" s="19" t="n">
        <v>3</v>
      </c>
      <c r="Z132" s="19" t="n">
        <v>2</v>
      </c>
      <c r="AA132" s="19" t="n">
        <v>0</v>
      </c>
      <c r="AB132" s="19" t="n">
        <v>3</v>
      </c>
      <c r="AC132" s="19" t="n">
        <v>3</v>
      </c>
      <c r="AD132" s="19" t="n">
        <v>1</v>
      </c>
      <c r="AE132" s="19" t="n">
        <v>1</v>
      </c>
      <c r="AF132" s="19" t="n">
        <v>3</v>
      </c>
      <c r="AG132" s="19"/>
      <c r="AH132" s="19"/>
      <c r="CB132" s="6"/>
      <c r="CU132" s="6"/>
      <c r="CV132" s="6"/>
      <c r="CW132" s="6"/>
      <c r="CX132" s="6"/>
      <c r="CY132" s="6"/>
      <c r="CZ132" s="6"/>
      <c r="DA132" s="6"/>
      <c r="DK132" s="43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</row>
    <row r="133" customFormat="false" ht="12.75" hidden="false" customHeight="false" outlineLevel="0" collapsed="false">
      <c r="A133" s="16" t="s">
        <v>244</v>
      </c>
      <c r="B133" s="17" t="n">
        <f aca="false">AVERAGE(E133:AE133)</f>
        <v>3.33333333333333</v>
      </c>
      <c r="C133" s="2" t="n">
        <f aca="false">MIN(E133:AE133)</f>
        <v>0</v>
      </c>
      <c r="D133" s="18" t="n">
        <f aca="false">MAX(E133:AE133)</f>
        <v>9</v>
      </c>
      <c r="E133" s="19" t="n">
        <v>1</v>
      </c>
      <c r="F133" s="19" t="n">
        <v>6</v>
      </c>
      <c r="G133" s="19" t="n">
        <v>3</v>
      </c>
      <c r="H133" s="19" t="n">
        <v>4</v>
      </c>
      <c r="I133" s="123" t="n">
        <v>2</v>
      </c>
      <c r="J133" s="19" t="n">
        <v>7</v>
      </c>
      <c r="K133" s="19" t="n">
        <v>3</v>
      </c>
      <c r="L133" s="19" t="n">
        <v>4</v>
      </c>
      <c r="M133" s="19" t="n">
        <v>3</v>
      </c>
      <c r="N133" s="19" t="n">
        <v>5</v>
      </c>
      <c r="O133" s="19" t="n">
        <v>3</v>
      </c>
      <c r="P133" s="19" t="n">
        <v>3</v>
      </c>
      <c r="Q133" s="19" t="n">
        <v>3</v>
      </c>
      <c r="R133" s="19" t="n">
        <v>5</v>
      </c>
      <c r="S133" s="30" t="n">
        <v>5</v>
      </c>
      <c r="T133" s="19" t="n">
        <v>9</v>
      </c>
      <c r="U133" s="19" t="n">
        <v>4</v>
      </c>
      <c r="V133" s="19" t="n">
        <v>1</v>
      </c>
      <c r="W133" s="19" t="n">
        <v>1</v>
      </c>
      <c r="X133" s="19" t="n">
        <v>5</v>
      </c>
      <c r="Y133" s="19" t="n">
        <v>3</v>
      </c>
      <c r="Z133" s="19" t="n">
        <v>2</v>
      </c>
      <c r="AA133" s="19" t="n">
        <v>0</v>
      </c>
      <c r="AB133" s="19" t="n">
        <v>3</v>
      </c>
      <c r="AC133" s="19" t="n">
        <v>3</v>
      </c>
      <c r="AD133" s="19" t="n">
        <v>1</v>
      </c>
      <c r="AE133" s="19" t="n">
        <v>1</v>
      </c>
      <c r="AF133" s="19" t="n">
        <v>3</v>
      </c>
      <c r="AG133" s="19"/>
      <c r="AH133" s="19"/>
      <c r="CB133" s="6"/>
      <c r="CU133" s="6"/>
      <c r="CV133" s="6"/>
      <c r="CW133" s="6"/>
      <c r="CX133" s="6"/>
      <c r="CY133" s="6"/>
      <c r="CZ133" s="6"/>
      <c r="DA133" s="6"/>
      <c r="DK133" s="43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</row>
    <row r="134" customFormat="false" ht="12.75" hidden="false" customHeight="false" outlineLevel="0" collapsed="false">
      <c r="A134" s="16" t="s">
        <v>245</v>
      </c>
      <c r="B134" s="17" t="n">
        <f aca="false">AVERAGE(E134:AE134)</f>
        <v>3.59259259259259</v>
      </c>
      <c r="C134" s="2" t="n">
        <f aca="false">MIN(E134:AE134)</f>
        <v>0</v>
      </c>
      <c r="D134" s="18" t="n">
        <f aca="false">MAX(E134:AE134)</f>
        <v>9</v>
      </c>
      <c r="E134" s="19" t="n">
        <v>1</v>
      </c>
      <c r="F134" s="30" t="n">
        <v>7</v>
      </c>
      <c r="G134" s="19" t="n">
        <v>3</v>
      </c>
      <c r="H134" s="19" t="n">
        <v>4</v>
      </c>
      <c r="I134" s="19" t="n">
        <v>3</v>
      </c>
      <c r="J134" s="19" t="n">
        <v>7</v>
      </c>
      <c r="K134" s="19" t="n">
        <v>4</v>
      </c>
      <c r="L134" s="19" t="n">
        <v>5</v>
      </c>
      <c r="M134" s="19" t="n">
        <v>3</v>
      </c>
      <c r="N134" s="19" t="n">
        <v>5</v>
      </c>
      <c r="O134" s="19" t="n">
        <v>3</v>
      </c>
      <c r="P134" s="30" t="n">
        <v>4</v>
      </c>
      <c r="Q134" s="19" t="n">
        <v>3</v>
      </c>
      <c r="R134" s="19" t="n">
        <v>5</v>
      </c>
      <c r="S134" s="30" t="n">
        <v>6</v>
      </c>
      <c r="T134" s="19" t="n">
        <v>9</v>
      </c>
      <c r="U134" s="19" t="n">
        <v>5</v>
      </c>
      <c r="V134" s="19" t="n">
        <v>1</v>
      </c>
      <c r="W134" s="19" t="n">
        <v>1</v>
      </c>
      <c r="X134" s="19" t="n">
        <v>5</v>
      </c>
      <c r="Y134" s="19" t="n">
        <v>3</v>
      </c>
      <c r="Z134" s="19" t="n">
        <v>2</v>
      </c>
      <c r="AA134" s="19" t="n">
        <v>0</v>
      </c>
      <c r="AB134" s="19" t="n">
        <v>3</v>
      </c>
      <c r="AC134" s="19" t="n">
        <v>3</v>
      </c>
      <c r="AD134" s="19" t="n">
        <v>1</v>
      </c>
      <c r="AE134" s="19" t="n">
        <v>1</v>
      </c>
      <c r="AF134" s="19" t="n">
        <v>3</v>
      </c>
      <c r="AG134" s="19"/>
      <c r="AH134" s="19"/>
      <c r="CB134" s="6"/>
      <c r="CU134" s="6"/>
      <c r="CV134" s="6"/>
      <c r="CW134" s="6"/>
      <c r="CX134" s="6"/>
      <c r="CY134" s="6"/>
      <c r="CZ134" s="6"/>
      <c r="DA134" s="6"/>
      <c r="DK134" s="43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</row>
    <row r="135" customFormat="false" ht="12.75" hidden="false" customHeight="false" outlineLevel="0" collapsed="false">
      <c r="A135" s="16" t="s">
        <v>246</v>
      </c>
      <c r="B135" s="17" t="n">
        <f aca="false">AVERAGE(E135:AE135)</f>
        <v>3.7037037037037</v>
      </c>
      <c r="C135" s="2" t="n">
        <f aca="false">MIN(E135:AE135)</f>
        <v>0</v>
      </c>
      <c r="D135" s="18" t="n">
        <f aca="false">MAX(E135:AE135)</f>
        <v>9</v>
      </c>
      <c r="E135" s="30" t="n">
        <v>2</v>
      </c>
      <c r="F135" s="19" t="n">
        <v>7</v>
      </c>
      <c r="G135" s="19" t="n">
        <v>3</v>
      </c>
      <c r="H135" s="19" t="n">
        <v>4</v>
      </c>
      <c r="I135" s="19" t="n">
        <v>3</v>
      </c>
      <c r="J135" s="19" t="n">
        <v>8</v>
      </c>
      <c r="K135" s="19" t="n">
        <v>4</v>
      </c>
      <c r="L135" s="19" t="n">
        <v>5</v>
      </c>
      <c r="M135" s="19" t="n">
        <v>3</v>
      </c>
      <c r="N135" s="19" t="n">
        <v>5</v>
      </c>
      <c r="O135" s="19" t="n">
        <v>3</v>
      </c>
      <c r="P135" s="19" t="n">
        <v>4</v>
      </c>
      <c r="Q135" s="19" t="n">
        <v>3</v>
      </c>
      <c r="R135" s="19" t="n">
        <v>5</v>
      </c>
      <c r="S135" s="19" t="n">
        <v>6</v>
      </c>
      <c r="T135" s="19" t="n">
        <v>9</v>
      </c>
      <c r="U135" s="19" t="n">
        <v>5</v>
      </c>
      <c r="V135" s="19" t="n">
        <v>1</v>
      </c>
      <c r="W135" s="19" t="n">
        <v>1</v>
      </c>
      <c r="X135" s="30" t="n">
        <v>6</v>
      </c>
      <c r="Y135" s="19" t="n">
        <v>3</v>
      </c>
      <c r="Z135" s="19" t="n">
        <v>2</v>
      </c>
      <c r="AA135" s="19" t="n">
        <v>0</v>
      </c>
      <c r="AB135" s="19" t="n">
        <v>3</v>
      </c>
      <c r="AC135" s="19" t="n">
        <v>3</v>
      </c>
      <c r="AD135" s="19" t="n">
        <v>1</v>
      </c>
      <c r="AE135" s="19" t="n">
        <v>1</v>
      </c>
      <c r="AF135" s="19" t="n">
        <v>3</v>
      </c>
      <c r="AG135" s="19"/>
      <c r="AH135" s="19"/>
      <c r="CB135" s="6"/>
      <c r="CU135" s="6"/>
      <c r="CV135" s="6"/>
      <c r="CW135" s="6"/>
      <c r="CX135" s="6"/>
      <c r="CY135" s="6"/>
      <c r="CZ135" s="6"/>
      <c r="DA135" s="6"/>
      <c r="DK135" s="43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</row>
    <row r="136" customFormat="false" ht="12.75" hidden="false" customHeight="false" outlineLevel="0" collapsed="false">
      <c r="A136" s="16" t="s">
        <v>247</v>
      </c>
      <c r="B136" s="17" t="n">
        <f aca="false">AVERAGE(E136:AE136)</f>
        <v>3.88888888888889</v>
      </c>
      <c r="C136" s="2" t="n">
        <f aca="false">MIN(E136:AE136)</f>
        <v>1</v>
      </c>
      <c r="D136" s="18" t="n">
        <f aca="false">MAX(E136:AE136)</f>
        <v>9</v>
      </c>
      <c r="E136" s="19" t="n">
        <v>2</v>
      </c>
      <c r="F136" s="19" t="n">
        <v>7</v>
      </c>
      <c r="G136" s="19" t="n">
        <v>3</v>
      </c>
      <c r="H136" s="19" t="n">
        <v>5</v>
      </c>
      <c r="I136" s="30" t="n">
        <v>4</v>
      </c>
      <c r="J136" s="19" t="n">
        <v>9</v>
      </c>
      <c r="K136" s="19" t="n">
        <v>4</v>
      </c>
      <c r="L136" s="19" t="n">
        <v>5</v>
      </c>
      <c r="M136" s="19" t="n">
        <v>3</v>
      </c>
      <c r="N136" s="19" t="n">
        <v>5</v>
      </c>
      <c r="O136" s="19" t="n">
        <v>3</v>
      </c>
      <c r="P136" s="19" t="n">
        <v>4</v>
      </c>
      <c r="Q136" s="19" t="n">
        <v>3</v>
      </c>
      <c r="R136" s="19" t="n">
        <v>6</v>
      </c>
      <c r="S136" s="19" t="n">
        <v>6</v>
      </c>
      <c r="T136" s="19" t="n">
        <v>9</v>
      </c>
      <c r="U136" s="19" t="n">
        <v>5</v>
      </c>
      <c r="V136" s="19" t="n">
        <v>1</v>
      </c>
      <c r="W136" s="19" t="n">
        <v>1</v>
      </c>
      <c r="X136" s="19" t="n">
        <v>6</v>
      </c>
      <c r="Y136" s="19" t="n">
        <v>3</v>
      </c>
      <c r="Z136" s="19" t="n">
        <v>2</v>
      </c>
      <c r="AA136" s="19" t="n">
        <v>1</v>
      </c>
      <c r="AB136" s="19" t="n">
        <v>3</v>
      </c>
      <c r="AC136" s="19" t="n">
        <v>3</v>
      </c>
      <c r="AD136" s="19" t="n">
        <v>1</v>
      </c>
      <c r="AE136" s="19" t="n">
        <v>1</v>
      </c>
      <c r="AF136" s="30" t="n">
        <v>4</v>
      </c>
      <c r="AG136" s="19"/>
      <c r="AH136" s="19"/>
      <c r="CB136" s="6"/>
      <c r="CU136" s="6"/>
      <c r="CV136" s="6"/>
      <c r="CW136" s="6"/>
      <c r="CX136" s="6"/>
      <c r="CY136" s="6"/>
      <c r="CZ136" s="6"/>
      <c r="DA136" s="6"/>
      <c r="DK136" s="43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</row>
    <row r="137" customFormat="false" ht="12.75" hidden="false" customHeight="false" outlineLevel="0" collapsed="false">
      <c r="A137" s="16" t="s">
        <v>248</v>
      </c>
      <c r="B137" s="17" t="n">
        <f aca="false">AVERAGE(E137:AE137)</f>
        <v>4.07407407407407</v>
      </c>
      <c r="C137" s="2" t="n">
        <f aca="false">MIN(E137:AE137)</f>
        <v>1</v>
      </c>
      <c r="D137" s="18" t="n">
        <f aca="false">MAX(E137:AE137)</f>
        <v>9</v>
      </c>
      <c r="E137" s="19" t="n">
        <v>2</v>
      </c>
      <c r="F137" s="19" t="n">
        <v>7</v>
      </c>
      <c r="G137" s="19" t="n">
        <v>3</v>
      </c>
      <c r="H137" s="19" t="n">
        <v>6</v>
      </c>
      <c r="I137" s="19" t="n">
        <v>4</v>
      </c>
      <c r="J137" s="19" t="n">
        <v>9</v>
      </c>
      <c r="K137" s="19" t="n">
        <v>4</v>
      </c>
      <c r="L137" s="19" t="n">
        <v>5</v>
      </c>
      <c r="M137" s="19" t="n">
        <v>3</v>
      </c>
      <c r="N137" s="19" t="n">
        <v>5</v>
      </c>
      <c r="O137" s="19" t="n">
        <v>3</v>
      </c>
      <c r="P137" s="19" t="n">
        <v>4</v>
      </c>
      <c r="Q137" s="19" t="n">
        <v>4</v>
      </c>
      <c r="R137" s="19" t="n">
        <v>7</v>
      </c>
      <c r="S137" s="19" t="n">
        <v>6</v>
      </c>
      <c r="T137" s="19" t="n">
        <v>9</v>
      </c>
      <c r="U137" s="19" t="n">
        <v>6</v>
      </c>
      <c r="V137" s="19" t="n">
        <v>1</v>
      </c>
      <c r="W137" s="30" t="n">
        <v>2</v>
      </c>
      <c r="X137" s="19" t="n">
        <v>6</v>
      </c>
      <c r="Y137" s="19" t="n">
        <v>3</v>
      </c>
      <c r="Z137" s="19" t="n">
        <v>2</v>
      </c>
      <c r="AA137" s="19" t="n">
        <v>1</v>
      </c>
      <c r="AB137" s="19" t="n">
        <v>3</v>
      </c>
      <c r="AC137" s="19" t="n">
        <v>3</v>
      </c>
      <c r="AD137" s="19" t="n">
        <v>1</v>
      </c>
      <c r="AE137" s="19" t="n">
        <v>1</v>
      </c>
      <c r="AF137" s="19" t="n">
        <v>4</v>
      </c>
      <c r="AG137" s="19"/>
      <c r="AH137" s="19"/>
      <c r="CB137" s="6"/>
      <c r="CU137" s="6"/>
      <c r="CV137" s="6"/>
      <c r="CW137" s="6"/>
      <c r="CX137" s="6"/>
      <c r="CY137" s="6"/>
      <c r="CZ137" s="6"/>
      <c r="DA137" s="6"/>
      <c r="DK137" s="43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</row>
    <row r="138" customFormat="false" ht="12.75" hidden="false" customHeight="false" outlineLevel="0" collapsed="false">
      <c r="A138" s="16" t="s">
        <v>249</v>
      </c>
      <c r="B138" s="17" t="n">
        <f aca="false">AVERAGE(E138:AE138)</f>
        <v>4.18518518518519</v>
      </c>
      <c r="C138" s="2" t="n">
        <f aca="false">MIN(E138:AE138)</f>
        <v>1</v>
      </c>
      <c r="D138" s="18" t="n">
        <f aca="false">MAX(E138:AE138)</f>
        <v>9</v>
      </c>
      <c r="E138" s="19" t="n">
        <v>2</v>
      </c>
      <c r="F138" s="19" t="n">
        <v>7</v>
      </c>
      <c r="G138" s="19" t="n">
        <v>3</v>
      </c>
      <c r="H138" s="19" t="n">
        <v>6</v>
      </c>
      <c r="I138" s="19" t="n">
        <v>4</v>
      </c>
      <c r="J138" s="19" t="n">
        <v>9</v>
      </c>
      <c r="K138" s="19" t="n">
        <v>4</v>
      </c>
      <c r="L138" s="19" t="n">
        <v>5</v>
      </c>
      <c r="M138" s="19" t="n">
        <v>3</v>
      </c>
      <c r="N138" s="19" t="n">
        <v>6</v>
      </c>
      <c r="O138" s="19" t="n">
        <v>3</v>
      </c>
      <c r="P138" s="19" t="n">
        <v>4</v>
      </c>
      <c r="Q138" s="19" t="n">
        <v>4</v>
      </c>
      <c r="R138" s="19" t="n">
        <v>7</v>
      </c>
      <c r="S138" s="19" t="n">
        <v>6</v>
      </c>
      <c r="T138" s="19" t="n">
        <v>9</v>
      </c>
      <c r="U138" s="19" t="n">
        <v>6</v>
      </c>
      <c r="V138" s="19" t="n">
        <v>2</v>
      </c>
      <c r="W138" s="19" t="n">
        <v>3</v>
      </c>
      <c r="X138" s="19" t="n">
        <v>6</v>
      </c>
      <c r="Y138" s="19" t="n">
        <v>3</v>
      </c>
      <c r="Z138" s="19" t="n">
        <v>2</v>
      </c>
      <c r="AA138" s="19" t="n">
        <v>1</v>
      </c>
      <c r="AB138" s="19" t="n">
        <v>3</v>
      </c>
      <c r="AC138" s="19" t="n">
        <v>3</v>
      </c>
      <c r="AD138" s="19" t="n">
        <v>1</v>
      </c>
      <c r="AE138" s="19" t="n">
        <v>1</v>
      </c>
      <c r="AF138" s="19" t="n">
        <v>4</v>
      </c>
      <c r="AG138" s="19"/>
      <c r="AH138" s="19"/>
      <c r="CB138" s="6"/>
      <c r="CU138" s="6"/>
      <c r="CV138" s="6"/>
      <c r="CW138" s="6"/>
      <c r="CX138" s="6"/>
      <c r="CY138" s="6"/>
      <c r="CZ138" s="6"/>
      <c r="DA138" s="6"/>
      <c r="DK138" s="43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</row>
    <row r="139" customFormat="false" ht="12.75" hidden="false" customHeight="false" outlineLevel="0" collapsed="false">
      <c r="A139" s="16" t="s">
        <v>250</v>
      </c>
      <c r="B139" s="17" t="n">
        <f aca="false">AVERAGE(E139:AE139)</f>
        <v>4.33333333333333</v>
      </c>
      <c r="C139" s="2" t="n">
        <f aca="false">MIN(E139:AE139)</f>
        <v>1</v>
      </c>
      <c r="D139" s="18" t="n">
        <f aca="false">MAX(E139:AE139)</f>
        <v>9</v>
      </c>
      <c r="E139" s="19" t="n">
        <v>2</v>
      </c>
      <c r="F139" s="19" t="n">
        <v>7</v>
      </c>
      <c r="G139" s="19" t="n">
        <v>3</v>
      </c>
      <c r="H139" s="30" t="n">
        <v>7</v>
      </c>
      <c r="I139" s="19" t="n">
        <v>4</v>
      </c>
      <c r="J139" s="19" t="n">
        <v>9</v>
      </c>
      <c r="K139" s="19" t="n">
        <v>4</v>
      </c>
      <c r="L139" s="19" t="n">
        <v>5</v>
      </c>
      <c r="M139" s="68" t="n">
        <v>4</v>
      </c>
      <c r="N139" s="30" t="n">
        <v>7</v>
      </c>
      <c r="O139" s="19" t="n">
        <v>3</v>
      </c>
      <c r="P139" s="19" t="n">
        <v>4</v>
      </c>
      <c r="Q139" s="19" t="n">
        <v>4</v>
      </c>
      <c r="R139" s="19" t="n">
        <v>7</v>
      </c>
      <c r="S139" s="19" t="n">
        <v>6</v>
      </c>
      <c r="T139" s="19" t="n">
        <v>9</v>
      </c>
      <c r="U139" s="19" t="n">
        <v>6</v>
      </c>
      <c r="V139" s="19" t="n">
        <v>2</v>
      </c>
      <c r="W139" s="19" t="n">
        <v>4</v>
      </c>
      <c r="X139" s="19" t="n">
        <v>6</v>
      </c>
      <c r="Y139" s="19" t="n">
        <v>3</v>
      </c>
      <c r="Z139" s="19" t="n">
        <v>2</v>
      </c>
      <c r="AA139" s="19" t="n">
        <v>1</v>
      </c>
      <c r="AB139" s="19" t="n">
        <v>3</v>
      </c>
      <c r="AC139" s="19" t="n">
        <v>3</v>
      </c>
      <c r="AD139" s="19" t="n">
        <v>1</v>
      </c>
      <c r="AE139" s="19" t="n">
        <v>1</v>
      </c>
      <c r="AF139" s="19" t="n">
        <v>4</v>
      </c>
      <c r="AG139" s="19"/>
      <c r="AH139" s="19"/>
      <c r="CB139" s="6"/>
      <c r="CU139" s="6"/>
      <c r="CV139" s="6"/>
      <c r="CW139" s="6"/>
      <c r="CX139" s="6"/>
      <c r="CY139" s="6"/>
      <c r="CZ139" s="6"/>
      <c r="DA139" s="6"/>
      <c r="DK139" s="43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</row>
    <row r="140" customFormat="false" ht="12.75" hidden="false" customHeight="false" outlineLevel="0" collapsed="false">
      <c r="A140" s="16" t="s">
        <v>251</v>
      </c>
      <c r="B140" s="17" t="n">
        <f aca="false">AVERAGE(E140:AE140)</f>
        <v>4.48148148148148</v>
      </c>
      <c r="C140" s="2" t="n">
        <f aca="false">MIN(E140:AE140)</f>
        <v>1</v>
      </c>
      <c r="D140" s="18" t="n">
        <f aca="false">MAX(E140:AE140)</f>
        <v>9</v>
      </c>
      <c r="E140" s="19" t="n">
        <v>2</v>
      </c>
      <c r="F140" s="19" t="n">
        <v>7</v>
      </c>
      <c r="G140" s="30" t="n">
        <v>4</v>
      </c>
      <c r="H140" s="19" t="n">
        <v>7</v>
      </c>
      <c r="I140" s="30" t="n">
        <v>5</v>
      </c>
      <c r="J140" s="19" t="n">
        <v>9</v>
      </c>
      <c r="K140" s="19" t="n">
        <v>4</v>
      </c>
      <c r="L140" s="19" t="n">
        <v>5</v>
      </c>
      <c r="M140" s="19" t="n">
        <v>4</v>
      </c>
      <c r="N140" s="19" t="n">
        <v>8</v>
      </c>
      <c r="O140" s="19" t="n">
        <v>3</v>
      </c>
      <c r="P140" s="19" t="n">
        <v>4</v>
      </c>
      <c r="Q140" s="19" t="n">
        <v>4</v>
      </c>
      <c r="R140" s="19" t="n">
        <v>7</v>
      </c>
      <c r="S140" s="19" t="n">
        <v>6</v>
      </c>
      <c r="T140" s="19" t="n">
        <v>9</v>
      </c>
      <c r="U140" s="19" t="n">
        <v>6</v>
      </c>
      <c r="V140" s="22" t="n">
        <v>2</v>
      </c>
      <c r="W140" s="19" t="n">
        <v>4</v>
      </c>
      <c r="X140" s="19" t="n">
        <v>6</v>
      </c>
      <c r="Y140" s="19" t="n">
        <v>3</v>
      </c>
      <c r="Z140" s="19" t="n">
        <v>2</v>
      </c>
      <c r="AA140" s="19" t="n">
        <v>2</v>
      </c>
      <c r="AB140" s="19" t="n">
        <v>3</v>
      </c>
      <c r="AC140" s="19" t="n">
        <v>3</v>
      </c>
      <c r="AD140" s="19" t="n">
        <v>1</v>
      </c>
      <c r="AE140" s="19" t="n">
        <v>1</v>
      </c>
      <c r="AF140" s="19" t="n">
        <v>4</v>
      </c>
      <c r="AG140" s="19"/>
      <c r="AH140" s="19"/>
      <c r="CB140" s="6"/>
      <c r="CU140" s="6"/>
      <c r="CV140" s="6"/>
      <c r="CW140" s="6"/>
      <c r="CX140" s="6"/>
      <c r="CY140" s="6"/>
      <c r="CZ140" s="6"/>
      <c r="DA140" s="6"/>
      <c r="DK140" s="43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</row>
    <row r="141" customFormat="false" ht="12.75" hidden="false" customHeight="false" outlineLevel="0" collapsed="false">
      <c r="A141" s="16" t="s">
        <v>252</v>
      </c>
      <c r="B141" s="17" t="n">
        <f aca="false">AVERAGE(E141:AE141)</f>
        <v>4.66666666666667</v>
      </c>
      <c r="C141" s="2" t="n">
        <f aca="false">MIN(E141:AE141)</f>
        <v>1</v>
      </c>
      <c r="D141" s="18" t="n">
        <f aca="false">MAX(E141:AE141)</f>
        <v>9</v>
      </c>
      <c r="E141" s="19" t="n">
        <v>2</v>
      </c>
      <c r="F141" s="19" t="n">
        <v>7</v>
      </c>
      <c r="G141" s="19" t="n">
        <v>4</v>
      </c>
      <c r="H141" s="19" t="n">
        <v>7</v>
      </c>
      <c r="I141" s="19" t="n">
        <v>5</v>
      </c>
      <c r="J141" s="19" t="n">
        <v>9</v>
      </c>
      <c r="K141" s="19" t="n">
        <v>4</v>
      </c>
      <c r="L141" s="19" t="n">
        <v>6</v>
      </c>
      <c r="M141" s="19" t="n">
        <v>4</v>
      </c>
      <c r="N141" s="19" t="n">
        <v>9</v>
      </c>
      <c r="O141" s="19" t="n">
        <v>4</v>
      </c>
      <c r="P141" s="19" t="n">
        <v>4</v>
      </c>
      <c r="Q141" s="19" t="n">
        <v>4</v>
      </c>
      <c r="R141" s="19" t="n">
        <v>7</v>
      </c>
      <c r="S141" s="19" t="n">
        <v>6</v>
      </c>
      <c r="T141" s="19" t="n">
        <v>9</v>
      </c>
      <c r="U141" s="19" t="n">
        <v>6</v>
      </c>
      <c r="V141" s="19" t="n">
        <v>2</v>
      </c>
      <c r="W141" s="19" t="n">
        <v>4</v>
      </c>
      <c r="X141" s="19" t="n">
        <v>7</v>
      </c>
      <c r="Y141" s="19" t="n">
        <v>3</v>
      </c>
      <c r="Z141" s="19" t="n">
        <v>2</v>
      </c>
      <c r="AA141" s="19" t="n">
        <v>2</v>
      </c>
      <c r="AB141" s="19" t="n">
        <v>4</v>
      </c>
      <c r="AC141" s="19" t="n">
        <v>3</v>
      </c>
      <c r="AD141" s="19" t="n">
        <v>1</v>
      </c>
      <c r="AE141" s="19" t="n">
        <v>1</v>
      </c>
      <c r="AF141" s="19" t="n">
        <v>4</v>
      </c>
      <c r="AG141" s="19"/>
      <c r="AH141" s="19"/>
      <c r="CB141" s="6"/>
      <c r="CU141" s="6"/>
      <c r="CV141" s="6"/>
      <c r="CW141" s="6"/>
      <c r="CX141" s="6"/>
      <c r="CY141" s="6"/>
      <c r="CZ141" s="6"/>
      <c r="DA141" s="6"/>
      <c r="DK141" s="43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</row>
    <row r="142" customFormat="false" ht="12.75" hidden="false" customHeight="false" outlineLevel="0" collapsed="false">
      <c r="A142" s="16" t="s">
        <v>253</v>
      </c>
      <c r="B142" s="17" t="n">
        <f aca="false">AVERAGE(E142:AE142)</f>
        <v>4.81481481481482</v>
      </c>
      <c r="C142" s="2" t="n">
        <f aca="false">MIN(E142:AE142)</f>
        <v>1</v>
      </c>
      <c r="D142" s="18" t="n">
        <f aca="false">MAX(E142:AE142)</f>
        <v>10</v>
      </c>
      <c r="E142" s="19" t="n">
        <v>2</v>
      </c>
      <c r="F142" s="19" t="n">
        <v>8</v>
      </c>
      <c r="G142" s="19" t="n">
        <v>4</v>
      </c>
      <c r="H142" s="19" t="n">
        <v>7</v>
      </c>
      <c r="I142" s="19" t="n">
        <v>5</v>
      </c>
      <c r="J142" s="19" t="n">
        <v>9</v>
      </c>
      <c r="K142" s="19" t="n">
        <v>4</v>
      </c>
      <c r="L142" s="30" t="n">
        <v>7</v>
      </c>
      <c r="M142" s="19" t="n">
        <v>4</v>
      </c>
      <c r="N142" s="30" t="n">
        <v>10</v>
      </c>
      <c r="O142" s="19" t="n">
        <v>4</v>
      </c>
      <c r="P142" s="19" t="n">
        <v>4</v>
      </c>
      <c r="Q142" s="19" t="n">
        <v>4</v>
      </c>
      <c r="R142" s="19" t="n">
        <v>7</v>
      </c>
      <c r="S142" s="19" t="n">
        <v>6</v>
      </c>
      <c r="T142" s="19" t="n">
        <v>9</v>
      </c>
      <c r="U142" s="19" t="n">
        <v>6</v>
      </c>
      <c r="V142" s="19" t="n">
        <v>2</v>
      </c>
      <c r="W142" s="19" t="n">
        <v>4</v>
      </c>
      <c r="X142" s="19" t="n">
        <v>7</v>
      </c>
      <c r="Y142" s="19" t="n">
        <v>3</v>
      </c>
      <c r="Z142" s="19" t="n">
        <v>2</v>
      </c>
      <c r="AA142" s="19" t="n">
        <v>3</v>
      </c>
      <c r="AB142" s="19" t="n">
        <v>4</v>
      </c>
      <c r="AC142" s="19" t="n">
        <v>3</v>
      </c>
      <c r="AD142" s="19" t="n">
        <v>1</v>
      </c>
      <c r="AE142" s="19" t="n">
        <v>1</v>
      </c>
      <c r="AF142" s="19" t="n">
        <v>4</v>
      </c>
      <c r="AG142" s="19"/>
      <c r="AH142" s="19"/>
      <c r="CB142" s="6"/>
      <c r="CU142" s="6"/>
      <c r="CV142" s="6"/>
      <c r="CW142" s="6"/>
      <c r="CX142" s="6"/>
      <c r="CY142" s="6"/>
      <c r="CZ142" s="6"/>
      <c r="DA142" s="6"/>
      <c r="DK142" s="43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</row>
    <row r="143" customFormat="false" ht="12.75" hidden="false" customHeight="false" outlineLevel="0" collapsed="false">
      <c r="A143" s="16" t="s">
        <v>254</v>
      </c>
      <c r="B143" s="17" t="n">
        <f aca="false">AVERAGE(E143:AE143)</f>
        <v>4.92592592592593</v>
      </c>
      <c r="C143" s="2" t="n">
        <f aca="false">MIN(E143:AE143)</f>
        <v>1</v>
      </c>
      <c r="D143" s="18" t="n">
        <f aca="false">MAX(E143:AE143)</f>
        <v>10</v>
      </c>
      <c r="E143" s="19" t="n">
        <v>2</v>
      </c>
      <c r="F143" s="19" t="n">
        <v>8</v>
      </c>
      <c r="G143" s="19" t="n">
        <v>4</v>
      </c>
      <c r="H143" s="19" t="n">
        <v>7</v>
      </c>
      <c r="I143" s="19" t="n">
        <v>5</v>
      </c>
      <c r="J143" s="19" t="n">
        <v>9</v>
      </c>
      <c r="K143" s="19" t="n">
        <v>4</v>
      </c>
      <c r="L143" s="19" t="n">
        <v>7</v>
      </c>
      <c r="M143" s="19" t="n">
        <v>4</v>
      </c>
      <c r="N143" s="19" t="n">
        <v>10</v>
      </c>
      <c r="O143" s="30" t="n">
        <v>5</v>
      </c>
      <c r="P143" s="19" t="n">
        <v>4</v>
      </c>
      <c r="Q143" s="19" t="n">
        <v>4</v>
      </c>
      <c r="R143" s="19" t="n">
        <v>7</v>
      </c>
      <c r="S143" s="19" t="n">
        <v>6</v>
      </c>
      <c r="T143" s="19" t="n">
        <v>9</v>
      </c>
      <c r="U143" s="19" t="n">
        <v>6</v>
      </c>
      <c r="V143" s="19" t="n">
        <v>2</v>
      </c>
      <c r="W143" s="19" t="n">
        <v>4</v>
      </c>
      <c r="X143" s="19" t="n">
        <v>7</v>
      </c>
      <c r="Y143" s="19" t="n">
        <v>3</v>
      </c>
      <c r="Z143" s="19" t="n">
        <v>2</v>
      </c>
      <c r="AA143" s="30" t="n">
        <v>4</v>
      </c>
      <c r="AB143" s="19" t="n">
        <v>4</v>
      </c>
      <c r="AC143" s="19" t="n">
        <v>3</v>
      </c>
      <c r="AD143" s="30" t="n">
        <v>2</v>
      </c>
      <c r="AE143" s="19" t="n">
        <v>1</v>
      </c>
      <c r="AF143" s="19" t="n">
        <v>4</v>
      </c>
      <c r="AG143" s="19"/>
      <c r="AH143" s="19"/>
      <c r="CB143" s="6"/>
      <c r="CU143" s="6"/>
      <c r="CV143" s="6"/>
      <c r="CW143" s="6"/>
      <c r="CX143" s="6"/>
      <c r="CY143" s="6"/>
      <c r="CZ143" s="6"/>
      <c r="DA143" s="6"/>
      <c r="DK143" s="43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</row>
    <row r="144" customFormat="false" ht="12.75" hidden="false" customHeight="false" outlineLevel="0" collapsed="false">
      <c r="A144" s="16" t="s">
        <v>255</v>
      </c>
      <c r="B144" s="17" t="n">
        <f aca="false">AVERAGE(E144:AE144)</f>
        <v>5.11111111111111</v>
      </c>
      <c r="C144" s="2" t="n">
        <f aca="false">MIN(E144:AE144)</f>
        <v>1</v>
      </c>
      <c r="D144" s="18" t="n">
        <f aca="false">MAX(E144:AE144)</f>
        <v>10</v>
      </c>
      <c r="E144" s="19" t="n">
        <v>2</v>
      </c>
      <c r="F144" s="19" t="n">
        <v>8</v>
      </c>
      <c r="G144" s="19" t="n">
        <v>4</v>
      </c>
      <c r="H144" s="19" t="n">
        <v>7</v>
      </c>
      <c r="I144" s="30" t="n">
        <v>6</v>
      </c>
      <c r="J144" s="19" t="n">
        <v>9</v>
      </c>
      <c r="K144" s="19" t="n">
        <v>4</v>
      </c>
      <c r="L144" s="19" t="n">
        <v>7</v>
      </c>
      <c r="M144" s="19" t="n">
        <v>4</v>
      </c>
      <c r="N144" s="19" t="n">
        <v>10</v>
      </c>
      <c r="O144" s="19" t="n">
        <v>5</v>
      </c>
      <c r="P144" s="19" t="n">
        <v>4</v>
      </c>
      <c r="Q144" s="19" t="n">
        <v>5</v>
      </c>
      <c r="R144" s="19" t="n">
        <v>7</v>
      </c>
      <c r="S144" s="19" t="n">
        <v>7</v>
      </c>
      <c r="T144" s="124" t="n">
        <v>10</v>
      </c>
      <c r="U144" s="19" t="n">
        <v>6</v>
      </c>
      <c r="V144" s="19" t="n">
        <v>2</v>
      </c>
      <c r="W144" s="19" t="n">
        <v>4</v>
      </c>
      <c r="X144" s="19" t="n">
        <v>7</v>
      </c>
      <c r="Y144" s="19" t="n">
        <v>3</v>
      </c>
      <c r="Z144" s="19" t="n">
        <v>2</v>
      </c>
      <c r="AA144" s="19" t="n">
        <v>4</v>
      </c>
      <c r="AB144" s="19" t="n">
        <v>4</v>
      </c>
      <c r="AC144" s="19" t="n">
        <v>3</v>
      </c>
      <c r="AD144" s="30" t="n">
        <v>3</v>
      </c>
      <c r="AE144" s="19" t="n">
        <v>1</v>
      </c>
      <c r="AF144" s="19" t="n">
        <v>4</v>
      </c>
      <c r="AG144" s="19"/>
      <c r="AH144" s="19"/>
      <c r="CB144" s="6"/>
      <c r="CU144" s="6"/>
      <c r="CV144" s="6"/>
      <c r="CW144" s="6"/>
      <c r="CX144" s="6"/>
      <c r="CY144" s="6"/>
      <c r="CZ144" s="6"/>
      <c r="DA144" s="6"/>
      <c r="DK144" s="43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</row>
    <row r="145" customFormat="false" ht="12.75" hidden="false" customHeight="false" outlineLevel="0" collapsed="false">
      <c r="A145" s="16" t="s">
        <v>256</v>
      </c>
      <c r="B145" s="17" t="n">
        <f aca="false">AVERAGE(E145:AE145)</f>
        <v>5.33333333333333</v>
      </c>
      <c r="C145" s="2" t="n">
        <f aca="false">MIN(E145:AE145)</f>
        <v>1</v>
      </c>
      <c r="D145" s="18" t="n">
        <f aca="false">MAX(E145:AE145)</f>
        <v>10</v>
      </c>
      <c r="E145" s="30" t="n">
        <v>3</v>
      </c>
      <c r="F145" s="19" t="n">
        <v>9</v>
      </c>
      <c r="G145" s="19" t="n">
        <v>4</v>
      </c>
      <c r="H145" s="19" t="n">
        <v>7</v>
      </c>
      <c r="I145" s="19" t="n">
        <v>6</v>
      </c>
      <c r="J145" s="19" t="n">
        <v>9</v>
      </c>
      <c r="K145" s="19" t="n">
        <v>4</v>
      </c>
      <c r="L145" s="68" t="n">
        <v>8</v>
      </c>
      <c r="M145" s="19" t="n">
        <v>4</v>
      </c>
      <c r="N145" s="19" t="n">
        <v>10</v>
      </c>
      <c r="O145" s="30" t="n">
        <v>6</v>
      </c>
      <c r="P145" s="19" t="n">
        <v>4</v>
      </c>
      <c r="Q145" s="30" t="n">
        <v>6</v>
      </c>
      <c r="R145" s="19" t="n">
        <v>7</v>
      </c>
      <c r="S145" s="19" t="n">
        <v>7</v>
      </c>
      <c r="T145" s="19" t="n">
        <v>10</v>
      </c>
      <c r="U145" s="19" t="n">
        <v>6</v>
      </c>
      <c r="V145" s="19" t="n">
        <v>2</v>
      </c>
      <c r="W145" s="19" t="n">
        <v>4</v>
      </c>
      <c r="X145" s="19" t="n">
        <v>7</v>
      </c>
      <c r="Y145" s="19" t="n">
        <v>3</v>
      </c>
      <c r="Z145" s="19" t="n">
        <v>2</v>
      </c>
      <c r="AA145" s="19" t="n">
        <v>4</v>
      </c>
      <c r="AB145" s="68" t="n">
        <v>5</v>
      </c>
      <c r="AC145" s="19" t="n">
        <v>3</v>
      </c>
      <c r="AD145" s="19" t="n">
        <v>3</v>
      </c>
      <c r="AE145" s="19" t="n">
        <v>1</v>
      </c>
      <c r="AF145" s="19" t="n">
        <v>4</v>
      </c>
      <c r="AG145" s="19"/>
      <c r="AH145" s="19"/>
      <c r="CB145" s="6"/>
      <c r="CU145" s="6"/>
      <c r="CV145" s="6"/>
      <c r="CW145" s="6"/>
      <c r="CX145" s="6"/>
      <c r="CY145" s="6"/>
      <c r="CZ145" s="6"/>
      <c r="DA145" s="6"/>
      <c r="DK145" s="43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</row>
    <row r="146" customFormat="false" ht="12.75" hidden="false" customHeight="false" outlineLevel="0" collapsed="false">
      <c r="A146" s="16" t="s">
        <v>257</v>
      </c>
      <c r="B146" s="17" t="n">
        <f aca="false">AVERAGE(E146:AE146)</f>
        <v>5.51851851851852</v>
      </c>
      <c r="C146" s="2" t="n">
        <f aca="false">MIN(E146:AE146)</f>
        <v>2</v>
      </c>
      <c r="D146" s="18" t="n">
        <f aca="false">MAX(E146:AE146)</f>
        <v>10</v>
      </c>
      <c r="E146" s="19" t="n">
        <v>3</v>
      </c>
      <c r="F146" s="19" t="n">
        <v>9</v>
      </c>
      <c r="G146" s="19" t="n">
        <v>4</v>
      </c>
      <c r="H146" s="19" t="n">
        <v>7</v>
      </c>
      <c r="I146" s="19" t="n">
        <v>6</v>
      </c>
      <c r="J146" s="19" t="n">
        <v>10</v>
      </c>
      <c r="K146" s="19" t="n">
        <v>5</v>
      </c>
      <c r="L146" s="19" t="n">
        <v>8</v>
      </c>
      <c r="M146" s="19" t="n">
        <v>4</v>
      </c>
      <c r="N146" s="19" t="n">
        <v>10</v>
      </c>
      <c r="O146" s="19" t="n">
        <v>7</v>
      </c>
      <c r="P146" s="19" t="n">
        <v>4</v>
      </c>
      <c r="Q146" s="30" t="n">
        <v>7</v>
      </c>
      <c r="R146" s="19" t="n">
        <v>7</v>
      </c>
      <c r="S146" s="19" t="n">
        <v>7</v>
      </c>
      <c r="T146" s="19" t="n">
        <v>10</v>
      </c>
      <c r="U146" s="19" t="n">
        <v>6</v>
      </c>
      <c r="V146" s="19" t="n">
        <v>2</v>
      </c>
      <c r="W146" s="19" t="n">
        <v>4</v>
      </c>
      <c r="X146" s="19" t="n">
        <v>7</v>
      </c>
      <c r="Y146" s="19" t="n">
        <v>3</v>
      </c>
      <c r="Z146" s="19" t="n">
        <v>2</v>
      </c>
      <c r="AA146" s="19" t="n">
        <v>4</v>
      </c>
      <c r="AB146" s="19" t="n">
        <v>5</v>
      </c>
      <c r="AC146" s="19" t="n">
        <v>3</v>
      </c>
      <c r="AD146" s="19" t="n">
        <v>3</v>
      </c>
      <c r="AE146" s="30" t="n">
        <v>2</v>
      </c>
      <c r="AF146" s="19" t="n">
        <v>4</v>
      </c>
      <c r="AG146" s="19"/>
      <c r="AH146" s="19"/>
      <c r="CB146" s="6"/>
      <c r="CU146" s="6"/>
      <c r="CV146" s="6"/>
      <c r="CW146" s="6"/>
      <c r="CX146" s="6"/>
      <c r="CY146" s="6"/>
      <c r="CZ146" s="6"/>
      <c r="DA146" s="6"/>
      <c r="DK146" s="43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</row>
    <row r="147" customFormat="false" ht="12.75" hidden="false" customHeight="false" outlineLevel="0" collapsed="false">
      <c r="A147" s="16" t="s">
        <v>258</v>
      </c>
      <c r="B147" s="17" t="n">
        <f aca="false">AVERAGE(E147:AE147)</f>
        <v>5.62962962962963</v>
      </c>
      <c r="C147" s="2" t="n">
        <f aca="false">MIN(E147:AE147)</f>
        <v>2</v>
      </c>
      <c r="D147" s="18" t="n">
        <f aca="false">MAX(E147:AE147)</f>
        <v>10</v>
      </c>
      <c r="E147" s="19" t="n">
        <v>3</v>
      </c>
      <c r="F147" s="19" t="n">
        <v>9</v>
      </c>
      <c r="G147" s="19" t="n">
        <v>4</v>
      </c>
      <c r="H147" s="19" t="n">
        <v>7</v>
      </c>
      <c r="I147" s="19" t="n">
        <v>6</v>
      </c>
      <c r="J147" s="19" t="n">
        <v>10</v>
      </c>
      <c r="K147" s="19" t="n">
        <v>5</v>
      </c>
      <c r="L147" s="19" t="n">
        <v>8</v>
      </c>
      <c r="M147" s="19" t="n">
        <v>5</v>
      </c>
      <c r="N147" s="19" t="n">
        <v>10</v>
      </c>
      <c r="O147" s="19" t="n">
        <v>8</v>
      </c>
      <c r="P147" s="19" t="n">
        <v>4</v>
      </c>
      <c r="Q147" s="19" t="n">
        <v>7</v>
      </c>
      <c r="R147" s="19" t="n">
        <v>8</v>
      </c>
      <c r="S147" s="19" t="n">
        <v>7</v>
      </c>
      <c r="T147" s="19" t="n">
        <v>10</v>
      </c>
      <c r="U147" s="19" t="n">
        <v>6</v>
      </c>
      <c r="V147" s="19" t="n">
        <v>2</v>
      </c>
      <c r="W147" s="19" t="n">
        <v>4</v>
      </c>
      <c r="X147" s="19" t="n">
        <v>7</v>
      </c>
      <c r="Y147" s="19" t="n">
        <v>3</v>
      </c>
      <c r="Z147" s="19" t="n">
        <v>2</v>
      </c>
      <c r="AA147" s="19" t="n">
        <v>4</v>
      </c>
      <c r="AB147" s="19" t="n">
        <v>5</v>
      </c>
      <c r="AC147" s="19" t="n">
        <v>3</v>
      </c>
      <c r="AD147" s="19" t="n">
        <v>3</v>
      </c>
      <c r="AE147" s="19" t="n">
        <v>2</v>
      </c>
      <c r="AF147" s="19" t="n">
        <v>4</v>
      </c>
      <c r="AG147" s="19"/>
      <c r="AH147" s="19"/>
      <c r="CB147" s="6"/>
      <c r="CU147" s="6"/>
      <c r="CV147" s="6"/>
      <c r="CW147" s="6"/>
      <c r="CX147" s="6"/>
      <c r="CY147" s="6"/>
      <c r="CZ147" s="6"/>
      <c r="DA147" s="6"/>
      <c r="DK147" s="43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</row>
    <row r="148" customFormat="false" ht="12.75" hidden="false" customHeight="false" outlineLevel="0" collapsed="false">
      <c r="A148" s="16" t="s">
        <v>259</v>
      </c>
      <c r="B148" s="17" t="n">
        <f aca="false">AVERAGE(E148:AE148)</f>
        <v>5.92592592592593</v>
      </c>
      <c r="C148" s="2" t="n">
        <f aca="false">MIN(E148:AE148)</f>
        <v>2</v>
      </c>
      <c r="D148" s="18" t="n">
        <f aca="false">MAX(E148:AE148)</f>
        <v>11</v>
      </c>
      <c r="E148" s="19" t="n">
        <v>3</v>
      </c>
      <c r="F148" s="19" t="n">
        <v>9</v>
      </c>
      <c r="G148" s="19" t="n">
        <v>4</v>
      </c>
      <c r="H148" s="19" t="n">
        <v>8</v>
      </c>
      <c r="I148" s="19" t="n">
        <v>6</v>
      </c>
      <c r="J148" s="30" t="n">
        <v>11</v>
      </c>
      <c r="K148" s="19" t="n">
        <v>6</v>
      </c>
      <c r="L148" s="19" t="n">
        <v>8</v>
      </c>
      <c r="M148" s="19" t="n">
        <v>5</v>
      </c>
      <c r="N148" s="19" t="n">
        <v>10</v>
      </c>
      <c r="O148" s="19" t="n">
        <v>8</v>
      </c>
      <c r="P148" s="19" t="n">
        <v>4</v>
      </c>
      <c r="Q148" s="19" t="n">
        <v>7</v>
      </c>
      <c r="R148" s="19" t="n">
        <v>8</v>
      </c>
      <c r="S148" s="19" t="n">
        <v>7</v>
      </c>
      <c r="T148" s="19" t="n">
        <v>11</v>
      </c>
      <c r="U148" s="19" t="n">
        <v>6</v>
      </c>
      <c r="V148" s="19" t="n">
        <v>3</v>
      </c>
      <c r="W148" s="19" t="n">
        <v>5</v>
      </c>
      <c r="X148" s="19" t="n">
        <v>8</v>
      </c>
      <c r="Y148" s="19" t="n">
        <v>3</v>
      </c>
      <c r="Z148" s="19" t="n">
        <v>2</v>
      </c>
      <c r="AA148" s="19" t="n">
        <v>4</v>
      </c>
      <c r="AB148" s="19" t="n">
        <v>5</v>
      </c>
      <c r="AC148" s="19" t="n">
        <v>4</v>
      </c>
      <c r="AD148" s="19" t="n">
        <v>3</v>
      </c>
      <c r="AE148" s="19" t="n">
        <v>2</v>
      </c>
      <c r="AF148" s="19" t="n">
        <v>4</v>
      </c>
      <c r="AG148" s="19"/>
      <c r="AH148" s="19"/>
      <c r="CB148" s="6"/>
      <c r="CU148" s="6"/>
      <c r="CV148" s="6"/>
      <c r="CW148" s="6"/>
      <c r="CX148" s="6"/>
      <c r="CY148" s="6"/>
      <c r="CZ148" s="6"/>
      <c r="DA148" s="6"/>
      <c r="DK148" s="43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</row>
    <row r="149" customFormat="false" ht="12.75" hidden="false" customHeight="false" outlineLevel="0" collapsed="false">
      <c r="A149" s="16" t="s">
        <v>260</v>
      </c>
      <c r="B149" s="17" t="n">
        <f aca="false">AVERAGE(E149:AE149)</f>
        <v>6.07407407407407</v>
      </c>
      <c r="C149" s="2" t="n">
        <f aca="false">MIN(E149:AE149)</f>
        <v>2</v>
      </c>
      <c r="D149" s="18" t="n">
        <f aca="false">MAX(E149:AE149)</f>
        <v>12</v>
      </c>
      <c r="E149" s="19" t="n">
        <v>3</v>
      </c>
      <c r="F149" s="19" t="n">
        <v>9</v>
      </c>
      <c r="G149" s="19" t="n">
        <v>4</v>
      </c>
      <c r="H149" s="19" t="n">
        <v>8</v>
      </c>
      <c r="I149" s="19" t="n">
        <v>6</v>
      </c>
      <c r="J149" s="19" t="n">
        <v>11</v>
      </c>
      <c r="K149" s="19" t="n">
        <v>6</v>
      </c>
      <c r="L149" s="19" t="n">
        <v>8</v>
      </c>
      <c r="M149" s="19" t="n">
        <v>5</v>
      </c>
      <c r="N149" s="19" t="n">
        <v>10</v>
      </c>
      <c r="O149" s="19" t="n">
        <v>8</v>
      </c>
      <c r="P149" s="19" t="n">
        <v>5</v>
      </c>
      <c r="Q149" s="19" t="n">
        <v>7</v>
      </c>
      <c r="R149" s="19" t="n">
        <v>8</v>
      </c>
      <c r="S149" s="19" t="n">
        <v>7</v>
      </c>
      <c r="T149" s="19" t="n">
        <v>12</v>
      </c>
      <c r="U149" s="19" t="n">
        <v>6</v>
      </c>
      <c r="V149" s="19" t="n">
        <v>3</v>
      </c>
      <c r="W149" s="19" t="n">
        <v>5</v>
      </c>
      <c r="X149" s="19" t="n">
        <v>9</v>
      </c>
      <c r="Y149" s="19" t="n">
        <v>3</v>
      </c>
      <c r="Z149" s="19" t="n">
        <v>2</v>
      </c>
      <c r="AA149" s="19" t="n">
        <v>4</v>
      </c>
      <c r="AB149" s="30" t="n">
        <v>6</v>
      </c>
      <c r="AC149" s="19" t="n">
        <v>4</v>
      </c>
      <c r="AD149" s="19" t="n">
        <v>3</v>
      </c>
      <c r="AE149" s="19" t="n">
        <v>2</v>
      </c>
      <c r="AF149" s="19" t="n">
        <v>4</v>
      </c>
      <c r="AG149" s="19"/>
      <c r="AH149" s="19"/>
      <c r="CB149" s="6"/>
      <c r="CU149" s="6"/>
      <c r="CV149" s="6"/>
      <c r="CW149" s="6"/>
      <c r="CX149" s="6"/>
      <c r="CY149" s="6"/>
      <c r="CZ149" s="6"/>
      <c r="DA149" s="6"/>
      <c r="DK149" s="43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</row>
    <row r="150" customFormat="false" ht="12.75" hidden="false" customHeight="false" outlineLevel="0" collapsed="false">
      <c r="A150" s="16" t="s">
        <v>261</v>
      </c>
      <c r="B150" s="17" t="n">
        <f aca="false">AVERAGE(E150:AE150)</f>
        <v>6.2962962962963</v>
      </c>
      <c r="C150" s="2" t="n">
        <f aca="false">MIN(E150:AE150)</f>
        <v>2</v>
      </c>
      <c r="D150" s="18" t="n">
        <f aca="false">MAX(E150:AE150)</f>
        <v>12</v>
      </c>
      <c r="E150" s="30" t="n">
        <v>4</v>
      </c>
      <c r="F150" s="30" t="n">
        <v>10</v>
      </c>
      <c r="G150" s="19" t="n">
        <v>4</v>
      </c>
      <c r="H150" s="19" t="n">
        <v>8</v>
      </c>
      <c r="I150" s="19" t="n">
        <v>6</v>
      </c>
      <c r="J150" s="19" t="n">
        <v>11</v>
      </c>
      <c r="K150" s="19" t="n">
        <v>6</v>
      </c>
      <c r="L150" s="19" t="n">
        <v>8</v>
      </c>
      <c r="M150" s="123" t="n">
        <v>6</v>
      </c>
      <c r="N150" s="19" t="n">
        <v>10</v>
      </c>
      <c r="O150" s="19" t="n">
        <v>8</v>
      </c>
      <c r="P150" s="19" t="n">
        <v>5</v>
      </c>
      <c r="Q150" s="19" t="n">
        <v>7</v>
      </c>
      <c r="R150" s="19" t="n">
        <v>8</v>
      </c>
      <c r="S150" s="19" t="n">
        <v>7</v>
      </c>
      <c r="T150" s="19" t="n">
        <v>12</v>
      </c>
      <c r="U150" s="19" t="n">
        <v>6</v>
      </c>
      <c r="V150" s="19" t="n">
        <v>3</v>
      </c>
      <c r="W150" s="19" t="n">
        <v>5</v>
      </c>
      <c r="X150" s="19" t="n">
        <v>9</v>
      </c>
      <c r="Y150" s="19" t="n">
        <v>4</v>
      </c>
      <c r="Z150" s="19" t="n">
        <v>2</v>
      </c>
      <c r="AA150" s="30" t="n">
        <v>5</v>
      </c>
      <c r="AB150" s="19" t="n">
        <v>6</v>
      </c>
      <c r="AC150" s="19" t="n">
        <v>4</v>
      </c>
      <c r="AD150" s="30" t="n">
        <v>4</v>
      </c>
      <c r="AE150" s="19" t="n">
        <v>2</v>
      </c>
      <c r="AF150" s="19" t="n">
        <v>4</v>
      </c>
      <c r="AG150" s="19"/>
      <c r="AH150" s="19"/>
      <c r="CB150" s="6"/>
      <c r="CU150" s="6"/>
      <c r="CV150" s="6"/>
      <c r="CW150" s="6"/>
      <c r="CX150" s="6"/>
      <c r="CY150" s="6"/>
      <c r="CZ150" s="6"/>
      <c r="DA150" s="6"/>
      <c r="DK150" s="43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</row>
    <row r="151" customFormat="false" ht="12.75" hidden="false" customHeight="false" outlineLevel="0" collapsed="false">
      <c r="A151" s="16" t="s">
        <v>262</v>
      </c>
      <c r="B151" s="17" t="n">
        <f aca="false">AVERAGE(E151:AE151)</f>
        <v>6.48148148148148</v>
      </c>
      <c r="C151" s="2" t="n">
        <f aca="false">MIN(E151:AE151)</f>
        <v>2</v>
      </c>
      <c r="D151" s="18" t="n">
        <f aca="false">MAX(E151:AE151)</f>
        <v>12</v>
      </c>
      <c r="E151" s="19" t="n">
        <v>4</v>
      </c>
      <c r="F151" s="19" t="n">
        <v>10</v>
      </c>
      <c r="G151" s="19" t="n">
        <v>4</v>
      </c>
      <c r="H151" s="19" t="n">
        <v>8</v>
      </c>
      <c r="I151" s="30" t="n">
        <v>7</v>
      </c>
      <c r="J151" s="19" t="n">
        <v>11</v>
      </c>
      <c r="K151" s="19" t="n">
        <v>6</v>
      </c>
      <c r="L151" s="19" t="n">
        <v>8</v>
      </c>
      <c r="M151" s="19" t="n">
        <v>7</v>
      </c>
      <c r="N151" s="19" t="n">
        <v>10</v>
      </c>
      <c r="O151" s="123" t="n">
        <v>9</v>
      </c>
      <c r="P151" s="19" t="n">
        <v>5</v>
      </c>
      <c r="Q151" s="19" t="n">
        <v>8</v>
      </c>
      <c r="R151" s="19" t="n">
        <v>8</v>
      </c>
      <c r="S151" s="19" t="n">
        <v>7</v>
      </c>
      <c r="T151" s="19" t="n">
        <v>12</v>
      </c>
      <c r="U151" s="19" t="n">
        <v>6</v>
      </c>
      <c r="V151" s="19" t="n">
        <v>3</v>
      </c>
      <c r="W151" s="19" t="n">
        <v>5</v>
      </c>
      <c r="X151" s="19" t="n">
        <v>9</v>
      </c>
      <c r="Y151" s="19" t="n">
        <v>4</v>
      </c>
      <c r="Z151" s="19" t="n">
        <v>2</v>
      </c>
      <c r="AA151" s="19" t="n">
        <v>5</v>
      </c>
      <c r="AB151" s="19" t="n">
        <v>6</v>
      </c>
      <c r="AC151" s="19" t="n">
        <v>4</v>
      </c>
      <c r="AD151" s="19" t="n">
        <v>5</v>
      </c>
      <c r="AE151" s="19" t="n">
        <v>2</v>
      </c>
      <c r="AF151" s="19" t="n">
        <v>4</v>
      </c>
      <c r="AG151" s="19"/>
      <c r="AH151" s="19"/>
      <c r="CB151" s="6"/>
      <c r="CU151" s="6"/>
      <c r="CV151" s="6"/>
      <c r="CW151" s="6"/>
      <c r="CX151" s="6"/>
      <c r="CY151" s="6"/>
      <c r="CZ151" s="6"/>
      <c r="DA151" s="6"/>
      <c r="DK151" s="43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</row>
    <row r="152" customFormat="false" ht="12.75" hidden="false" customHeight="false" outlineLevel="0" collapsed="false">
      <c r="A152" s="16" t="s">
        <v>263</v>
      </c>
      <c r="B152" s="17" t="n">
        <f aca="false">AVERAGE(E152:AE152)</f>
        <v>6.59259259259259</v>
      </c>
      <c r="C152" s="2" t="n">
        <f aca="false">MIN(E152:AE152)</f>
        <v>2</v>
      </c>
      <c r="D152" s="18" t="n">
        <f aca="false">MAX(E152:AE152)</f>
        <v>13</v>
      </c>
      <c r="E152" s="19" t="n">
        <v>4</v>
      </c>
      <c r="F152" s="19" t="n">
        <v>10</v>
      </c>
      <c r="G152" s="19" t="n">
        <v>4</v>
      </c>
      <c r="H152" s="19" t="n">
        <v>8</v>
      </c>
      <c r="I152" s="19" t="n">
        <v>7</v>
      </c>
      <c r="J152" s="19" t="n">
        <v>11</v>
      </c>
      <c r="K152" s="19" t="n">
        <v>6</v>
      </c>
      <c r="L152" s="19" t="n">
        <v>8</v>
      </c>
      <c r="M152" s="30" t="n">
        <v>8</v>
      </c>
      <c r="N152" s="19" t="n">
        <v>10</v>
      </c>
      <c r="O152" s="19" t="n">
        <v>9</v>
      </c>
      <c r="P152" s="19" t="n">
        <v>5</v>
      </c>
      <c r="Q152" s="19" t="n">
        <v>8</v>
      </c>
      <c r="R152" s="19" t="n">
        <v>8</v>
      </c>
      <c r="S152" s="19" t="n">
        <v>7</v>
      </c>
      <c r="T152" s="19" t="n">
        <v>13</v>
      </c>
      <c r="U152" s="19" t="n">
        <v>6</v>
      </c>
      <c r="V152" s="19" t="n">
        <v>3</v>
      </c>
      <c r="W152" s="19" t="n">
        <v>5</v>
      </c>
      <c r="X152" s="19" t="n">
        <v>9</v>
      </c>
      <c r="Y152" s="19" t="n">
        <v>4</v>
      </c>
      <c r="Z152" s="19" t="n">
        <v>2</v>
      </c>
      <c r="AA152" s="19" t="n">
        <v>5</v>
      </c>
      <c r="AB152" s="19" t="n">
        <v>6</v>
      </c>
      <c r="AC152" s="19" t="n">
        <v>4</v>
      </c>
      <c r="AD152" s="30" t="n">
        <v>6</v>
      </c>
      <c r="AE152" s="19" t="n">
        <v>2</v>
      </c>
      <c r="AF152" s="19" t="n">
        <v>4</v>
      </c>
      <c r="AG152" s="19"/>
      <c r="AH152" s="19"/>
      <c r="CB152" s="6"/>
      <c r="CU152" s="6"/>
      <c r="CV152" s="6"/>
      <c r="CW152" s="6"/>
      <c r="CX152" s="6"/>
      <c r="CY152" s="6"/>
      <c r="CZ152" s="6"/>
      <c r="DA152" s="6"/>
      <c r="DK152" s="43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</row>
    <row r="153" customFormat="false" ht="12.75" hidden="false" customHeight="false" outlineLevel="0" collapsed="false">
      <c r="A153" s="16" t="s">
        <v>264</v>
      </c>
      <c r="B153" s="17" t="n">
        <f aca="false">AVERAGE(E153:AE153)</f>
        <v>6.77777777777778</v>
      </c>
      <c r="C153" s="2" t="n">
        <f aca="false">MIN(E153:AE153)</f>
        <v>2</v>
      </c>
      <c r="D153" s="18" t="n">
        <f aca="false">MAX(E153:AE153)</f>
        <v>13</v>
      </c>
      <c r="E153" s="19" t="n">
        <v>4</v>
      </c>
      <c r="F153" s="19" t="n">
        <v>10</v>
      </c>
      <c r="G153" s="19" t="n">
        <v>4</v>
      </c>
      <c r="H153" s="19" t="n">
        <v>8</v>
      </c>
      <c r="I153" s="19" t="n">
        <v>7</v>
      </c>
      <c r="J153" s="19" t="n">
        <v>11</v>
      </c>
      <c r="K153" s="19" t="n">
        <v>6</v>
      </c>
      <c r="L153" s="19" t="n">
        <v>8</v>
      </c>
      <c r="M153" s="19" t="n">
        <v>9</v>
      </c>
      <c r="N153" s="19" t="n">
        <v>10</v>
      </c>
      <c r="O153" s="19" t="n">
        <v>9</v>
      </c>
      <c r="P153" s="30" t="n">
        <v>6</v>
      </c>
      <c r="Q153" s="19" t="n">
        <v>8</v>
      </c>
      <c r="R153" s="19" t="n">
        <v>8</v>
      </c>
      <c r="S153" s="19" t="n">
        <v>7</v>
      </c>
      <c r="T153" s="19" t="n">
        <v>13</v>
      </c>
      <c r="U153" s="19" t="n">
        <v>6</v>
      </c>
      <c r="V153" s="30" t="n">
        <v>4</v>
      </c>
      <c r="W153" s="19" t="n">
        <v>5</v>
      </c>
      <c r="X153" s="19" t="n">
        <v>9</v>
      </c>
      <c r="Y153" s="19" t="n">
        <v>4</v>
      </c>
      <c r="Z153" s="19" t="n">
        <v>2</v>
      </c>
      <c r="AA153" s="19" t="n">
        <v>5</v>
      </c>
      <c r="AB153" s="19" t="n">
        <v>6</v>
      </c>
      <c r="AC153" s="19" t="n">
        <v>4</v>
      </c>
      <c r="AD153" s="30" t="n">
        <v>7</v>
      </c>
      <c r="AE153" s="19" t="n">
        <v>3</v>
      </c>
      <c r="AF153" s="19" t="n">
        <v>4</v>
      </c>
      <c r="AG153" s="19"/>
      <c r="AH153" s="19"/>
      <c r="CB153" s="6"/>
      <c r="CU153" s="6"/>
      <c r="CV153" s="6"/>
      <c r="CW153" s="6"/>
      <c r="CX153" s="6"/>
      <c r="CY153" s="6"/>
      <c r="CZ153" s="6"/>
      <c r="DA153" s="6"/>
      <c r="DK153" s="43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</row>
    <row r="154" customFormat="false" ht="12.75" hidden="false" customHeight="false" outlineLevel="0" collapsed="false">
      <c r="A154" s="16" t="s">
        <v>265</v>
      </c>
      <c r="B154" s="17" t="n">
        <f aca="false">AVERAGE(E154:AE154)</f>
        <v>6.92592592592593</v>
      </c>
      <c r="C154" s="2" t="n">
        <f aca="false">MIN(E154:AE154)</f>
        <v>2</v>
      </c>
      <c r="D154" s="18" t="n">
        <f aca="false">MAX(E154:AE154)</f>
        <v>13</v>
      </c>
      <c r="E154" s="30" t="n">
        <v>5</v>
      </c>
      <c r="F154" s="19" t="n">
        <v>10</v>
      </c>
      <c r="G154" s="19" t="n">
        <v>4</v>
      </c>
      <c r="H154" s="19" t="n">
        <v>8</v>
      </c>
      <c r="I154" s="19" t="n">
        <v>7</v>
      </c>
      <c r="J154" s="19" t="n">
        <v>11</v>
      </c>
      <c r="K154" s="30" t="n">
        <v>7</v>
      </c>
      <c r="L154" s="19" t="n">
        <v>8</v>
      </c>
      <c r="M154" s="19" t="n">
        <v>9</v>
      </c>
      <c r="N154" s="19" t="n">
        <v>10</v>
      </c>
      <c r="O154" s="19" t="n">
        <v>9</v>
      </c>
      <c r="P154" s="19" t="n">
        <v>6</v>
      </c>
      <c r="Q154" s="19" t="n">
        <v>8</v>
      </c>
      <c r="R154" s="19" t="n">
        <v>8</v>
      </c>
      <c r="S154" s="19" t="n">
        <v>8</v>
      </c>
      <c r="T154" s="19" t="n">
        <v>13</v>
      </c>
      <c r="U154" s="19" t="n">
        <v>6</v>
      </c>
      <c r="V154" s="19" t="n">
        <v>4</v>
      </c>
      <c r="W154" s="19" t="n">
        <v>5</v>
      </c>
      <c r="X154" s="19" t="n">
        <v>10</v>
      </c>
      <c r="Y154" s="19" t="n">
        <v>4</v>
      </c>
      <c r="Z154" s="19" t="n">
        <v>2</v>
      </c>
      <c r="AA154" s="19" t="n">
        <v>5</v>
      </c>
      <c r="AB154" s="19" t="n">
        <v>6</v>
      </c>
      <c r="AC154" s="19" t="n">
        <v>4</v>
      </c>
      <c r="AD154" s="19" t="n">
        <v>7</v>
      </c>
      <c r="AE154" s="19" t="n">
        <v>3</v>
      </c>
      <c r="AF154" s="19" t="n">
        <v>4</v>
      </c>
      <c r="AG154" s="19"/>
      <c r="AH154" s="19"/>
      <c r="CB154" s="6"/>
      <c r="CU154" s="6"/>
      <c r="CV154" s="6"/>
      <c r="CW154" s="6"/>
      <c r="CX154" s="6"/>
      <c r="CY154" s="6"/>
      <c r="CZ154" s="6"/>
      <c r="DA154" s="6"/>
      <c r="DK154" s="43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</row>
    <row r="155" customFormat="false" ht="12.75" hidden="false" customHeight="false" outlineLevel="0" collapsed="false">
      <c r="A155" s="16" t="s">
        <v>266</v>
      </c>
      <c r="B155" s="17" t="n">
        <f aca="false">AVERAGE(E155:AE155)</f>
        <v>7.11111111111111</v>
      </c>
      <c r="C155" s="2" t="n">
        <f aca="false">MIN(E155:AE155)</f>
        <v>2</v>
      </c>
      <c r="D155" s="18" t="n">
        <f aca="false">MAX(E155:AE155)</f>
        <v>13</v>
      </c>
      <c r="E155" s="19" t="n">
        <v>6</v>
      </c>
      <c r="F155" s="19" t="n">
        <v>10</v>
      </c>
      <c r="G155" s="19" t="n">
        <v>4</v>
      </c>
      <c r="H155" s="19" t="n">
        <v>8</v>
      </c>
      <c r="I155" s="19" t="n">
        <v>7</v>
      </c>
      <c r="J155" s="19" t="n">
        <v>11</v>
      </c>
      <c r="K155" s="19" t="n">
        <v>8</v>
      </c>
      <c r="L155" s="19" t="n">
        <v>8</v>
      </c>
      <c r="M155" s="19" t="n">
        <v>9</v>
      </c>
      <c r="N155" s="19" t="n">
        <v>10</v>
      </c>
      <c r="O155" s="19" t="n">
        <v>9</v>
      </c>
      <c r="P155" s="19" t="n">
        <v>6</v>
      </c>
      <c r="Q155" s="19" t="n">
        <v>8</v>
      </c>
      <c r="R155" s="19" t="n">
        <v>8</v>
      </c>
      <c r="S155" s="19" t="n">
        <v>8</v>
      </c>
      <c r="T155" s="19" t="n">
        <v>13</v>
      </c>
      <c r="U155" s="19" t="n">
        <v>6</v>
      </c>
      <c r="V155" s="19" t="n">
        <v>5</v>
      </c>
      <c r="W155" s="19" t="n">
        <v>6</v>
      </c>
      <c r="X155" s="19" t="n">
        <v>10</v>
      </c>
      <c r="Y155" s="19" t="n">
        <v>4</v>
      </c>
      <c r="Z155" s="19" t="n">
        <v>2</v>
      </c>
      <c r="AA155" s="19" t="n">
        <v>5</v>
      </c>
      <c r="AB155" s="19" t="n">
        <v>6</v>
      </c>
      <c r="AC155" s="19" t="n">
        <v>4</v>
      </c>
      <c r="AD155" s="19" t="n">
        <v>8</v>
      </c>
      <c r="AE155" s="19" t="n">
        <v>3</v>
      </c>
      <c r="AF155" s="19" t="n">
        <v>4</v>
      </c>
      <c r="AG155" s="19"/>
      <c r="AH155" s="19"/>
      <c r="CB155" s="6"/>
      <c r="CU155" s="6"/>
      <c r="CV155" s="6"/>
      <c r="CW155" s="6"/>
      <c r="CX155" s="6"/>
      <c r="CY155" s="6"/>
      <c r="CZ155" s="6"/>
      <c r="DA155" s="6"/>
      <c r="DK155" s="43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</row>
    <row r="156" customFormat="false" ht="12.75" hidden="false" customHeight="false" outlineLevel="0" collapsed="false">
      <c r="A156" s="16" t="s">
        <v>267</v>
      </c>
      <c r="B156" s="17" t="n">
        <f aca="false">AVERAGE(E156:AE156)</f>
        <v>7.37037037037037</v>
      </c>
      <c r="C156" s="2" t="n">
        <f aca="false">MIN(E156:AE156)</f>
        <v>2</v>
      </c>
      <c r="D156" s="18" t="n">
        <f aca="false">MAX(E156:AE156)</f>
        <v>13</v>
      </c>
      <c r="E156" s="30" t="n">
        <v>7</v>
      </c>
      <c r="F156" s="19" t="n">
        <v>10</v>
      </c>
      <c r="G156" s="19" t="n">
        <v>5</v>
      </c>
      <c r="H156" s="19" t="n">
        <v>8</v>
      </c>
      <c r="I156" s="30" t="n">
        <v>8</v>
      </c>
      <c r="J156" s="19" t="n">
        <v>11</v>
      </c>
      <c r="K156" s="19" t="n">
        <v>8</v>
      </c>
      <c r="L156" s="19" t="n">
        <v>8</v>
      </c>
      <c r="M156" s="19" t="n">
        <v>9</v>
      </c>
      <c r="N156" s="19" t="n">
        <v>10</v>
      </c>
      <c r="O156" s="19" t="n">
        <v>9</v>
      </c>
      <c r="P156" s="19" t="n">
        <v>6</v>
      </c>
      <c r="Q156" s="19" t="n">
        <v>9</v>
      </c>
      <c r="R156" s="19" t="n">
        <v>9</v>
      </c>
      <c r="S156" s="19" t="n">
        <v>8</v>
      </c>
      <c r="T156" s="19" t="n">
        <v>13</v>
      </c>
      <c r="U156" s="19" t="n">
        <v>6</v>
      </c>
      <c r="V156" s="19" t="n">
        <v>6</v>
      </c>
      <c r="W156" s="19" t="n">
        <v>6</v>
      </c>
      <c r="X156" s="19" t="n">
        <v>10</v>
      </c>
      <c r="Y156" s="19" t="n">
        <v>4</v>
      </c>
      <c r="Z156" s="19" t="n">
        <v>2</v>
      </c>
      <c r="AA156" s="19" t="n">
        <v>5</v>
      </c>
      <c r="AB156" s="19" t="n">
        <v>6</v>
      </c>
      <c r="AC156" s="19" t="n">
        <v>4</v>
      </c>
      <c r="AD156" s="19" t="n">
        <v>8</v>
      </c>
      <c r="AE156" s="19" t="n">
        <v>4</v>
      </c>
      <c r="AF156" s="19" t="n">
        <v>5</v>
      </c>
      <c r="AG156" s="19"/>
      <c r="AH156" s="19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CB156" s="6"/>
      <c r="CU156" s="6"/>
      <c r="CV156" s="6"/>
      <c r="CW156" s="6"/>
      <c r="CX156" s="6"/>
      <c r="CY156" s="6"/>
      <c r="CZ156" s="6"/>
      <c r="DA156" s="6"/>
      <c r="DK156" s="43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</row>
    <row r="157" customFormat="false" ht="12.75" hidden="false" customHeight="false" outlineLevel="0" collapsed="false">
      <c r="A157" s="16" t="s">
        <v>268</v>
      </c>
      <c r="B157" s="17" t="n">
        <f aca="false">AVERAGE(E157:AE157)</f>
        <v>7.62962962962963</v>
      </c>
      <c r="C157" s="2" t="n">
        <f aca="false">MIN(E157:AE157)</f>
        <v>2</v>
      </c>
      <c r="D157" s="18" t="n">
        <f aca="false">MAX(E157:AE157)</f>
        <v>13</v>
      </c>
      <c r="E157" s="19" t="n">
        <v>7</v>
      </c>
      <c r="F157" s="19" t="n">
        <v>10</v>
      </c>
      <c r="G157" s="19" t="n">
        <v>5</v>
      </c>
      <c r="H157" s="19" t="n">
        <v>8</v>
      </c>
      <c r="I157" s="19" t="n">
        <v>8</v>
      </c>
      <c r="J157" s="19" t="n">
        <v>11</v>
      </c>
      <c r="K157" s="19" t="n">
        <v>8</v>
      </c>
      <c r="L157" s="19" t="n">
        <v>8</v>
      </c>
      <c r="M157" s="19" t="n">
        <v>9</v>
      </c>
      <c r="N157" s="30" t="n">
        <v>11</v>
      </c>
      <c r="O157" s="19" t="n">
        <v>9</v>
      </c>
      <c r="P157" s="19" t="n">
        <v>6</v>
      </c>
      <c r="Q157" s="19" t="n">
        <v>10</v>
      </c>
      <c r="R157" s="19" t="n">
        <v>9</v>
      </c>
      <c r="S157" s="19" t="n">
        <v>8</v>
      </c>
      <c r="T157" s="19" t="n">
        <v>13</v>
      </c>
      <c r="U157" s="30" t="n">
        <v>7</v>
      </c>
      <c r="V157" s="19" t="n">
        <v>7</v>
      </c>
      <c r="W157" s="19" t="n">
        <v>6</v>
      </c>
      <c r="X157" s="19" t="n">
        <v>11</v>
      </c>
      <c r="Y157" s="19" t="n">
        <v>4</v>
      </c>
      <c r="Z157" s="19" t="n">
        <v>2</v>
      </c>
      <c r="AA157" s="19" t="n">
        <v>5</v>
      </c>
      <c r="AB157" s="19" t="n">
        <v>6</v>
      </c>
      <c r="AC157" s="19" t="n">
        <v>4</v>
      </c>
      <c r="AD157" s="123" t="n">
        <v>9</v>
      </c>
      <c r="AE157" s="19" t="n">
        <v>5</v>
      </c>
      <c r="AF157" s="19" t="n">
        <v>5</v>
      </c>
      <c r="AG157" s="19"/>
      <c r="AH157" s="19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CB157" s="6"/>
      <c r="CU157" s="6"/>
      <c r="CV157" s="6"/>
      <c r="CW157" s="6"/>
      <c r="CX157" s="6"/>
      <c r="CY157" s="6"/>
      <c r="CZ157" s="6"/>
      <c r="DA157" s="6"/>
      <c r="DK157" s="43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</row>
    <row r="158" customFormat="false" ht="12.75" hidden="false" customHeight="false" outlineLevel="0" collapsed="false">
      <c r="A158" s="16" t="s">
        <v>269</v>
      </c>
      <c r="B158" s="17" t="n">
        <f aca="false">AVERAGE(E158:AE158)</f>
        <v>7.74074074074074</v>
      </c>
      <c r="C158" s="2" t="n">
        <f aca="false">MIN(E158:AE158)</f>
        <v>3</v>
      </c>
      <c r="D158" s="18" t="n">
        <f aca="false">MAX(E158:AE158)</f>
        <v>13</v>
      </c>
      <c r="E158" s="68" t="n">
        <v>8</v>
      </c>
      <c r="F158" s="19" t="n">
        <v>10</v>
      </c>
      <c r="G158" s="19" t="n">
        <v>5</v>
      </c>
      <c r="H158" s="19" t="n">
        <v>8</v>
      </c>
      <c r="I158" s="19" t="n">
        <v>8</v>
      </c>
      <c r="J158" s="19" t="n">
        <v>11</v>
      </c>
      <c r="K158" s="19" t="n">
        <v>8</v>
      </c>
      <c r="L158" s="19" t="n">
        <v>8</v>
      </c>
      <c r="M158" s="19" t="n">
        <v>9</v>
      </c>
      <c r="N158" s="19" t="n">
        <v>11</v>
      </c>
      <c r="O158" s="19" t="n">
        <v>9</v>
      </c>
      <c r="P158" s="19" t="n">
        <v>6</v>
      </c>
      <c r="Q158" s="19" t="n">
        <v>10</v>
      </c>
      <c r="R158" s="19" t="n">
        <v>9</v>
      </c>
      <c r="S158" s="19" t="n">
        <v>8</v>
      </c>
      <c r="T158" s="19" t="n">
        <v>13</v>
      </c>
      <c r="U158" s="19" t="n">
        <v>7</v>
      </c>
      <c r="V158" s="19" t="n">
        <v>8</v>
      </c>
      <c r="W158" s="19" t="n">
        <v>6</v>
      </c>
      <c r="X158" s="19" t="n">
        <v>11</v>
      </c>
      <c r="Y158" s="19" t="n">
        <v>4</v>
      </c>
      <c r="Z158" s="19" t="n">
        <v>3</v>
      </c>
      <c r="AA158" s="19" t="n">
        <v>5</v>
      </c>
      <c r="AB158" s="19" t="n">
        <v>6</v>
      </c>
      <c r="AC158" s="19" t="n">
        <v>4</v>
      </c>
      <c r="AD158" s="19" t="n">
        <v>9</v>
      </c>
      <c r="AE158" s="19" t="n">
        <v>5</v>
      </c>
      <c r="AF158" s="19" t="n">
        <v>5</v>
      </c>
      <c r="AG158" s="19"/>
      <c r="AH158" s="19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CB158" s="6"/>
      <c r="CU158" s="6"/>
      <c r="CV158" s="6"/>
      <c r="CW158" s="6"/>
      <c r="CX158" s="6"/>
      <c r="CY158" s="6"/>
      <c r="CZ158" s="6"/>
      <c r="DA158" s="6"/>
      <c r="DK158" s="43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</row>
    <row r="159" customFormat="false" ht="12.75" hidden="false" customHeight="false" outlineLevel="0" collapsed="false">
      <c r="A159" s="16" t="s">
        <v>270</v>
      </c>
      <c r="B159" s="17" t="n">
        <f aca="false">AVERAGE(E159:AE159)</f>
        <v>7.81481481481482</v>
      </c>
      <c r="C159" s="2" t="n">
        <f aca="false">MIN(E159:AE159)</f>
        <v>4</v>
      </c>
      <c r="D159" s="18" t="n">
        <f aca="false">MAX(E159:AE159)</f>
        <v>13</v>
      </c>
      <c r="E159" s="19" t="n">
        <v>8</v>
      </c>
      <c r="F159" s="19" t="n">
        <v>10</v>
      </c>
      <c r="G159" s="19" t="n">
        <v>5</v>
      </c>
      <c r="H159" s="19" t="n">
        <v>8</v>
      </c>
      <c r="I159" s="19" t="n">
        <v>8</v>
      </c>
      <c r="J159" s="19" t="n">
        <v>11</v>
      </c>
      <c r="K159" s="19" t="n">
        <v>8</v>
      </c>
      <c r="L159" s="19" t="n">
        <v>8</v>
      </c>
      <c r="M159" s="19" t="n">
        <v>9</v>
      </c>
      <c r="N159" s="19" t="n">
        <v>11</v>
      </c>
      <c r="O159" s="19" t="n">
        <v>9</v>
      </c>
      <c r="P159" s="19" t="n">
        <v>6</v>
      </c>
      <c r="Q159" s="19" t="n">
        <v>10</v>
      </c>
      <c r="R159" s="19" t="n">
        <v>9</v>
      </c>
      <c r="S159" s="19" t="n">
        <v>8</v>
      </c>
      <c r="T159" s="19" t="n">
        <v>13</v>
      </c>
      <c r="U159" s="19" t="n">
        <v>7</v>
      </c>
      <c r="V159" s="19" t="n">
        <v>8</v>
      </c>
      <c r="W159" s="30" t="n">
        <v>7</v>
      </c>
      <c r="X159" s="19" t="n">
        <v>11</v>
      </c>
      <c r="Y159" s="19" t="n">
        <v>4</v>
      </c>
      <c r="Z159" s="19" t="n">
        <v>4</v>
      </c>
      <c r="AA159" s="19" t="n">
        <v>5</v>
      </c>
      <c r="AB159" s="19" t="n">
        <v>6</v>
      </c>
      <c r="AC159" s="19" t="n">
        <v>4</v>
      </c>
      <c r="AD159" s="19" t="n">
        <v>9</v>
      </c>
      <c r="AE159" s="19" t="n">
        <v>5</v>
      </c>
      <c r="AF159" s="19" t="n">
        <v>5</v>
      </c>
      <c r="AG159" s="19"/>
      <c r="AH159" s="19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CB159" s="6"/>
      <c r="CU159" s="6"/>
      <c r="CV159" s="6"/>
      <c r="CW159" s="6"/>
      <c r="CX159" s="6"/>
      <c r="CY159" s="6"/>
      <c r="CZ159" s="6"/>
      <c r="DA159" s="6"/>
      <c r="DK159" s="43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</row>
    <row r="160" customFormat="false" ht="12.75" hidden="false" customHeight="false" outlineLevel="0" collapsed="false">
      <c r="A160" s="16" t="s">
        <v>271</v>
      </c>
      <c r="B160" s="17" t="n">
        <f aca="false">AVERAGE(E160:AE160)</f>
        <v>7.96296296296296</v>
      </c>
      <c r="C160" s="2" t="n">
        <f aca="false">MIN(E160:AE160)</f>
        <v>4</v>
      </c>
      <c r="D160" s="18" t="n">
        <f aca="false">MAX(E160:AE160)</f>
        <v>13</v>
      </c>
      <c r="E160" s="19" t="n">
        <v>8</v>
      </c>
      <c r="F160" s="19" t="n">
        <v>11</v>
      </c>
      <c r="G160" s="19" t="n">
        <v>5</v>
      </c>
      <c r="H160" s="19" t="n">
        <v>8</v>
      </c>
      <c r="I160" s="19" t="n">
        <v>8</v>
      </c>
      <c r="J160" s="19" t="n">
        <v>11</v>
      </c>
      <c r="K160" s="30" t="n">
        <v>9</v>
      </c>
      <c r="L160" s="19" t="n">
        <v>8</v>
      </c>
      <c r="M160" s="19" t="n">
        <v>9</v>
      </c>
      <c r="N160" s="19" t="n">
        <v>12</v>
      </c>
      <c r="O160" s="19" t="n">
        <v>9</v>
      </c>
      <c r="P160" s="19" t="n">
        <v>6</v>
      </c>
      <c r="Q160" s="19" t="n">
        <v>10</v>
      </c>
      <c r="R160" s="19" t="n">
        <v>9</v>
      </c>
      <c r="S160" s="19" t="n">
        <v>8</v>
      </c>
      <c r="T160" s="19" t="n">
        <v>13</v>
      </c>
      <c r="U160" s="19" t="n">
        <v>7</v>
      </c>
      <c r="V160" s="19" t="n">
        <v>8</v>
      </c>
      <c r="W160" s="19" t="n">
        <v>7</v>
      </c>
      <c r="X160" s="19" t="n">
        <v>11</v>
      </c>
      <c r="Y160" s="19" t="n">
        <v>4</v>
      </c>
      <c r="Z160" s="19" t="n">
        <v>5</v>
      </c>
      <c r="AA160" s="19" t="n">
        <v>5</v>
      </c>
      <c r="AB160" s="19" t="n">
        <v>6</v>
      </c>
      <c r="AC160" s="19" t="n">
        <v>4</v>
      </c>
      <c r="AD160" s="19" t="n">
        <v>9</v>
      </c>
      <c r="AE160" s="19" t="n">
        <v>5</v>
      </c>
      <c r="AF160" s="30" t="n">
        <v>6</v>
      </c>
      <c r="AG160" s="19"/>
      <c r="AH160" s="19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CB160" s="6"/>
      <c r="CU160" s="6"/>
      <c r="CV160" s="6"/>
      <c r="CW160" s="6"/>
      <c r="CX160" s="6"/>
      <c r="CY160" s="6"/>
      <c r="CZ160" s="6"/>
      <c r="DA160" s="6"/>
      <c r="DK160" s="43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</row>
    <row r="161" customFormat="false" ht="12.75" hidden="false" customHeight="false" outlineLevel="0" collapsed="false">
      <c r="A161" s="16" t="s">
        <v>272</v>
      </c>
      <c r="B161" s="17" t="n">
        <f aca="false">AVERAGE(E161:AE161)</f>
        <v>8.14814814814815</v>
      </c>
      <c r="C161" s="2" t="n">
        <f aca="false">MIN(E161:AE161)</f>
        <v>4</v>
      </c>
      <c r="D161" s="18" t="n">
        <f aca="false">MAX(E161:AE161)</f>
        <v>13</v>
      </c>
      <c r="E161" s="19" t="n">
        <v>8</v>
      </c>
      <c r="F161" s="123" t="n">
        <v>12</v>
      </c>
      <c r="G161" s="19" t="n">
        <v>5</v>
      </c>
      <c r="H161" s="19" t="n">
        <v>8</v>
      </c>
      <c r="I161" s="19" t="n">
        <v>9</v>
      </c>
      <c r="J161" s="19" t="n">
        <v>11</v>
      </c>
      <c r="K161" s="19" t="n">
        <v>9</v>
      </c>
      <c r="L161" s="19" t="n">
        <v>8</v>
      </c>
      <c r="M161" s="19" t="n">
        <v>9</v>
      </c>
      <c r="N161" s="19" t="n">
        <v>12</v>
      </c>
      <c r="O161" s="19" t="n">
        <v>9</v>
      </c>
      <c r="P161" s="19" t="n">
        <v>6</v>
      </c>
      <c r="Q161" s="19" t="n">
        <v>11</v>
      </c>
      <c r="R161" s="19" t="n">
        <v>9</v>
      </c>
      <c r="S161" s="19" t="n">
        <v>8</v>
      </c>
      <c r="T161" s="19" t="n">
        <v>13</v>
      </c>
      <c r="U161" s="19" t="n">
        <v>7</v>
      </c>
      <c r="V161" s="19" t="n">
        <v>9</v>
      </c>
      <c r="W161" s="19" t="n">
        <v>7</v>
      </c>
      <c r="X161" s="19" t="n">
        <v>11</v>
      </c>
      <c r="Y161" s="19" t="n">
        <v>4</v>
      </c>
      <c r="Z161" s="19" t="n">
        <v>5</v>
      </c>
      <c r="AA161" s="19" t="n">
        <v>6</v>
      </c>
      <c r="AB161" s="19" t="n">
        <v>6</v>
      </c>
      <c r="AC161" s="19" t="n">
        <v>4</v>
      </c>
      <c r="AD161" s="19" t="n">
        <v>9</v>
      </c>
      <c r="AE161" s="19" t="n">
        <v>5</v>
      </c>
      <c r="AF161" s="30" t="n">
        <v>7</v>
      </c>
      <c r="AG161" s="19"/>
      <c r="AH161" s="19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CB161" s="6"/>
      <c r="CU161" s="6"/>
      <c r="CV161" s="6"/>
      <c r="CW161" s="6"/>
      <c r="CX161" s="6"/>
      <c r="CY161" s="6"/>
      <c r="CZ161" s="6"/>
      <c r="DA161" s="6"/>
      <c r="DK161" s="43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</row>
    <row r="162" customFormat="false" ht="12.75" hidden="false" customHeight="false" outlineLevel="0" collapsed="false">
      <c r="A162" s="16" t="s">
        <v>273</v>
      </c>
      <c r="B162" s="17" t="n">
        <f aca="false">AVERAGE(E162:AE162)</f>
        <v>8.40740740740741</v>
      </c>
      <c r="C162" s="2" t="n">
        <f aca="false">MIN(E162:AE162)</f>
        <v>4</v>
      </c>
      <c r="D162" s="18" t="n">
        <f aca="false">MAX(E162:AE162)</f>
        <v>13</v>
      </c>
      <c r="E162" s="30" t="n">
        <v>9</v>
      </c>
      <c r="F162" s="19" t="n">
        <v>12</v>
      </c>
      <c r="G162" s="19" t="n">
        <v>5</v>
      </c>
      <c r="H162" s="19" t="n">
        <v>8</v>
      </c>
      <c r="I162" s="19" t="n">
        <v>9</v>
      </c>
      <c r="J162" s="19" t="n">
        <v>11</v>
      </c>
      <c r="K162" s="19" t="n">
        <v>10</v>
      </c>
      <c r="L162" s="19" t="n">
        <v>8</v>
      </c>
      <c r="M162" s="19" t="n">
        <v>10</v>
      </c>
      <c r="N162" s="19" t="n">
        <v>12</v>
      </c>
      <c r="O162" s="19" t="n">
        <v>9</v>
      </c>
      <c r="P162" s="19" t="n">
        <v>6</v>
      </c>
      <c r="Q162" s="123" t="n">
        <v>12</v>
      </c>
      <c r="R162" s="19" t="n">
        <v>9</v>
      </c>
      <c r="S162" s="19" t="n">
        <v>8</v>
      </c>
      <c r="T162" s="19" t="n">
        <v>13</v>
      </c>
      <c r="U162" s="19" t="n">
        <v>7</v>
      </c>
      <c r="V162" s="30" t="n">
        <v>10</v>
      </c>
      <c r="W162" s="19" t="n">
        <v>7</v>
      </c>
      <c r="X162" s="19" t="n">
        <v>11</v>
      </c>
      <c r="Y162" s="30" t="n">
        <v>5</v>
      </c>
      <c r="Z162" s="19" t="n">
        <v>5</v>
      </c>
      <c r="AA162" s="19" t="n">
        <v>6</v>
      </c>
      <c r="AB162" s="19" t="n">
        <v>6</v>
      </c>
      <c r="AC162" s="19" t="n">
        <v>4</v>
      </c>
      <c r="AD162" s="30" t="n">
        <v>10</v>
      </c>
      <c r="AE162" s="19" t="n">
        <v>5</v>
      </c>
      <c r="AF162" s="19" t="n">
        <v>7</v>
      </c>
      <c r="AG162" s="19"/>
      <c r="AH162" s="19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CB162" s="6"/>
      <c r="CU162" s="6"/>
      <c r="CV162" s="6"/>
      <c r="CW162" s="6"/>
      <c r="CX162" s="6"/>
      <c r="CY162" s="6"/>
      <c r="CZ162" s="6"/>
      <c r="DA162" s="6"/>
      <c r="DK162" s="43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</row>
    <row r="163" customFormat="false" ht="12.75" hidden="false" customHeight="false" outlineLevel="0" collapsed="false">
      <c r="A163" s="16" t="s">
        <v>274</v>
      </c>
      <c r="B163" s="17" t="n">
        <f aca="false">AVERAGE(E163:AE163)</f>
        <v>8.66666666666667</v>
      </c>
      <c r="C163" s="2" t="n">
        <f aca="false">MIN(E163:AE163)</f>
        <v>4</v>
      </c>
      <c r="D163" s="18" t="n">
        <f aca="false">MAX(E163:AE163)</f>
        <v>13</v>
      </c>
      <c r="E163" s="19" t="n">
        <v>9</v>
      </c>
      <c r="F163" s="19" t="n">
        <v>13</v>
      </c>
      <c r="G163" s="19" t="n">
        <v>5</v>
      </c>
      <c r="H163" s="19" t="n">
        <v>8</v>
      </c>
      <c r="I163" s="19" t="n">
        <v>9</v>
      </c>
      <c r="J163" s="19" t="n">
        <v>11</v>
      </c>
      <c r="K163" s="19" t="n">
        <v>10</v>
      </c>
      <c r="L163" s="19" t="n">
        <v>8</v>
      </c>
      <c r="M163" s="30" t="n">
        <v>11</v>
      </c>
      <c r="N163" s="19" t="n">
        <v>13</v>
      </c>
      <c r="O163" s="19" t="n">
        <v>9</v>
      </c>
      <c r="P163" s="19" t="n">
        <v>6</v>
      </c>
      <c r="Q163" s="19" t="n">
        <v>13</v>
      </c>
      <c r="R163" s="19" t="n">
        <v>9</v>
      </c>
      <c r="S163" s="30" t="n">
        <v>9</v>
      </c>
      <c r="T163" s="19" t="n">
        <v>13</v>
      </c>
      <c r="U163" s="19" t="n">
        <v>8</v>
      </c>
      <c r="V163" s="19" t="n">
        <v>10</v>
      </c>
      <c r="W163" s="30" t="n">
        <v>8</v>
      </c>
      <c r="X163" s="19" t="n">
        <v>11</v>
      </c>
      <c r="Y163" s="19" t="n">
        <v>5</v>
      </c>
      <c r="Z163" s="19" t="n">
        <v>5</v>
      </c>
      <c r="AA163" s="19" t="n">
        <v>6</v>
      </c>
      <c r="AB163" s="19" t="n">
        <v>6</v>
      </c>
      <c r="AC163" s="19" t="n">
        <v>4</v>
      </c>
      <c r="AD163" s="19" t="n">
        <v>10</v>
      </c>
      <c r="AE163" s="19" t="n">
        <v>5</v>
      </c>
      <c r="AF163" s="19" t="n">
        <v>7</v>
      </c>
      <c r="AG163" s="19"/>
      <c r="AH163" s="19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CB163" s="6"/>
      <c r="CU163" s="6"/>
      <c r="CV163" s="6"/>
      <c r="CW163" s="6"/>
      <c r="CX163" s="6"/>
      <c r="CY163" s="6"/>
      <c r="CZ163" s="6"/>
      <c r="DA163" s="6"/>
      <c r="DK163" s="43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</row>
    <row r="164" customFormat="false" ht="12.75" hidden="false" customHeight="false" outlineLevel="0" collapsed="false">
      <c r="A164" s="16" t="s">
        <v>275</v>
      </c>
      <c r="B164" s="17" t="n">
        <f aca="false">AVERAGE(E164:AE164)</f>
        <v>8.88888888888889</v>
      </c>
      <c r="C164" s="2" t="n">
        <f aca="false">MIN(E164:AE164)</f>
        <v>5</v>
      </c>
      <c r="D164" s="18" t="n">
        <f aca="false">MAX(E164:AE164)</f>
        <v>14</v>
      </c>
      <c r="E164" s="19" t="n">
        <v>9</v>
      </c>
      <c r="F164" s="19" t="n">
        <v>13</v>
      </c>
      <c r="G164" s="19" t="n">
        <v>5</v>
      </c>
      <c r="H164" s="19" t="n">
        <v>8</v>
      </c>
      <c r="I164" s="19" t="n">
        <v>10</v>
      </c>
      <c r="J164" s="19" t="n">
        <v>11</v>
      </c>
      <c r="K164" s="19" t="n">
        <v>10</v>
      </c>
      <c r="L164" s="19" t="n">
        <v>8</v>
      </c>
      <c r="M164" s="19" t="n">
        <v>11</v>
      </c>
      <c r="N164" s="19" t="n">
        <v>14</v>
      </c>
      <c r="O164" s="19" t="n">
        <v>9</v>
      </c>
      <c r="P164" s="19" t="n">
        <v>7</v>
      </c>
      <c r="Q164" s="19" t="n">
        <v>13</v>
      </c>
      <c r="R164" s="19" t="n">
        <v>9</v>
      </c>
      <c r="S164" s="19" t="n">
        <v>9</v>
      </c>
      <c r="T164" s="19" t="n">
        <v>13</v>
      </c>
      <c r="U164" s="19" t="n">
        <v>9</v>
      </c>
      <c r="V164" s="19" t="n">
        <v>11</v>
      </c>
      <c r="W164" s="19" t="n">
        <v>8</v>
      </c>
      <c r="X164" s="19" t="n">
        <v>11</v>
      </c>
      <c r="Y164" s="19" t="n">
        <v>5</v>
      </c>
      <c r="Z164" s="19" t="n">
        <v>5</v>
      </c>
      <c r="AA164" s="19" t="n">
        <v>6</v>
      </c>
      <c r="AB164" s="19" t="n">
        <v>6</v>
      </c>
      <c r="AC164" s="19" t="n">
        <v>5</v>
      </c>
      <c r="AD164" s="19" t="n">
        <v>10</v>
      </c>
      <c r="AE164" s="19" t="n">
        <v>5</v>
      </c>
      <c r="AF164" s="19" t="n">
        <v>7</v>
      </c>
      <c r="AG164" s="19"/>
      <c r="AH164" s="19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CB164" s="6"/>
      <c r="CU164" s="6"/>
      <c r="CV164" s="6"/>
      <c r="CW164" s="6"/>
      <c r="CX164" s="6"/>
      <c r="CY164" s="6"/>
      <c r="CZ164" s="6"/>
      <c r="DA164" s="6"/>
      <c r="DK164" s="43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</row>
    <row r="165" customFormat="false" ht="12.75" hidden="false" customHeight="false" outlineLevel="0" collapsed="false">
      <c r="A165" s="16" t="s">
        <v>276</v>
      </c>
      <c r="B165" s="17" t="n">
        <f aca="false">AVERAGE(E165:AE165)</f>
        <v>9.22222222222222</v>
      </c>
      <c r="C165" s="2" t="n">
        <f aca="false">MIN(E165:AE165)</f>
        <v>5</v>
      </c>
      <c r="D165" s="18" t="n">
        <f aca="false">MAX(E165:AE165)</f>
        <v>15</v>
      </c>
      <c r="E165" s="19" t="n">
        <v>9</v>
      </c>
      <c r="F165" s="19" t="n">
        <v>13</v>
      </c>
      <c r="G165" s="19" t="n">
        <v>5</v>
      </c>
      <c r="H165" s="19" t="n">
        <v>8</v>
      </c>
      <c r="I165" s="19" t="n">
        <v>10</v>
      </c>
      <c r="J165" s="19" t="n">
        <v>12</v>
      </c>
      <c r="K165" s="19" t="n">
        <v>10</v>
      </c>
      <c r="L165" s="19" t="n">
        <v>8</v>
      </c>
      <c r="M165" s="30" t="n">
        <v>12</v>
      </c>
      <c r="N165" s="19" t="n">
        <v>15</v>
      </c>
      <c r="O165" s="30" t="n">
        <v>10</v>
      </c>
      <c r="P165" s="19" t="n">
        <v>8</v>
      </c>
      <c r="Q165" s="19" t="n">
        <v>13</v>
      </c>
      <c r="R165" s="19" t="n">
        <v>9</v>
      </c>
      <c r="S165" s="19" t="n">
        <v>10</v>
      </c>
      <c r="T165" s="19" t="n">
        <v>13</v>
      </c>
      <c r="U165" s="19" t="n">
        <v>9</v>
      </c>
      <c r="V165" s="19" t="n">
        <v>11</v>
      </c>
      <c r="W165" s="124" t="n">
        <v>9</v>
      </c>
      <c r="X165" s="30" t="n">
        <v>12</v>
      </c>
      <c r="Y165" s="19" t="n">
        <v>5</v>
      </c>
      <c r="Z165" s="19" t="n">
        <v>5</v>
      </c>
      <c r="AA165" s="19" t="n">
        <v>6</v>
      </c>
      <c r="AB165" s="19" t="n">
        <v>6</v>
      </c>
      <c r="AC165" s="30" t="n">
        <v>6</v>
      </c>
      <c r="AD165" s="19" t="n">
        <v>10</v>
      </c>
      <c r="AE165" s="19" t="n">
        <v>5</v>
      </c>
      <c r="AF165" s="19" t="n">
        <v>7</v>
      </c>
      <c r="AG165" s="19"/>
      <c r="AH165" s="19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CB165" s="6"/>
      <c r="CU165" s="6"/>
      <c r="CV165" s="6"/>
      <c r="CW165" s="6"/>
      <c r="CX165" s="6"/>
      <c r="CY165" s="6"/>
      <c r="CZ165" s="6"/>
      <c r="DA165" s="6"/>
      <c r="DK165" s="43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</row>
    <row r="166" customFormat="false" ht="12.75" hidden="false" customHeight="false" outlineLevel="0" collapsed="false">
      <c r="A166" s="16" t="s">
        <v>277</v>
      </c>
      <c r="B166" s="17" t="n">
        <f aca="false">AVERAGE(E166:AE166)</f>
        <v>9.44444444444445</v>
      </c>
      <c r="C166" s="2" t="n">
        <f aca="false">MIN(E166:AE166)</f>
        <v>5</v>
      </c>
      <c r="D166" s="18" t="n">
        <f aca="false">MAX(E166:AE166)</f>
        <v>15</v>
      </c>
      <c r="E166" s="19" t="n">
        <v>9</v>
      </c>
      <c r="F166" s="19" t="n">
        <v>13</v>
      </c>
      <c r="G166" s="19" t="n">
        <v>5</v>
      </c>
      <c r="H166" s="19" t="n">
        <v>9</v>
      </c>
      <c r="I166" s="19" t="n">
        <v>10</v>
      </c>
      <c r="J166" s="30" t="n">
        <v>13</v>
      </c>
      <c r="K166" s="19" t="n">
        <v>10</v>
      </c>
      <c r="L166" s="19" t="n">
        <v>8</v>
      </c>
      <c r="M166" s="19" t="n">
        <v>12</v>
      </c>
      <c r="N166" s="19" t="n">
        <v>15</v>
      </c>
      <c r="O166" s="19" t="n">
        <v>10</v>
      </c>
      <c r="P166" s="19" t="n">
        <v>8</v>
      </c>
      <c r="Q166" s="19" t="n">
        <v>13</v>
      </c>
      <c r="R166" s="19" t="n">
        <v>9</v>
      </c>
      <c r="S166" s="19" t="n">
        <v>10</v>
      </c>
      <c r="T166" s="19" t="n">
        <v>13</v>
      </c>
      <c r="U166" s="19" t="n">
        <v>9</v>
      </c>
      <c r="V166" s="19" t="n">
        <v>11</v>
      </c>
      <c r="W166" s="19" t="n">
        <v>9</v>
      </c>
      <c r="X166" s="30" t="n">
        <v>13</v>
      </c>
      <c r="Y166" s="68" t="n">
        <v>6</v>
      </c>
      <c r="Z166" s="19" t="n">
        <v>5</v>
      </c>
      <c r="AA166" s="30" t="n">
        <v>7</v>
      </c>
      <c r="AB166" s="19" t="n">
        <v>6</v>
      </c>
      <c r="AC166" s="19" t="n">
        <v>7</v>
      </c>
      <c r="AD166" s="19" t="n">
        <v>10</v>
      </c>
      <c r="AE166" s="19" t="n">
        <v>5</v>
      </c>
      <c r="AF166" s="19" t="n">
        <v>7</v>
      </c>
      <c r="AG166" s="19"/>
      <c r="AH166" s="19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CB166" s="6"/>
      <c r="CU166" s="6"/>
      <c r="CV166" s="6"/>
      <c r="CW166" s="6"/>
      <c r="CX166" s="6"/>
      <c r="CY166" s="6"/>
      <c r="CZ166" s="6"/>
      <c r="DA166" s="6"/>
      <c r="DK166" s="43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</row>
    <row r="167" customFormat="false" ht="12.75" hidden="false" customHeight="false" outlineLevel="0" collapsed="false">
      <c r="A167" s="16" t="s">
        <v>278</v>
      </c>
      <c r="B167" s="17" t="n">
        <f aca="false">AVERAGE(E167:AE167)</f>
        <v>9.62962962962963</v>
      </c>
      <c r="C167" s="2" t="n">
        <f aca="false">MIN(E167:AE167)</f>
        <v>5</v>
      </c>
      <c r="D167" s="18" t="n">
        <f aca="false">MAX(E167:AE167)</f>
        <v>15</v>
      </c>
      <c r="E167" s="19" t="n">
        <v>9</v>
      </c>
      <c r="F167" s="125" t="n">
        <v>14</v>
      </c>
      <c r="G167" s="19" t="n">
        <v>5</v>
      </c>
      <c r="H167" s="19" t="n">
        <v>9</v>
      </c>
      <c r="I167" s="19" t="n">
        <v>10</v>
      </c>
      <c r="J167" s="19" t="n">
        <v>14</v>
      </c>
      <c r="K167" s="19" t="n">
        <v>10</v>
      </c>
      <c r="L167" s="19" t="n">
        <v>8</v>
      </c>
      <c r="M167" s="19" t="n">
        <v>12</v>
      </c>
      <c r="N167" s="19" t="n">
        <v>15</v>
      </c>
      <c r="O167" s="19" t="n">
        <v>11</v>
      </c>
      <c r="P167" s="19" t="n">
        <v>8</v>
      </c>
      <c r="Q167" s="19" t="n">
        <v>13</v>
      </c>
      <c r="R167" s="19" t="n">
        <v>9</v>
      </c>
      <c r="S167" s="19" t="n">
        <v>10</v>
      </c>
      <c r="T167" s="19" t="n">
        <v>14</v>
      </c>
      <c r="U167" s="19" t="n">
        <v>9</v>
      </c>
      <c r="V167" s="19" t="n">
        <v>11</v>
      </c>
      <c r="W167" s="19" t="n">
        <v>9</v>
      </c>
      <c r="X167" s="19" t="n">
        <v>13</v>
      </c>
      <c r="Y167" s="30" t="n">
        <v>7</v>
      </c>
      <c r="Z167" s="19" t="n">
        <v>5</v>
      </c>
      <c r="AA167" s="19" t="n">
        <v>7</v>
      </c>
      <c r="AB167" s="19" t="n">
        <v>6</v>
      </c>
      <c r="AC167" s="19" t="n">
        <v>7</v>
      </c>
      <c r="AD167" s="19" t="n">
        <v>10</v>
      </c>
      <c r="AE167" s="19" t="n">
        <v>5</v>
      </c>
      <c r="AF167" s="30" t="n">
        <v>8</v>
      </c>
      <c r="AG167" s="19"/>
      <c r="AH167" s="19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CB167" s="6"/>
      <c r="CU167" s="6"/>
      <c r="CV167" s="6"/>
      <c r="CW167" s="6"/>
      <c r="CX167" s="6"/>
      <c r="CY167" s="6"/>
      <c r="CZ167" s="6"/>
      <c r="DA167" s="6"/>
      <c r="DK167" s="43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</row>
    <row r="168" customFormat="false" ht="12.75" hidden="false" customHeight="false" outlineLevel="0" collapsed="false">
      <c r="A168" s="16" t="s">
        <v>279</v>
      </c>
      <c r="B168" s="17" t="n">
        <f aca="false">AVERAGE(E168:AE168)</f>
        <v>9.85185185185185</v>
      </c>
      <c r="C168" s="2" t="n">
        <f aca="false">MIN(E168:AE168)</f>
        <v>5</v>
      </c>
      <c r="D168" s="18" t="n">
        <f aca="false">MAX(E168:AE168)</f>
        <v>15</v>
      </c>
      <c r="E168" s="19" t="n">
        <v>9</v>
      </c>
      <c r="F168" s="19" t="n">
        <v>14</v>
      </c>
      <c r="G168" s="19" t="n">
        <v>5</v>
      </c>
      <c r="H168" s="19" t="n">
        <v>9</v>
      </c>
      <c r="I168" s="68" t="n">
        <v>11</v>
      </c>
      <c r="J168" s="30" t="n">
        <v>15</v>
      </c>
      <c r="K168" s="19" t="n">
        <v>10</v>
      </c>
      <c r="L168" s="19" t="n">
        <v>8</v>
      </c>
      <c r="M168" s="19" t="n">
        <v>13</v>
      </c>
      <c r="N168" s="19" t="n">
        <v>15</v>
      </c>
      <c r="O168" s="19" t="n">
        <v>11</v>
      </c>
      <c r="P168" s="19" t="n">
        <v>8</v>
      </c>
      <c r="Q168" s="19" t="n">
        <v>13</v>
      </c>
      <c r="R168" s="19" t="n">
        <v>9</v>
      </c>
      <c r="S168" s="19" t="n">
        <v>10</v>
      </c>
      <c r="T168" s="19" t="n">
        <v>14</v>
      </c>
      <c r="U168" s="19" t="n">
        <v>9</v>
      </c>
      <c r="V168" s="30" t="n">
        <v>12</v>
      </c>
      <c r="W168" s="124" t="n">
        <v>9</v>
      </c>
      <c r="X168" s="19" t="n">
        <v>13</v>
      </c>
      <c r="Y168" s="30" t="n">
        <v>8</v>
      </c>
      <c r="Z168" s="19" t="n">
        <v>5</v>
      </c>
      <c r="AA168" s="19" t="n">
        <v>7</v>
      </c>
      <c r="AB168" s="19" t="n">
        <v>7</v>
      </c>
      <c r="AC168" s="19" t="n">
        <v>7</v>
      </c>
      <c r="AD168" s="19" t="n">
        <v>10</v>
      </c>
      <c r="AE168" s="19" t="n">
        <v>5</v>
      </c>
      <c r="AF168" s="19" t="n">
        <v>8</v>
      </c>
      <c r="AG168" s="19"/>
      <c r="AH168" s="19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CB168" s="6"/>
      <c r="CU168" s="6"/>
      <c r="CV168" s="6"/>
      <c r="CW168" s="6"/>
      <c r="CX168" s="6"/>
      <c r="CY168" s="6"/>
      <c r="CZ168" s="6"/>
      <c r="DA168" s="6"/>
      <c r="DK168" s="43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</row>
    <row r="169" customFormat="false" ht="12.75" hidden="false" customHeight="false" outlineLevel="0" collapsed="false">
      <c r="A169" s="16" t="s">
        <v>280</v>
      </c>
      <c r="B169" s="17" t="n">
        <f aca="false">AVERAGE(E169:AE169)</f>
        <v>10.0740740740741</v>
      </c>
      <c r="C169" s="2" t="n">
        <f aca="false">MIN(E169:AE169)</f>
        <v>5</v>
      </c>
      <c r="D169" s="18" t="n">
        <f aca="false">MAX(E169:AE169)</f>
        <v>15</v>
      </c>
      <c r="E169" s="19" t="n">
        <v>9</v>
      </c>
      <c r="F169" s="19" t="n">
        <v>15</v>
      </c>
      <c r="G169" s="19" t="n">
        <v>5</v>
      </c>
      <c r="H169" s="19" t="n">
        <v>9</v>
      </c>
      <c r="I169" s="19" t="n">
        <v>12</v>
      </c>
      <c r="J169" s="19" t="n">
        <v>15</v>
      </c>
      <c r="K169" s="19" t="n">
        <v>10</v>
      </c>
      <c r="L169" s="19" t="n">
        <v>8</v>
      </c>
      <c r="M169" s="19" t="n">
        <v>13</v>
      </c>
      <c r="N169" s="19" t="n">
        <v>15</v>
      </c>
      <c r="O169" s="19" t="n">
        <v>11</v>
      </c>
      <c r="P169" s="19" t="n">
        <v>8</v>
      </c>
      <c r="Q169" s="19" t="n">
        <v>13</v>
      </c>
      <c r="R169" s="19" t="n">
        <v>9</v>
      </c>
      <c r="S169" s="19" t="n">
        <v>10</v>
      </c>
      <c r="T169" s="19" t="n">
        <v>14</v>
      </c>
      <c r="U169" s="19" t="n">
        <v>10</v>
      </c>
      <c r="V169" s="19" t="n">
        <v>13</v>
      </c>
      <c r="W169" s="19" t="n">
        <v>9</v>
      </c>
      <c r="X169" s="19" t="n">
        <v>13</v>
      </c>
      <c r="Y169" s="19" t="n">
        <v>8</v>
      </c>
      <c r="Z169" s="30" t="n">
        <v>6</v>
      </c>
      <c r="AA169" s="19" t="n">
        <v>7</v>
      </c>
      <c r="AB169" s="19" t="n">
        <v>8</v>
      </c>
      <c r="AC169" s="19" t="n">
        <v>7</v>
      </c>
      <c r="AD169" s="19" t="n">
        <v>10</v>
      </c>
      <c r="AE169" s="19" t="n">
        <v>5</v>
      </c>
      <c r="AF169" s="19" t="n">
        <v>8</v>
      </c>
      <c r="AG169" s="19"/>
      <c r="AH169" s="19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CB169" s="6"/>
      <c r="CU169" s="6"/>
      <c r="CV169" s="6"/>
      <c r="CW169" s="6"/>
      <c r="CX169" s="6"/>
      <c r="CY169" s="6"/>
      <c r="CZ169" s="6"/>
      <c r="DA169" s="6"/>
      <c r="DK169" s="43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</row>
    <row r="170" customFormat="false" ht="12.75" hidden="false" customHeight="false" outlineLevel="0" collapsed="false">
      <c r="A170" s="16" t="s">
        <v>281</v>
      </c>
      <c r="B170" s="17" t="n">
        <f aca="false">AVERAGE(E170:AE170)</f>
        <v>10.3333333333333</v>
      </c>
      <c r="C170" s="2" t="n">
        <f aca="false">MIN(E170:AE170)</f>
        <v>5</v>
      </c>
      <c r="D170" s="18" t="n">
        <f aca="false">MAX(E170:AE170)</f>
        <v>16</v>
      </c>
      <c r="E170" s="19" t="n">
        <v>9</v>
      </c>
      <c r="F170" s="19" t="n">
        <v>16</v>
      </c>
      <c r="G170" s="30" t="n">
        <v>6</v>
      </c>
      <c r="H170" s="19" t="n">
        <v>9</v>
      </c>
      <c r="I170" s="19" t="n">
        <v>12</v>
      </c>
      <c r="J170" s="19" t="n">
        <v>15</v>
      </c>
      <c r="K170" s="19" t="n">
        <v>11</v>
      </c>
      <c r="L170" s="19" t="n">
        <v>8</v>
      </c>
      <c r="M170" s="30" t="n">
        <v>14</v>
      </c>
      <c r="N170" s="19" t="n">
        <v>15</v>
      </c>
      <c r="O170" s="19" t="n">
        <v>11</v>
      </c>
      <c r="P170" s="19" t="n">
        <v>8</v>
      </c>
      <c r="Q170" s="30" t="n">
        <v>14</v>
      </c>
      <c r="R170" s="19" t="n">
        <v>9</v>
      </c>
      <c r="S170" s="19" t="n">
        <v>10</v>
      </c>
      <c r="T170" s="19" t="n">
        <v>14</v>
      </c>
      <c r="U170" s="19" t="n">
        <v>11</v>
      </c>
      <c r="V170" s="19" t="n">
        <v>13</v>
      </c>
      <c r="W170" s="19" t="n">
        <v>9</v>
      </c>
      <c r="X170" s="19" t="n">
        <v>13</v>
      </c>
      <c r="Y170" s="19" t="n">
        <v>8</v>
      </c>
      <c r="Z170" s="30" t="n">
        <v>7</v>
      </c>
      <c r="AA170" s="19" t="n">
        <v>7</v>
      </c>
      <c r="AB170" s="19" t="n">
        <v>8</v>
      </c>
      <c r="AC170" s="19" t="n">
        <v>7</v>
      </c>
      <c r="AD170" s="19" t="n">
        <v>10</v>
      </c>
      <c r="AE170" s="19" t="n">
        <v>5</v>
      </c>
      <c r="AF170" s="19" t="n">
        <v>8</v>
      </c>
      <c r="AG170" s="19"/>
      <c r="AH170" s="19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CB170" s="6"/>
      <c r="CU170" s="6"/>
      <c r="CV170" s="6"/>
      <c r="CW170" s="6"/>
      <c r="CX170" s="6"/>
      <c r="CY170" s="6"/>
      <c r="CZ170" s="6"/>
      <c r="DA170" s="6"/>
      <c r="DK170" s="43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</row>
    <row r="171" customFormat="false" ht="12.75" hidden="false" customHeight="false" outlineLevel="0" collapsed="false">
      <c r="A171" s="16" t="s">
        <v>282</v>
      </c>
      <c r="B171" s="17" t="n">
        <f aca="false">AVERAGE(E171:AE171)</f>
        <v>10.5925925925926</v>
      </c>
      <c r="C171" s="2" t="n">
        <f aca="false">MIN(E171:AE171)</f>
        <v>6</v>
      </c>
      <c r="D171" s="18" t="n">
        <f aca="false">MAX(E171:AE171)</f>
        <v>16</v>
      </c>
      <c r="E171" s="19" t="n">
        <v>9</v>
      </c>
      <c r="F171" s="19" t="n">
        <v>16</v>
      </c>
      <c r="G171" s="19" t="n">
        <v>6</v>
      </c>
      <c r="H171" s="19" t="n">
        <v>10</v>
      </c>
      <c r="I171" s="19" t="n">
        <v>12</v>
      </c>
      <c r="J171" s="19" t="n">
        <v>15</v>
      </c>
      <c r="K171" s="19" t="n">
        <v>11</v>
      </c>
      <c r="L171" s="19" t="n">
        <v>8</v>
      </c>
      <c r="M171" s="30" t="n">
        <v>15</v>
      </c>
      <c r="N171" s="30" t="n">
        <v>16</v>
      </c>
      <c r="O171" s="19" t="n">
        <v>12</v>
      </c>
      <c r="P171" s="19" t="n">
        <v>8</v>
      </c>
      <c r="Q171" s="19" t="n">
        <v>14</v>
      </c>
      <c r="R171" s="19" t="n">
        <v>9</v>
      </c>
      <c r="S171" s="19" t="n">
        <v>10</v>
      </c>
      <c r="T171" s="19" t="n">
        <v>14</v>
      </c>
      <c r="U171" s="19" t="n">
        <v>11</v>
      </c>
      <c r="V171" s="30" t="n">
        <v>14</v>
      </c>
      <c r="W171" s="19" t="n">
        <v>9</v>
      </c>
      <c r="X171" s="19" t="n">
        <v>13</v>
      </c>
      <c r="Y171" s="19" t="n">
        <v>8</v>
      </c>
      <c r="Z171" s="19" t="n">
        <v>7</v>
      </c>
      <c r="AA171" s="19" t="n">
        <v>7</v>
      </c>
      <c r="AB171" s="19" t="n">
        <v>8</v>
      </c>
      <c r="AC171" s="30" t="n">
        <v>8</v>
      </c>
      <c r="AD171" s="19" t="n">
        <v>10</v>
      </c>
      <c r="AE171" s="123" t="n">
        <v>6</v>
      </c>
      <c r="AF171" s="19" t="n">
        <v>8</v>
      </c>
      <c r="AG171" s="19"/>
      <c r="AH171" s="19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CB171" s="6"/>
      <c r="CU171" s="6"/>
      <c r="CV171" s="6"/>
      <c r="CW171" s="6"/>
      <c r="CX171" s="6"/>
      <c r="CY171" s="6"/>
      <c r="CZ171" s="6"/>
      <c r="DA171" s="6"/>
      <c r="DK171" s="43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</row>
    <row r="172" customFormat="false" ht="12.75" hidden="false" customHeight="false" outlineLevel="0" collapsed="false">
      <c r="A172" s="16" t="s">
        <v>283</v>
      </c>
      <c r="B172" s="17" t="n">
        <f aca="false">AVERAGE(E172:AE172)</f>
        <v>10.8518518518519</v>
      </c>
      <c r="C172" s="2" t="n">
        <f aca="false">MIN(E172:AE172)</f>
        <v>6</v>
      </c>
      <c r="D172" s="18" t="n">
        <f aca="false">MAX(E172:AE172)</f>
        <v>16</v>
      </c>
      <c r="E172" s="19" t="n">
        <v>9</v>
      </c>
      <c r="F172" s="19" t="n">
        <v>16</v>
      </c>
      <c r="G172" s="30" t="n">
        <v>7</v>
      </c>
      <c r="H172" s="19" t="n">
        <v>10</v>
      </c>
      <c r="I172" s="19" t="n">
        <v>12</v>
      </c>
      <c r="J172" s="19" t="n">
        <v>15</v>
      </c>
      <c r="K172" s="19" t="n">
        <v>11</v>
      </c>
      <c r="L172" s="124" t="n">
        <v>9</v>
      </c>
      <c r="M172" s="19" t="n">
        <v>15</v>
      </c>
      <c r="N172" s="19" t="n">
        <v>16</v>
      </c>
      <c r="O172" s="30" t="n">
        <v>13</v>
      </c>
      <c r="P172" s="19" t="n">
        <v>8</v>
      </c>
      <c r="Q172" s="19" t="n">
        <v>15</v>
      </c>
      <c r="R172" s="19" t="n">
        <v>10</v>
      </c>
      <c r="S172" s="19" t="n">
        <v>10</v>
      </c>
      <c r="T172" s="19" t="n">
        <v>14</v>
      </c>
      <c r="U172" s="19" t="n">
        <v>11</v>
      </c>
      <c r="V172" s="124" t="n">
        <v>15</v>
      </c>
      <c r="W172" s="19" t="n">
        <v>10</v>
      </c>
      <c r="X172" s="19" t="n">
        <v>13</v>
      </c>
      <c r="Y172" s="19" t="n">
        <v>8</v>
      </c>
      <c r="Z172" s="19" t="n">
        <v>7</v>
      </c>
      <c r="AA172" s="19" t="n">
        <v>7</v>
      </c>
      <c r="AB172" s="19" t="n">
        <v>8</v>
      </c>
      <c r="AC172" s="19" t="n">
        <v>8</v>
      </c>
      <c r="AD172" s="19" t="n">
        <v>10</v>
      </c>
      <c r="AE172" s="19" t="n">
        <v>6</v>
      </c>
      <c r="AF172" s="19" t="n">
        <v>8</v>
      </c>
      <c r="AG172" s="19"/>
      <c r="AH172" s="19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CB172" s="6"/>
      <c r="CU172" s="6"/>
      <c r="CV172" s="6"/>
      <c r="CW172" s="6"/>
      <c r="CX172" s="6"/>
      <c r="CY172" s="6"/>
      <c r="CZ172" s="6"/>
      <c r="DA172" s="6"/>
      <c r="DK172" s="43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</row>
    <row r="173" customFormat="false" ht="12.75" hidden="false" customHeight="false" outlineLevel="0" collapsed="false">
      <c r="A173" s="16" t="s">
        <v>284</v>
      </c>
      <c r="B173" s="17" t="n">
        <f aca="false">AVERAGE(E173:AE173)</f>
        <v>11</v>
      </c>
      <c r="C173" s="2" t="n">
        <f aca="false">MIN(E173:AE173)</f>
        <v>6</v>
      </c>
      <c r="D173" s="18" t="n">
        <f aca="false">MAX(E173:AE173)</f>
        <v>16</v>
      </c>
      <c r="E173" s="19" t="n">
        <v>9</v>
      </c>
      <c r="F173" s="19" t="n">
        <v>16</v>
      </c>
      <c r="G173" s="19" t="n">
        <v>8</v>
      </c>
      <c r="H173" s="19" t="n">
        <v>10</v>
      </c>
      <c r="I173" s="19" t="n">
        <v>12</v>
      </c>
      <c r="J173" s="19" t="n">
        <v>15</v>
      </c>
      <c r="K173" s="19" t="n">
        <v>11</v>
      </c>
      <c r="L173" s="19" t="n">
        <v>10</v>
      </c>
      <c r="M173" s="19" t="n">
        <v>15</v>
      </c>
      <c r="N173" s="19" t="n">
        <v>16</v>
      </c>
      <c r="O173" s="19" t="n">
        <v>13</v>
      </c>
      <c r="P173" s="19" t="n">
        <v>8</v>
      </c>
      <c r="Q173" s="19" t="n">
        <v>15</v>
      </c>
      <c r="R173" s="123" t="n">
        <v>11</v>
      </c>
      <c r="S173" s="19" t="n">
        <v>10</v>
      </c>
      <c r="T173" s="19" t="n">
        <v>14</v>
      </c>
      <c r="U173" s="19" t="n">
        <v>11</v>
      </c>
      <c r="V173" s="19" t="n">
        <v>15</v>
      </c>
      <c r="W173" s="19" t="n">
        <v>10</v>
      </c>
      <c r="X173" s="19" t="n">
        <v>13</v>
      </c>
      <c r="Y173" s="19" t="n">
        <v>8</v>
      </c>
      <c r="Z173" s="19" t="n">
        <v>7</v>
      </c>
      <c r="AA173" s="19" t="n">
        <v>7</v>
      </c>
      <c r="AB173" s="19" t="n">
        <v>8</v>
      </c>
      <c r="AC173" s="30" t="n">
        <v>9</v>
      </c>
      <c r="AD173" s="19" t="n">
        <v>10</v>
      </c>
      <c r="AE173" s="19" t="n">
        <v>6</v>
      </c>
      <c r="AF173" s="19" t="n">
        <v>8</v>
      </c>
      <c r="AG173" s="19"/>
      <c r="AH173" s="19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CB173" s="6"/>
      <c r="CU173" s="6"/>
      <c r="CV173" s="6"/>
      <c r="CW173" s="6"/>
      <c r="CX173" s="6"/>
      <c r="CY173" s="6"/>
      <c r="CZ173" s="6"/>
      <c r="DA173" s="6"/>
      <c r="DK173" s="43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</row>
    <row r="174" customFormat="false" ht="12.75" hidden="false" customHeight="false" outlineLevel="0" collapsed="false">
      <c r="A174" s="16" t="s">
        <v>285</v>
      </c>
      <c r="B174" s="17" t="n">
        <f aca="false">AVERAGE(E174:AE174)</f>
        <v>11.1481481481481</v>
      </c>
      <c r="C174" s="2" t="n">
        <f aca="false">MIN(E174:AE174)</f>
        <v>6</v>
      </c>
      <c r="D174" s="18" t="n">
        <f aca="false">MAX(E174:AE174)</f>
        <v>16</v>
      </c>
      <c r="E174" s="19" t="n">
        <v>9</v>
      </c>
      <c r="F174" s="19" t="n">
        <v>16</v>
      </c>
      <c r="G174" s="19" t="n">
        <v>8</v>
      </c>
      <c r="H174" s="19" t="n">
        <v>10</v>
      </c>
      <c r="I174" s="30" t="n">
        <v>13</v>
      </c>
      <c r="J174" s="19" t="n">
        <v>15</v>
      </c>
      <c r="K174" s="19" t="n">
        <v>11</v>
      </c>
      <c r="L174" s="19" t="n">
        <v>10</v>
      </c>
      <c r="M174" s="19" t="n">
        <v>15</v>
      </c>
      <c r="N174" s="19" t="n">
        <v>16</v>
      </c>
      <c r="O174" s="19" t="n">
        <v>13</v>
      </c>
      <c r="P174" s="19" t="n">
        <v>8</v>
      </c>
      <c r="Q174" s="19" t="n">
        <v>15</v>
      </c>
      <c r="R174" s="30" t="n">
        <v>12</v>
      </c>
      <c r="S174" s="19" t="n">
        <v>10</v>
      </c>
      <c r="T174" s="19" t="n">
        <v>14</v>
      </c>
      <c r="U174" s="19" t="n">
        <v>11</v>
      </c>
      <c r="V174" s="30" t="n">
        <v>16</v>
      </c>
      <c r="W174" s="19" t="n">
        <v>10</v>
      </c>
      <c r="X174" s="19" t="n">
        <v>13</v>
      </c>
      <c r="Y174" s="19" t="n">
        <v>8</v>
      </c>
      <c r="Z174" s="30" t="n">
        <v>8</v>
      </c>
      <c r="AA174" s="19" t="n">
        <v>7</v>
      </c>
      <c r="AB174" s="19" t="n">
        <v>8</v>
      </c>
      <c r="AC174" s="19" t="n">
        <v>9</v>
      </c>
      <c r="AD174" s="19" t="n">
        <v>10</v>
      </c>
      <c r="AE174" s="19" t="n">
        <v>6</v>
      </c>
      <c r="AF174" s="19" t="n">
        <v>8</v>
      </c>
      <c r="AG174" s="19"/>
      <c r="AH174" s="19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CB174" s="6"/>
      <c r="CU174" s="6"/>
      <c r="CV174" s="6"/>
      <c r="CW174" s="6"/>
      <c r="CX174" s="6"/>
      <c r="CY174" s="6"/>
      <c r="CZ174" s="6"/>
      <c r="DA174" s="6"/>
      <c r="DK174" s="43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</row>
    <row r="175" customFormat="false" ht="12.75" hidden="false" customHeight="false" outlineLevel="0" collapsed="false">
      <c r="A175" s="16" t="s">
        <v>286</v>
      </c>
      <c r="B175" s="17" t="n">
        <f aca="false">AVERAGE(E175:AE175)</f>
        <v>11.1851851851852</v>
      </c>
      <c r="C175" s="2" t="n">
        <f aca="false">MIN(E175:AE175)</f>
        <v>6</v>
      </c>
      <c r="D175" s="18" t="n">
        <f aca="false">MAX(E175:AE175)</f>
        <v>16</v>
      </c>
      <c r="E175" s="19" t="n">
        <v>9</v>
      </c>
      <c r="F175" s="19" t="n">
        <v>16</v>
      </c>
      <c r="G175" s="19" t="n">
        <v>8</v>
      </c>
      <c r="H175" s="19" t="n">
        <v>10</v>
      </c>
      <c r="I175" s="19" t="n">
        <v>13</v>
      </c>
      <c r="J175" s="19" t="n">
        <v>15</v>
      </c>
      <c r="K175" s="19" t="n">
        <v>11</v>
      </c>
      <c r="L175" s="19" t="n">
        <v>11</v>
      </c>
      <c r="M175" s="19" t="n">
        <v>15</v>
      </c>
      <c r="N175" s="19" t="n">
        <v>16</v>
      </c>
      <c r="O175" s="19" t="n">
        <v>13</v>
      </c>
      <c r="P175" s="19" t="n">
        <v>8</v>
      </c>
      <c r="Q175" s="19" t="n">
        <v>15</v>
      </c>
      <c r="R175" s="19" t="n">
        <v>12</v>
      </c>
      <c r="S175" s="19" t="n">
        <v>10</v>
      </c>
      <c r="T175" s="19" t="n">
        <v>14</v>
      </c>
      <c r="U175" s="19" t="n">
        <v>11</v>
      </c>
      <c r="V175" s="19" t="n">
        <v>16</v>
      </c>
      <c r="W175" s="19" t="n">
        <v>10</v>
      </c>
      <c r="X175" s="19" t="n">
        <v>13</v>
      </c>
      <c r="Y175" s="19" t="n">
        <v>8</v>
      </c>
      <c r="Z175" s="19" t="n">
        <v>8</v>
      </c>
      <c r="AA175" s="19" t="n">
        <v>7</v>
      </c>
      <c r="AB175" s="19" t="n">
        <v>8</v>
      </c>
      <c r="AC175" s="19" t="n">
        <v>9</v>
      </c>
      <c r="AD175" s="19" t="n">
        <v>10</v>
      </c>
      <c r="AE175" s="19" t="n">
        <v>6</v>
      </c>
      <c r="AF175" s="19" t="n">
        <v>8</v>
      </c>
      <c r="AG175" s="19"/>
      <c r="AH175" s="19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DK175" s="43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</row>
    <row r="176" customFormat="false" ht="12.75" hidden="false" customHeight="false" outlineLevel="0" collapsed="false">
      <c r="A176" s="16" t="s">
        <v>287</v>
      </c>
      <c r="B176" s="17" t="n">
        <f aca="false">AVERAGE(E176:AE176)</f>
        <v>11.3703703703704</v>
      </c>
      <c r="C176" s="2" t="n">
        <f aca="false">MIN(E176:AE176)</f>
        <v>6</v>
      </c>
      <c r="D176" s="18" t="n">
        <f aca="false">MAX(E176:AE176)</f>
        <v>16</v>
      </c>
      <c r="E176" s="19" t="n">
        <v>9</v>
      </c>
      <c r="F176" s="19" t="n">
        <v>16</v>
      </c>
      <c r="G176" s="19" t="n">
        <v>8</v>
      </c>
      <c r="H176" s="68" t="n">
        <v>11</v>
      </c>
      <c r="I176" s="19" t="n">
        <v>13</v>
      </c>
      <c r="J176" s="19" t="n">
        <v>15</v>
      </c>
      <c r="K176" s="19" t="n">
        <v>11</v>
      </c>
      <c r="L176" s="19" t="n">
        <v>12</v>
      </c>
      <c r="M176" s="19" t="n">
        <v>15</v>
      </c>
      <c r="N176" s="19" t="n">
        <v>16</v>
      </c>
      <c r="O176" s="19" t="n">
        <v>13</v>
      </c>
      <c r="P176" s="19" t="n">
        <v>8</v>
      </c>
      <c r="Q176" s="19" t="n">
        <v>15</v>
      </c>
      <c r="R176" s="19" t="n">
        <v>13</v>
      </c>
      <c r="S176" s="124" t="n">
        <v>11</v>
      </c>
      <c r="T176" s="19" t="n">
        <v>14</v>
      </c>
      <c r="U176" s="19" t="n">
        <v>11</v>
      </c>
      <c r="V176" s="19" t="n">
        <v>16</v>
      </c>
      <c r="W176" s="19" t="n">
        <v>10</v>
      </c>
      <c r="X176" s="19" t="n">
        <v>13</v>
      </c>
      <c r="Y176" s="19" t="n">
        <v>9</v>
      </c>
      <c r="Z176" s="19" t="n">
        <v>8</v>
      </c>
      <c r="AA176" s="19" t="n">
        <v>7</v>
      </c>
      <c r="AB176" s="19" t="n">
        <v>8</v>
      </c>
      <c r="AC176" s="19" t="n">
        <v>9</v>
      </c>
      <c r="AD176" s="19" t="n">
        <v>10</v>
      </c>
      <c r="AE176" s="19" t="n">
        <v>6</v>
      </c>
      <c r="AF176" s="19" t="n">
        <v>8</v>
      </c>
      <c r="AG176" s="19"/>
      <c r="AH176" s="19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DK176" s="43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</row>
    <row r="177" customFormat="false" ht="12.75" hidden="false" customHeight="false" outlineLevel="0" collapsed="false">
      <c r="A177" s="16" t="s">
        <v>288</v>
      </c>
      <c r="B177" s="17" t="n">
        <f aca="false">AVERAGE(E177:AE177)</f>
        <v>11.7037037037037</v>
      </c>
      <c r="C177" s="2" t="n">
        <f aca="false">MIN(E177:AE177)</f>
        <v>6</v>
      </c>
      <c r="D177" s="18" t="n">
        <f aca="false">MAX(E177:AE177)</f>
        <v>16</v>
      </c>
      <c r="E177" s="19" t="n">
        <v>9</v>
      </c>
      <c r="F177" s="19" t="n">
        <v>16</v>
      </c>
      <c r="G177" s="19" t="n">
        <v>9</v>
      </c>
      <c r="H177" s="124" t="n">
        <v>12</v>
      </c>
      <c r="I177" s="19" t="n">
        <v>13</v>
      </c>
      <c r="J177" s="30" t="n">
        <v>16</v>
      </c>
      <c r="K177" s="19" t="n">
        <v>11</v>
      </c>
      <c r="L177" s="19" t="n">
        <v>13</v>
      </c>
      <c r="M177" s="19" t="n">
        <v>16</v>
      </c>
      <c r="N177" s="19" t="n">
        <v>16</v>
      </c>
      <c r="O177" s="19" t="n">
        <v>14</v>
      </c>
      <c r="P177" s="19" t="n">
        <v>8</v>
      </c>
      <c r="Q177" s="19" t="n">
        <v>15</v>
      </c>
      <c r="R177" s="19" t="n">
        <v>14</v>
      </c>
      <c r="S177" s="19" t="n">
        <v>12</v>
      </c>
      <c r="T177" s="19" t="n">
        <v>14</v>
      </c>
      <c r="U177" s="19" t="n">
        <v>11</v>
      </c>
      <c r="V177" s="19" t="n">
        <v>16</v>
      </c>
      <c r="W177" s="19" t="n">
        <v>10</v>
      </c>
      <c r="X177" s="19" t="n">
        <v>13</v>
      </c>
      <c r="Y177" s="19" t="n">
        <v>9</v>
      </c>
      <c r="Z177" s="19" t="n">
        <v>8</v>
      </c>
      <c r="AA177" s="19" t="n">
        <v>8</v>
      </c>
      <c r="AB177" s="19" t="n">
        <v>8</v>
      </c>
      <c r="AC177" s="19" t="n">
        <v>9</v>
      </c>
      <c r="AD177" s="19" t="n">
        <v>10</v>
      </c>
      <c r="AE177" s="19" t="n">
        <v>6</v>
      </c>
      <c r="AF177" s="123" t="n">
        <v>9</v>
      </c>
      <c r="AG177" s="19"/>
      <c r="AH177" s="19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DK177" s="43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</row>
    <row r="178" customFormat="false" ht="12.75" hidden="false" customHeight="false" outlineLevel="0" collapsed="false">
      <c r="A178" s="16" t="s">
        <v>289</v>
      </c>
      <c r="B178" s="17" t="n">
        <f aca="false">AVERAGE(E178:AE178)</f>
        <v>11.962962962963</v>
      </c>
      <c r="C178" s="2" t="n">
        <f aca="false">MIN(E178:AE178)</f>
        <v>6</v>
      </c>
      <c r="D178" s="18" t="n">
        <f aca="false">MAX(E178:AE178)</f>
        <v>17</v>
      </c>
      <c r="E178" s="19" t="n">
        <v>9</v>
      </c>
      <c r="F178" s="19" t="n">
        <v>16</v>
      </c>
      <c r="G178" s="19" t="n">
        <v>9</v>
      </c>
      <c r="H178" s="19" t="n">
        <v>12</v>
      </c>
      <c r="I178" s="19" t="n">
        <v>13</v>
      </c>
      <c r="J178" s="19" t="n">
        <v>16</v>
      </c>
      <c r="K178" s="19" t="n">
        <v>12</v>
      </c>
      <c r="L178" s="19" t="n">
        <v>13</v>
      </c>
      <c r="M178" s="19" t="n">
        <v>16</v>
      </c>
      <c r="N178" s="19" t="n">
        <v>17</v>
      </c>
      <c r="O178" s="19" t="n">
        <v>14</v>
      </c>
      <c r="P178" s="19" t="n">
        <v>8</v>
      </c>
      <c r="Q178" s="68" t="n">
        <v>16</v>
      </c>
      <c r="R178" s="19" t="n">
        <v>14</v>
      </c>
      <c r="S178" s="19" t="n">
        <v>12</v>
      </c>
      <c r="T178" s="19" t="n">
        <v>14</v>
      </c>
      <c r="U178" s="30" t="n">
        <v>12</v>
      </c>
      <c r="V178" s="19" t="n">
        <v>16</v>
      </c>
      <c r="W178" s="68" t="n">
        <v>11</v>
      </c>
      <c r="X178" s="19" t="n">
        <v>13</v>
      </c>
      <c r="Y178" s="19" t="n">
        <v>9</v>
      </c>
      <c r="Z178" s="19" t="n">
        <v>8</v>
      </c>
      <c r="AA178" s="19" t="n">
        <v>9</v>
      </c>
      <c r="AB178" s="19" t="n">
        <v>8</v>
      </c>
      <c r="AC178" s="68" t="n">
        <v>10</v>
      </c>
      <c r="AD178" s="19" t="n">
        <v>10</v>
      </c>
      <c r="AE178" s="19" t="n">
        <v>6</v>
      </c>
      <c r="AF178" s="19" t="n">
        <v>9</v>
      </c>
      <c r="AG178" s="19"/>
      <c r="AH178" s="19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DK178" s="43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</row>
    <row r="179" customFormat="false" ht="12.75" hidden="false" customHeight="false" outlineLevel="0" collapsed="false">
      <c r="A179" s="16" t="s">
        <v>290</v>
      </c>
      <c r="B179" s="17" t="n">
        <f aca="false">AVERAGE(E179:AE179)</f>
        <v>12.2222222222222</v>
      </c>
      <c r="C179" s="2" t="n">
        <f aca="false">MIN(E179:AE179)</f>
        <v>7</v>
      </c>
      <c r="D179" s="18" t="n">
        <f aca="false">MAX(E179:AE179)</f>
        <v>17</v>
      </c>
      <c r="E179" s="19" t="n">
        <v>9</v>
      </c>
      <c r="F179" s="19" t="n">
        <v>16</v>
      </c>
      <c r="G179" s="19" t="n">
        <v>9</v>
      </c>
      <c r="H179" s="19" t="n">
        <v>12</v>
      </c>
      <c r="I179" s="19" t="n">
        <v>14</v>
      </c>
      <c r="J179" s="19" t="n">
        <v>16</v>
      </c>
      <c r="K179" s="19" t="n">
        <v>12</v>
      </c>
      <c r="L179" s="19" t="n">
        <v>13</v>
      </c>
      <c r="M179" s="19" t="n">
        <v>16</v>
      </c>
      <c r="N179" s="19" t="n">
        <v>17</v>
      </c>
      <c r="O179" s="19" t="n">
        <v>14</v>
      </c>
      <c r="P179" s="19" t="n">
        <v>8</v>
      </c>
      <c r="Q179" s="30" t="n">
        <v>17</v>
      </c>
      <c r="R179" s="19" t="n">
        <v>14</v>
      </c>
      <c r="S179" s="19" t="n">
        <v>12</v>
      </c>
      <c r="T179" s="19" t="n">
        <v>14</v>
      </c>
      <c r="U179" s="19" t="n">
        <v>13</v>
      </c>
      <c r="V179" s="19" t="n">
        <v>16</v>
      </c>
      <c r="W179" s="68" t="n">
        <v>12</v>
      </c>
      <c r="X179" s="19" t="n">
        <v>13</v>
      </c>
      <c r="Y179" s="19" t="n">
        <v>9</v>
      </c>
      <c r="Z179" s="19" t="n">
        <v>8</v>
      </c>
      <c r="AA179" s="19" t="n">
        <v>10</v>
      </c>
      <c r="AB179" s="19" t="n">
        <v>8</v>
      </c>
      <c r="AC179" s="19" t="n">
        <v>11</v>
      </c>
      <c r="AD179" s="19" t="n">
        <v>10</v>
      </c>
      <c r="AE179" s="19" t="n">
        <v>7</v>
      </c>
      <c r="AF179" s="19" t="n">
        <v>9</v>
      </c>
      <c r="AG179" s="19"/>
      <c r="AH179" s="19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DK179" s="43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</row>
    <row r="180" customFormat="false" ht="12.75" hidden="false" customHeight="false" outlineLevel="0" collapsed="false">
      <c r="A180" s="16" t="s">
        <v>291</v>
      </c>
      <c r="B180" s="17" t="n">
        <f aca="false">AVERAGE(E180:AE180)</f>
        <v>12.3703703703704</v>
      </c>
      <c r="C180" s="2" t="n">
        <f aca="false">MIN(E180:AE180)</f>
        <v>7</v>
      </c>
      <c r="D180" s="18" t="n">
        <f aca="false">MAX(E180:AE180)</f>
        <v>17</v>
      </c>
      <c r="E180" s="19" t="n">
        <v>9</v>
      </c>
      <c r="F180" s="30" t="n">
        <v>17</v>
      </c>
      <c r="G180" s="19" t="n">
        <v>9</v>
      </c>
      <c r="H180" s="19" t="n">
        <v>12</v>
      </c>
      <c r="I180" s="19" t="n">
        <v>14</v>
      </c>
      <c r="J180" s="19" t="n">
        <v>16</v>
      </c>
      <c r="K180" s="19" t="n">
        <v>12</v>
      </c>
      <c r="L180" s="19" t="n">
        <v>13</v>
      </c>
      <c r="M180" s="19" t="n">
        <v>16</v>
      </c>
      <c r="N180" s="19" t="n">
        <v>17</v>
      </c>
      <c r="O180" s="19" t="n">
        <v>14</v>
      </c>
      <c r="P180" s="19" t="n">
        <v>8</v>
      </c>
      <c r="Q180" s="19" t="n">
        <v>17</v>
      </c>
      <c r="R180" s="19" t="n">
        <v>14</v>
      </c>
      <c r="S180" s="19" t="n">
        <v>12</v>
      </c>
      <c r="T180" s="30" t="n">
        <v>15</v>
      </c>
      <c r="U180" s="19" t="n">
        <v>13</v>
      </c>
      <c r="V180" s="19" t="n">
        <v>16</v>
      </c>
      <c r="W180" s="19" t="n">
        <v>12</v>
      </c>
      <c r="X180" s="19" t="n">
        <v>13</v>
      </c>
      <c r="Y180" s="19" t="n">
        <v>9</v>
      </c>
      <c r="Z180" s="19" t="n">
        <v>8</v>
      </c>
      <c r="AA180" s="19" t="n">
        <v>11</v>
      </c>
      <c r="AB180" s="19" t="n">
        <v>9</v>
      </c>
      <c r="AC180" s="19" t="n">
        <v>11</v>
      </c>
      <c r="AD180" s="19" t="n">
        <v>10</v>
      </c>
      <c r="AE180" s="19" t="n">
        <v>7</v>
      </c>
      <c r="AF180" s="19" t="n">
        <v>9</v>
      </c>
      <c r="AG180" s="19"/>
      <c r="AH180" s="19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DK180" s="43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</row>
    <row r="181" customFormat="false" ht="12.75" hidden="false" customHeight="false" outlineLevel="0" collapsed="false">
      <c r="A181" s="16" t="s">
        <v>292</v>
      </c>
      <c r="B181" s="17" t="n">
        <f aca="false">AVERAGE(E181:AE181)</f>
        <v>12.5555555555556</v>
      </c>
      <c r="C181" s="2" t="n">
        <f aca="false">MIN(E181:AE181)</f>
        <v>7</v>
      </c>
      <c r="D181" s="18" t="n">
        <f aca="false">MAX(E181:AE181)</f>
        <v>18</v>
      </c>
      <c r="E181" s="19" t="n">
        <v>9</v>
      </c>
      <c r="F181" s="19" t="n">
        <v>17</v>
      </c>
      <c r="G181" s="19" t="n">
        <v>9</v>
      </c>
      <c r="H181" s="19" t="n">
        <v>12</v>
      </c>
      <c r="I181" s="19" t="n">
        <v>14</v>
      </c>
      <c r="J181" s="19" t="n">
        <v>16</v>
      </c>
      <c r="K181" s="124" t="n">
        <v>13</v>
      </c>
      <c r="L181" s="19" t="n">
        <v>13</v>
      </c>
      <c r="M181" s="19" t="n">
        <v>16</v>
      </c>
      <c r="N181" s="19" t="n">
        <v>18</v>
      </c>
      <c r="O181" s="30" t="n">
        <v>15</v>
      </c>
      <c r="P181" s="19" t="n">
        <v>8</v>
      </c>
      <c r="Q181" s="19" t="n">
        <v>17</v>
      </c>
      <c r="R181" s="19" t="n">
        <v>14</v>
      </c>
      <c r="S181" s="19" t="n">
        <v>12</v>
      </c>
      <c r="T181" s="19" t="n">
        <v>16</v>
      </c>
      <c r="U181" s="19" t="n">
        <v>13</v>
      </c>
      <c r="V181" s="19" t="n">
        <v>17</v>
      </c>
      <c r="W181" s="19" t="n">
        <v>12</v>
      </c>
      <c r="X181" s="19" t="n">
        <v>13</v>
      </c>
      <c r="Y181" s="19" t="n">
        <v>9</v>
      </c>
      <c r="Z181" s="19" t="n">
        <v>8</v>
      </c>
      <c r="AA181" s="19" t="n">
        <v>11</v>
      </c>
      <c r="AB181" s="19" t="n">
        <v>9</v>
      </c>
      <c r="AC181" s="19" t="n">
        <v>11</v>
      </c>
      <c r="AD181" s="19" t="n">
        <v>10</v>
      </c>
      <c r="AE181" s="19" t="n">
        <v>7</v>
      </c>
      <c r="AF181" s="19" t="n">
        <v>9</v>
      </c>
      <c r="AG181" s="19"/>
      <c r="AH181" s="19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DK181" s="43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</row>
    <row r="182" customFormat="false" ht="12.75" hidden="false" customHeight="false" outlineLevel="0" collapsed="false">
      <c r="A182" s="16" t="s">
        <v>293</v>
      </c>
      <c r="B182" s="17" t="n">
        <f aca="false">AVERAGE(E182:AE182)</f>
        <v>12.6296296296296</v>
      </c>
      <c r="C182" s="2" t="n">
        <f aca="false">MIN(E182:AE182)</f>
        <v>7</v>
      </c>
      <c r="D182" s="18" t="n">
        <f aca="false">MAX(E182:AE182)</f>
        <v>18</v>
      </c>
      <c r="E182" s="19" t="n">
        <v>9</v>
      </c>
      <c r="F182" s="19" t="n">
        <v>17</v>
      </c>
      <c r="G182" s="19" t="n">
        <v>9</v>
      </c>
      <c r="H182" s="19" t="n">
        <v>12</v>
      </c>
      <c r="I182" s="19" t="n">
        <v>14</v>
      </c>
      <c r="J182" s="19" t="n">
        <v>16</v>
      </c>
      <c r="K182" s="19" t="n">
        <v>13</v>
      </c>
      <c r="L182" s="19" t="n">
        <v>13</v>
      </c>
      <c r="M182" s="19" t="n">
        <v>16</v>
      </c>
      <c r="N182" s="19" t="n">
        <v>18</v>
      </c>
      <c r="O182" s="19" t="n">
        <v>15</v>
      </c>
      <c r="P182" s="19" t="n">
        <v>8</v>
      </c>
      <c r="Q182" s="19" t="n">
        <v>17</v>
      </c>
      <c r="R182" s="19" t="n">
        <v>14</v>
      </c>
      <c r="S182" s="19" t="n">
        <v>12</v>
      </c>
      <c r="T182" s="19" t="n">
        <v>16</v>
      </c>
      <c r="U182" s="19" t="n">
        <v>13</v>
      </c>
      <c r="V182" s="19" t="n">
        <v>17</v>
      </c>
      <c r="W182" s="19" t="n">
        <v>12</v>
      </c>
      <c r="X182" s="19" t="n">
        <v>13</v>
      </c>
      <c r="Y182" s="19" t="n">
        <v>9</v>
      </c>
      <c r="Z182" s="19" t="n">
        <v>8</v>
      </c>
      <c r="AA182" s="19" t="n">
        <v>11</v>
      </c>
      <c r="AB182" s="19" t="n">
        <v>9</v>
      </c>
      <c r="AC182" s="19" t="n">
        <v>12</v>
      </c>
      <c r="AD182" s="19" t="n">
        <v>11</v>
      </c>
      <c r="AE182" s="19" t="n">
        <v>7</v>
      </c>
      <c r="AF182" s="19" t="n">
        <v>9</v>
      </c>
      <c r="AG182" s="19"/>
      <c r="AH182" s="19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DK182" s="43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</row>
    <row r="183" customFormat="false" ht="12.75" hidden="false" customHeight="false" outlineLevel="0" collapsed="false">
      <c r="A183" s="16" t="s">
        <v>294</v>
      </c>
      <c r="B183" s="17" t="n">
        <f aca="false">AVERAGE(E183:AE183)</f>
        <v>12.8518518518519</v>
      </c>
      <c r="C183" s="2" t="n">
        <f aca="false">MIN(E183:AE183)</f>
        <v>7</v>
      </c>
      <c r="D183" s="18" t="n">
        <f aca="false">MAX(E183:AE183)</f>
        <v>18</v>
      </c>
      <c r="E183" s="19" t="n">
        <v>10</v>
      </c>
      <c r="F183" s="19" t="n">
        <v>17</v>
      </c>
      <c r="G183" s="19" t="n">
        <v>9</v>
      </c>
      <c r="H183" s="19" t="n">
        <v>12</v>
      </c>
      <c r="I183" s="19" t="n">
        <v>14</v>
      </c>
      <c r="J183" s="19" t="n">
        <v>16</v>
      </c>
      <c r="K183" s="19" t="n">
        <v>13</v>
      </c>
      <c r="L183" s="68" t="n">
        <v>14</v>
      </c>
      <c r="M183" s="19" t="n">
        <v>16</v>
      </c>
      <c r="N183" s="19" t="n">
        <v>18</v>
      </c>
      <c r="O183" s="19" t="n">
        <v>15</v>
      </c>
      <c r="P183" s="19" t="n">
        <v>8</v>
      </c>
      <c r="Q183" s="19" t="n">
        <v>17</v>
      </c>
      <c r="R183" s="19" t="n">
        <v>14</v>
      </c>
      <c r="S183" s="19" t="n">
        <v>12</v>
      </c>
      <c r="T183" s="19" t="n">
        <v>16</v>
      </c>
      <c r="U183" s="19" t="n">
        <v>13</v>
      </c>
      <c r="V183" s="19" t="n">
        <v>17</v>
      </c>
      <c r="W183" s="19" t="n">
        <v>12</v>
      </c>
      <c r="X183" s="19" t="n">
        <v>13</v>
      </c>
      <c r="Y183" s="19" t="n">
        <v>9</v>
      </c>
      <c r="Z183" s="19" t="n">
        <v>9</v>
      </c>
      <c r="AA183" s="19" t="n">
        <v>11</v>
      </c>
      <c r="AB183" s="123" t="n">
        <v>10</v>
      </c>
      <c r="AC183" s="19" t="n">
        <v>13</v>
      </c>
      <c r="AD183" s="19" t="n">
        <v>12</v>
      </c>
      <c r="AE183" s="19" t="n">
        <v>7</v>
      </c>
      <c r="AF183" s="19" t="n">
        <v>9</v>
      </c>
      <c r="AG183" s="19"/>
      <c r="AH183" s="19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DK183" s="43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</row>
    <row r="184" customFormat="false" ht="12.75" hidden="false" customHeight="false" outlineLevel="0" collapsed="false">
      <c r="A184" s="16" t="s">
        <v>295</v>
      </c>
      <c r="B184" s="17" t="n">
        <f aca="false">AVERAGE(E184:AE184)</f>
        <v>13.037037037037</v>
      </c>
      <c r="C184" s="2" t="n">
        <f aca="false">MIN(E184:AE184)</f>
        <v>7</v>
      </c>
      <c r="D184" s="18" t="n">
        <f aca="false">MAX(E184:AE184)</f>
        <v>18</v>
      </c>
      <c r="E184" s="19" t="n">
        <v>10</v>
      </c>
      <c r="F184" s="19" t="n">
        <v>17</v>
      </c>
      <c r="G184" s="19" t="n">
        <v>9</v>
      </c>
      <c r="H184" s="19" t="n">
        <v>12</v>
      </c>
      <c r="I184" s="19" t="n">
        <v>14</v>
      </c>
      <c r="J184" s="19" t="n">
        <v>16</v>
      </c>
      <c r="K184" s="19" t="n">
        <v>13</v>
      </c>
      <c r="L184" s="19" t="n">
        <v>14</v>
      </c>
      <c r="M184" s="19" t="n">
        <v>16</v>
      </c>
      <c r="N184" s="19" t="n">
        <v>18</v>
      </c>
      <c r="O184" s="19" t="n">
        <v>15</v>
      </c>
      <c r="P184" s="19" t="n">
        <v>8</v>
      </c>
      <c r="Q184" s="19" t="n">
        <v>17</v>
      </c>
      <c r="R184" s="19" t="n">
        <v>14</v>
      </c>
      <c r="S184" s="19" t="n">
        <v>12</v>
      </c>
      <c r="T184" s="19" t="n">
        <v>16</v>
      </c>
      <c r="U184" s="19" t="n">
        <v>13</v>
      </c>
      <c r="V184" s="19" t="n">
        <v>18</v>
      </c>
      <c r="W184" s="123" t="n">
        <v>13</v>
      </c>
      <c r="X184" s="19" t="n">
        <v>13</v>
      </c>
      <c r="Y184" s="19" t="n">
        <v>9</v>
      </c>
      <c r="Z184" s="19" t="n">
        <v>10</v>
      </c>
      <c r="AA184" s="19" t="n">
        <v>11</v>
      </c>
      <c r="AB184" s="68" t="n">
        <v>11</v>
      </c>
      <c r="AC184" s="19" t="n">
        <v>13</v>
      </c>
      <c r="AD184" s="124" t="n">
        <v>13</v>
      </c>
      <c r="AE184" s="19" t="n">
        <v>7</v>
      </c>
      <c r="AF184" s="19" t="n">
        <v>10</v>
      </c>
      <c r="AG184" s="19"/>
      <c r="AH184" s="19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DK184" s="43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</row>
    <row r="185" customFormat="false" ht="12.75" hidden="false" customHeight="false" outlineLevel="0" collapsed="false">
      <c r="A185" s="16" t="s">
        <v>296</v>
      </c>
      <c r="B185" s="17" t="n">
        <f aca="false">AVERAGE(E185:AE185)</f>
        <v>13.0740740740741</v>
      </c>
      <c r="C185" s="2" t="n">
        <f aca="false">MIN(E185:AE185)</f>
        <v>7</v>
      </c>
      <c r="D185" s="18" t="n">
        <f aca="false">MAX(E185:AE185)</f>
        <v>18</v>
      </c>
      <c r="E185" s="19" t="n">
        <v>10</v>
      </c>
      <c r="F185" s="19" t="n">
        <v>17</v>
      </c>
      <c r="G185" s="19" t="n">
        <v>9</v>
      </c>
      <c r="H185" s="19" t="n">
        <v>12</v>
      </c>
      <c r="I185" s="19" t="n">
        <v>14</v>
      </c>
      <c r="J185" s="19" t="n">
        <v>16</v>
      </c>
      <c r="K185" s="19" t="n">
        <v>13</v>
      </c>
      <c r="L185" s="19" t="n">
        <v>14</v>
      </c>
      <c r="M185" s="19" t="n">
        <v>16</v>
      </c>
      <c r="N185" s="19" t="n">
        <v>18</v>
      </c>
      <c r="O185" s="19" t="n">
        <v>15</v>
      </c>
      <c r="P185" s="19" t="n">
        <v>8</v>
      </c>
      <c r="Q185" s="19" t="n">
        <v>17</v>
      </c>
      <c r="R185" s="19" t="n">
        <v>14</v>
      </c>
      <c r="S185" s="19" t="n">
        <v>12</v>
      </c>
      <c r="T185" s="19" t="n">
        <v>16</v>
      </c>
      <c r="U185" s="19" t="n">
        <v>13</v>
      </c>
      <c r="V185" s="19" t="n">
        <v>18</v>
      </c>
      <c r="W185" s="19" t="n">
        <v>13</v>
      </c>
      <c r="X185" s="19" t="n">
        <v>13</v>
      </c>
      <c r="Y185" s="19" t="n">
        <v>9</v>
      </c>
      <c r="Z185" s="19" t="n">
        <v>10</v>
      </c>
      <c r="AA185" s="68" t="n">
        <v>12</v>
      </c>
      <c r="AB185" s="19" t="n">
        <v>11</v>
      </c>
      <c r="AC185" s="19" t="n">
        <v>13</v>
      </c>
      <c r="AD185" s="19" t="n">
        <v>13</v>
      </c>
      <c r="AE185" s="19" t="n">
        <v>7</v>
      </c>
      <c r="AF185" s="19" t="n">
        <v>11</v>
      </c>
      <c r="AG185" s="19"/>
      <c r="AH185" s="19"/>
      <c r="DK185" s="43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</row>
    <row r="186" customFormat="false" ht="12.75" hidden="false" customHeight="false" outlineLevel="0" collapsed="false">
      <c r="A186" s="16" t="s">
        <v>297</v>
      </c>
      <c r="B186" s="17" t="n">
        <f aca="false">AVERAGE(E186:AE186)</f>
        <v>13.4814814814815</v>
      </c>
      <c r="C186" s="2" t="n">
        <f aca="false">MIN(E186:AE186)</f>
        <v>7</v>
      </c>
      <c r="D186" s="18" t="n">
        <f aca="false">MAX(E186:AE186)</f>
        <v>19</v>
      </c>
      <c r="E186" s="19" t="n">
        <v>11</v>
      </c>
      <c r="F186" s="19" t="n">
        <v>17</v>
      </c>
      <c r="G186" s="19" t="n">
        <v>10</v>
      </c>
      <c r="H186" s="19" t="n">
        <v>12</v>
      </c>
      <c r="I186" s="19" t="n">
        <v>15</v>
      </c>
      <c r="J186" s="19" t="n">
        <v>16</v>
      </c>
      <c r="K186" s="19" t="n">
        <v>13</v>
      </c>
      <c r="L186" s="19" t="n">
        <v>14</v>
      </c>
      <c r="M186" s="19" t="n">
        <v>16</v>
      </c>
      <c r="N186" s="19" t="n">
        <v>18</v>
      </c>
      <c r="O186" s="123" t="n">
        <v>16</v>
      </c>
      <c r="P186" s="30" t="n">
        <v>9</v>
      </c>
      <c r="Q186" s="19" t="n">
        <v>17</v>
      </c>
      <c r="R186" s="19" t="n">
        <v>15</v>
      </c>
      <c r="S186" s="19" t="n">
        <v>12</v>
      </c>
      <c r="T186" s="19" t="n">
        <v>16</v>
      </c>
      <c r="U186" s="19" t="n">
        <v>13</v>
      </c>
      <c r="V186" s="30" t="n">
        <v>19</v>
      </c>
      <c r="W186" s="19" t="n">
        <v>14</v>
      </c>
      <c r="X186" s="19" t="n">
        <v>13</v>
      </c>
      <c r="Y186" s="19" t="n">
        <v>9</v>
      </c>
      <c r="Z186" s="19" t="n">
        <v>10</v>
      </c>
      <c r="AA186" s="19" t="n">
        <v>13</v>
      </c>
      <c r="AB186" s="19" t="n">
        <v>11</v>
      </c>
      <c r="AC186" s="30" t="n">
        <v>14</v>
      </c>
      <c r="AD186" s="19" t="n">
        <v>14</v>
      </c>
      <c r="AE186" s="19" t="n">
        <v>7</v>
      </c>
      <c r="AF186" s="19" t="n">
        <v>11</v>
      </c>
      <c r="AG186" s="19"/>
      <c r="AH186" s="19"/>
      <c r="DK186" s="43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</row>
    <row r="187" customFormat="false" ht="12.75" hidden="false" customHeight="false" outlineLevel="0" collapsed="false">
      <c r="A187" s="16" t="s">
        <v>298</v>
      </c>
      <c r="B187" s="17" t="n">
        <f aca="false">AVERAGE(E187:AE187)</f>
        <v>13.8518518518519</v>
      </c>
      <c r="C187" s="2" t="n">
        <f aca="false">MIN(E187:AE187)</f>
        <v>7</v>
      </c>
      <c r="D187" s="18" t="n">
        <f aca="false">MAX(E187:AE187)</f>
        <v>19</v>
      </c>
      <c r="E187" s="19" t="n">
        <v>11</v>
      </c>
      <c r="F187" s="30" t="n">
        <v>18</v>
      </c>
      <c r="G187" s="19" t="n">
        <v>10</v>
      </c>
      <c r="H187" s="19" t="n">
        <v>12</v>
      </c>
      <c r="I187" s="19" t="n">
        <v>16</v>
      </c>
      <c r="J187" s="19" t="n">
        <v>17</v>
      </c>
      <c r="K187" s="19" t="n">
        <v>14</v>
      </c>
      <c r="L187" s="19" t="n">
        <v>14</v>
      </c>
      <c r="M187" s="30" t="n">
        <v>17</v>
      </c>
      <c r="N187" s="19" t="n">
        <v>18</v>
      </c>
      <c r="O187" s="30" t="n">
        <v>17</v>
      </c>
      <c r="P187" s="30" t="n">
        <v>10</v>
      </c>
      <c r="Q187" s="19" t="n">
        <v>17</v>
      </c>
      <c r="R187" s="122" t="n">
        <v>16</v>
      </c>
      <c r="S187" s="19" t="n">
        <v>12</v>
      </c>
      <c r="T187" s="19" t="n">
        <v>16</v>
      </c>
      <c r="U187" s="19" t="n">
        <v>13</v>
      </c>
      <c r="V187" s="19" t="n">
        <v>19</v>
      </c>
      <c r="W187" s="19" t="n">
        <v>14</v>
      </c>
      <c r="X187" s="19" t="n">
        <v>13</v>
      </c>
      <c r="Y187" s="19" t="n">
        <v>9</v>
      </c>
      <c r="Z187" s="19" t="n">
        <v>10</v>
      </c>
      <c r="AA187" s="19" t="n">
        <v>13</v>
      </c>
      <c r="AB187" s="19" t="n">
        <v>12</v>
      </c>
      <c r="AC187" s="19" t="n">
        <v>14</v>
      </c>
      <c r="AD187" s="30" t="n">
        <v>15</v>
      </c>
      <c r="AE187" s="19" t="n">
        <v>7</v>
      </c>
      <c r="AF187" s="19" t="n">
        <v>12</v>
      </c>
      <c r="AG187" s="19"/>
      <c r="AH187" s="19"/>
      <c r="DK187" s="43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</row>
    <row r="188" customFormat="false" ht="12.75" hidden="false" customHeight="false" outlineLevel="0" collapsed="false">
      <c r="A188" s="16" t="s">
        <v>299</v>
      </c>
      <c r="B188" s="17" t="n">
        <f aca="false">AVERAGE(E188:AE188)</f>
        <v>14.1111111111111</v>
      </c>
      <c r="C188" s="2" t="n">
        <f aca="false">MIN(E188:AE188)</f>
        <v>7</v>
      </c>
      <c r="D188" s="18" t="n">
        <f aca="false">MAX(E188:AE188)</f>
        <v>20</v>
      </c>
      <c r="E188" s="19" t="n">
        <v>11</v>
      </c>
      <c r="F188" s="30" t="n">
        <v>19</v>
      </c>
      <c r="G188" s="19" t="n">
        <v>10</v>
      </c>
      <c r="H188" s="19" t="n">
        <v>12</v>
      </c>
      <c r="I188" s="19" t="n">
        <v>16</v>
      </c>
      <c r="J188" s="19" t="n">
        <v>18</v>
      </c>
      <c r="K188" s="19" t="n">
        <v>14</v>
      </c>
      <c r="L188" s="19" t="n">
        <v>14</v>
      </c>
      <c r="M188" s="30" t="n">
        <v>18</v>
      </c>
      <c r="N188" s="19" t="n">
        <v>18</v>
      </c>
      <c r="O188" s="30" t="n">
        <v>18</v>
      </c>
      <c r="P188" s="19" t="n">
        <v>10</v>
      </c>
      <c r="Q188" s="19" t="n">
        <v>17</v>
      </c>
      <c r="R188" s="68" t="n">
        <v>17</v>
      </c>
      <c r="S188" s="19" t="n">
        <v>12</v>
      </c>
      <c r="T188" s="19" t="n">
        <v>16</v>
      </c>
      <c r="U188" s="19" t="n">
        <v>13</v>
      </c>
      <c r="V188" s="30" t="n">
        <v>20</v>
      </c>
      <c r="W188" s="19" t="n">
        <v>14</v>
      </c>
      <c r="X188" s="19" t="n">
        <v>13</v>
      </c>
      <c r="Y188" s="19" t="n">
        <v>9</v>
      </c>
      <c r="Z188" s="19" t="n">
        <v>11</v>
      </c>
      <c r="AA188" s="19" t="n">
        <v>13</v>
      </c>
      <c r="AB188" s="19" t="n">
        <v>12</v>
      </c>
      <c r="AC188" s="19" t="n">
        <v>14</v>
      </c>
      <c r="AD188" s="19" t="n">
        <v>15</v>
      </c>
      <c r="AE188" s="19" t="n">
        <v>7</v>
      </c>
      <c r="AF188" s="19" t="n">
        <v>12</v>
      </c>
      <c r="AG188" s="19"/>
      <c r="AH188" s="19"/>
      <c r="DK188" s="43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</row>
    <row r="189" customFormat="false" ht="12.75" hidden="false" customHeight="false" outlineLevel="0" collapsed="false">
      <c r="A189" s="16" t="s">
        <v>300</v>
      </c>
      <c r="B189" s="17" t="n">
        <f aca="false">AVERAGE(E189:AE189)</f>
        <v>14.2962962962963</v>
      </c>
      <c r="C189" s="2" t="n">
        <f aca="false">MIN(E189:AE189)</f>
        <v>7</v>
      </c>
      <c r="D189" s="18" t="n">
        <f aca="false">MAX(E189:AE189)</f>
        <v>21</v>
      </c>
      <c r="E189" s="19" t="n">
        <v>11</v>
      </c>
      <c r="F189" s="19" t="n">
        <v>19</v>
      </c>
      <c r="G189" s="19" t="n">
        <v>10</v>
      </c>
      <c r="H189" s="19" t="n">
        <v>12</v>
      </c>
      <c r="I189" s="19" t="n">
        <v>16</v>
      </c>
      <c r="J189" s="19" t="n">
        <v>19</v>
      </c>
      <c r="K189" s="19" t="n">
        <v>14</v>
      </c>
      <c r="L189" s="19" t="n">
        <v>14</v>
      </c>
      <c r="M189" s="19" t="n">
        <v>18</v>
      </c>
      <c r="N189" s="19" t="n">
        <v>19</v>
      </c>
      <c r="O189" s="19" t="n">
        <v>19</v>
      </c>
      <c r="P189" s="19" t="n">
        <v>10</v>
      </c>
      <c r="Q189" s="19" t="n">
        <v>17</v>
      </c>
      <c r="R189" s="19" t="n">
        <v>18</v>
      </c>
      <c r="S189" s="19" t="n">
        <v>12</v>
      </c>
      <c r="T189" s="19" t="n">
        <v>16</v>
      </c>
      <c r="U189" s="19" t="n">
        <v>13</v>
      </c>
      <c r="V189" s="19" t="n">
        <v>21</v>
      </c>
      <c r="W189" s="19" t="n">
        <v>14</v>
      </c>
      <c r="X189" s="19" t="n">
        <v>13</v>
      </c>
      <c r="Y189" s="19" t="n">
        <v>9</v>
      </c>
      <c r="Z189" s="19" t="n">
        <v>11</v>
      </c>
      <c r="AA189" s="19" t="n">
        <v>13</v>
      </c>
      <c r="AB189" s="19" t="n">
        <v>12</v>
      </c>
      <c r="AC189" s="19" t="n">
        <v>14</v>
      </c>
      <c r="AD189" s="19" t="n">
        <v>15</v>
      </c>
      <c r="AE189" s="19" t="n">
        <v>7</v>
      </c>
      <c r="AF189" s="19" t="n">
        <v>12</v>
      </c>
      <c r="AG189" s="19"/>
      <c r="AH189" s="19"/>
      <c r="DK189" s="43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</row>
    <row r="190" customFormat="false" ht="12.75" hidden="false" customHeight="false" outlineLevel="0" collapsed="false">
      <c r="A190" s="16" t="s">
        <v>301</v>
      </c>
      <c r="B190" s="17" t="n">
        <f aca="false">AVERAGE(E190:AE190)</f>
        <v>14.4444444444444</v>
      </c>
      <c r="C190" s="2" t="n">
        <f aca="false">MIN(E190:AE190)</f>
        <v>7</v>
      </c>
      <c r="D190" s="18" t="n">
        <f aca="false">MAX(E190:AE190)</f>
        <v>21</v>
      </c>
      <c r="E190" s="19" t="n">
        <v>11</v>
      </c>
      <c r="F190" s="19" t="n">
        <v>20</v>
      </c>
      <c r="G190" s="19" t="n">
        <v>10</v>
      </c>
      <c r="H190" s="19" t="n">
        <v>12</v>
      </c>
      <c r="I190" s="19" t="n">
        <v>17</v>
      </c>
      <c r="J190" s="19" t="n">
        <v>19</v>
      </c>
      <c r="K190" s="19" t="n">
        <v>14</v>
      </c>
      <c r="L190" s="19" t="n">
        <v>14</v>
      </c>
      <c r="M190" s="19" t="n">
        <v>18</v>
      </c>
      <c r="N190" s="19" t="n">
        <v>19</v>
      </c>
      <c r="O190" s="19" t="n">
        <v>20</v>
      </c>
      <c r="P190" s="19" t="n">
        <v>10</v>
      </c>
      <c r="Q190" s="19" t="n">
        <v>17</v>
      </c>
      <c r="R190" s="19" t="n">
        <v>18</v>
      </c>
      <c r="S190" s="19" t="n">
        <v>12</v>
      </c>
      <c r="T190" s="19" t="n">
        <v>16</v>
      </c>
      <c r="U190" s="19" t="n">
        <v>13</v>
      </c>
      <c r="V190" s="19" t="n">
        <v>21</v>
      </c>
      <c r="W190" s="19" t="n">
        <v>14</v>
      </c>
      <c r="X190" s="19" t="n">
        <v>13</v>
      </c>
      <c r="Y190" s="19" t="n">
        <v>9</v>
      </c>
      <c r="Z190" s="19" t="n">
        <v>11</v>
      </c>
      <c r="AA190" s="19" t="n">
        <v>13</v>
      </c>
      <c r="AB190" s="30" t="n">
        <v>13</v>
      </c>
      <c r="AC190" s="19" t="n">
        <v>14</v>
      </c>
      <c r="AD190" s="19" t="n">
        <v>15</v>
      </c>
      <c r="AE190" s="19" t="n">
        <v>7</v>
      </c>
      <c r="AF190" s="19" t="n">
        <v>12</v>
      </c>
      <c r="AG190" s="19"/>
      <c r="AH190" s="19"/>
      <c r="DK190" s="43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</row>
    <row r="191" customFormat="false" ht="12.75" hidden="false" customHeight="false" outlineLevel="0" collapsed="false">
      <c r="A191" s="16" t="s">
        <v>302</v>
      </c>
      <c r="B191" s="17" t="n">
        <f aca="false">AVERAGE(E191:AE191)</f>
        <v>14.7777777777778</v>
      </c>
      <c r="C191" s="2" t="n">
        <f aca="false">MIN(E191:AE191)</f>
        <v>7</v>
      </c>
      <c r="D191" s="18" t="n">
        <f aca="false">MAX(E191:AE191)</f>
        <v>22</v>
      </c>
      <c r="E191" s="19" t="n">
        <v>12</v>
      </c>
      <c r="F191" s="19" t="n">
        <v>20</v>
      </c>
      <c r="G191" s="19" t="n">
        <v>10</v>
      </c>
      <c r="H191" s="19" t="n">
        <v>12</v>
      </c>
      <c r="I191" s="19" t="n">
        <v>17</v>
      </c>
      <c r="J191" s="30" t="n">
        <v>20</v>
      </c>
      <c r="K191" s="19" t="n">
        <v>14</v>
      </c>
      <c r="L191" s="19" t="n">
        <v>14</v>
      </c>
      <c r="M191" s="19" t="n">
        <v>18</v>
      </c>
      <c r="N191" s="19" t="n">
        <v>19</v>
      </c>
      <c r="O191" s="19" t="n">
        <v>20</v>
      </c>
      <c r="P191" s="30" t="n">
        <v>11</v>
      </c>
      <c r="Q191" s="19" t="n">
        <v>17</v>
      </c>
      <c r="R191" s="19" t="n">
        <v>19</v>
      </c>
      <c r="S191" s="19" t="n">
        <v>12</v>
      </c>
      <c r="T191" s="19" t="n">
        <v>17</v>
      </c>
      <c r="U191" s="30" t="n">
        <v>14</v>
      </c>
      <c r="V191" s="30" t="n">
        <v>22</v>
      </c>
      <c r="W191" s="30" t="n">
        <v>15</v>
      </c>
      <c r="X191" s="30" t="n">
        <v>14</v>
      </c>
      <c r="Y191" s="19" t="n">
        <v>9</v>
      </c>
      <c r="Z191" s="19" t="n">
        <v>11</v>
      </c>
      <c r="AA191" s="19" t="n">
        <v>13</v>
      </c>
      <c r="AB191" s="19" t="n">
        <v>13</v>
      </c>
      <c r="AC191" s="19" t="n">
        <v>14</v>
      </c>
      <c r="AD191" s="19" t="n">
        <v>15</v>
      </c>
      <c r="AE191" s="19" t="n">
        <v>7</v>
      </c>
      <c r="AF191" s="19" t="n">
        <v>12</v>
      </c>
      <c r="AG191" s="19"/>
      <c r="AH191" s="19"/>
      <c r="DK191" s="43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</row>
    <row r="192" customFormat="false" ht="12.75" hidden="false" customHeight="false" outlineLevel="0" collapsed="false">
      <c r="A192" s="16" t="s">
        <v>303</v>
      </c>
      <c r="B192" s="17" t="n">
        <f aca="false">AVERAGE(E192:AE192)</f>
        <v>15.1111111111111</v>
      </c>
      <c r="C192" s="2" t="n">
        <f aca="false">MIN(E192:AE192)</f>
        <v>7</v>
      </c>
      <c r="D192" s="18" t="n">
        <f aca="false">MAX(E192:AE192)</f>
        <v>22</v>
      </c>
      <c r="E192" s="19" t="n">
        <v>13</v>
      </c>
      <c r="F192" s="19" t="n">
        <v>20</v>
      </c>
      <c r="G192" s="19" t="n">
        <v>10</v>
      </c>
      <c r="H192" s="19" t="n">
        <v>13</v>
      </c>
      <c r="I192" s="19" t="n">
        <v>17</v>
      </c>
      <c r="J192" s="19" t="n">
        <v>20</v>
      </c>
      <c r="K192" s="19" t="n">
        <v>14</v>
      </c>
      <c r="L192" s="124" t="n">
        <v>15</v>
      </c>
      <c r="M192" s="19" t="n">
        <v>18</v>
      </c>
      <c r="N192" s="19" t="n">
        <v>19</v>
      </c>
      <c r="O192" s="30" t="n">
        <v>21</v>
      </c>
      <c r="P192" s="19" t="n">
        <v>11</v>
      </c>
      <c r="Q192" s="30" t="n">
        <v>18</v>
      </c>
      <c r="R192" s="30" t="n">
        <v>20</v>
      </c>
      <c r="S192" s="19" t="n">
        <v>12</v>
      </c>
      <c r="T192" s="19" t="n">
        <v>17</v>
      </c>
      <c r="U192" s="19" t="n">
        <v>15</v>
      </c>
      <c r="V192" s="19" t="n">
        <v>22</v>
      </c>
      <c r="W192" s="19" t="n">
        <v>16</v>
      </c>
      <c r="X192" s="19" t="n">
        <v>14</v>
      </c>
      <c r="Y192" s="19" t="n">
        <v>9</v>
      </c>
      <c r="Z192" s="19" t="n">
        <v>11</v>
      </c>
      <c r="AA192" s="19" t="n">
        <v>13</v>
      </c>
      <c r="AB192" s="19" t="n">
        <v>13</v>
      </c>
      <c r="AC192" s="19" t="n">
        <v>14</v>
      </c>
      <c r="AD192" s="123" t="n">
        <v>16</v>
      </c>
      <c r="AE192" s="19" t="n">
        <v>7</v>
      </c>
      <c r="AF192" s="19" t="n">
        <v>12</v>
      </c>
      <c r="AG192" s="19"/>
      <c r="AH192" s="19"/>
      <c r="DK192" s="43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</row>
    <row r="193" customFormat="false" ht="12.75" hidden="false" customHeight="false" outlineLevel="0" collapsed="false">
      <c r="A193" s="16" t="s">
        <v>304</v>
      </c>
      <c r="B193" s="17" t="n">
        <f aca="false">AVERAGE(E193:AE193)</f>
        <v>15.3703703703704</v>
      </c>
      <c r="C193" s="2" t="n">
        <f aca="false">MIN(E193:AE193)</f>
        <v>8</v>
      </c>
      <c r="D193" s="18" t="n">
        <f aca="false">MAX(E193:AE193)</f>
        <v>22</v>
      </c>
      <c r="E193" s="19" t="n">
        <v>13</v>
      </c>
      <c r="F193" s="19" t="n">
        <v>20</v>
      </c>
      <c r="G193" s="68" t="n">
        <v>11</v>
      </c>
      <c r="H193" s="19" t="n">
        <v>13</v>
      </c>
      <c r="I193" s="19" t="n">
        <v>17</v>
      </c>
      <c r="J193" s="19" t="n">
        <v>20</v>
      </c>
      <c r="K193" s="30" t="n">
        <v>15</v>
      </c>
      <c r="L193" s="19" t="n">
        <v>15</v>
      </c>
      <c r="M193" s="19" t="n">
        <v>18</v>
      </c>
      <c r="N193" s="19" t="n">
        <v>19</v>
      </c>
      <c r="O193" s="19" t="n">
        <v>21</v>
      </c>
      <c r="P193" s="19" t="n">
        <v>11</v>
      </c>
      <c r="Q193" s="19" t="n">
        <v>19</v>
      </c>
      <c r="R193" s="19" t="n">
        <v>20</v>
      </c>
      <c r="S193" s="19" t="n">
        <v>12</v>
      </c>
      <c r="T193" s="30" t="n">
        <v>18</v>
      </c>
      <c r="U193" s="124" t="n">
        <v>16</v>
      </c>
      <c r="V193" s="19" t="n">
        <v>22</v>
      </c>
      <c r="W193" s="19" t="n">
        <v>17</v>
      </c>
      <c r="X193" s="19" t="n">
        <v>14</v>
      </c>
      <c r="Y193" s="19" t="n">
        <v>9</v>
      </c>
      <c r="Z193" s="19" t="n">
        <v>11</v>
      </c>
      <c r="AA193" s="19" t="n">
        <v>13</v>
      </c>
      <c r="AB193" s="19" t="n">
        <v>13</v>
      </c>
      <c r="AC193" s="19" t="n">
        <v>14</v>
      </c>
      <c r="AD193" s="19" t="n">
        <v>16</v>
      </c>
      <c r="AE193" s="30" t="n">
        <v>8</v>
      </c>
      <c r="AF193" s="19" t="n">
        <v>12</v>
      </c>
      <c r="AG193" s="19"/>
      <c r="AH193" s="19"/>
      <c r="DK193" s="43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</row>
    <row r="194" customFormat="false" ht="12.75" hidden="false" customHeight="false" outlineLevel="0" collapsed="false">
      <c r="A194" s="16" t="s">
        <v>305</v>
      </c>
      <c r="B194" s="17" t="n">
        <f aca="false">AVERAGE(E194:AE194)</f>
        <v>15.6296296296296</v>
      </c>
      <c r="C194" s="2" t="n">
        <f aca="false">MIN(E194:AE194)</f>
        <v>8</v>
      </c>
      <c r="D194" s="18" t="n">
        <f aca="false">MAX(E194:AE194)</f>
        <v>22</v>
      </c>
      <c r="E194" s="19" t="n">
        <v>13</v>
      </c>
      <c r="F194" s="19" t="n">
        <v>20</v>
      </c>
      <c r="G194" s="19" t="n">
        <v>12</v>
      </c>
      <c r="H194" s="19" t="n">
        <v>13</v>
      </c>
      <c r="I194" s="19" t="n">
        <v>17</v>
      </c>
      <c r="J194" s="68" t="n">
        <v>21</v>
      </c>
      <c r="K194" s="19" t="n">
        <v>15</v>
      </c>
      <c r="L194" s="30" t="n">
        <v>16</v>
      </c>
      <c r="M194" s="19" t="n">
        <v>18</v>
      </c>
      <c r="N194" s="19" t="n">
        <v>19</v>
      </c>
      <c r="O194" s="19" t="n">
        <v>21</v>
      </c>
      <c r="P194" s="19" t="n">
        <v>11</v>
      </c>
      <c r="Q194" s="19" t="n">
        <v>20</v>
      </c>
      <c r="R194" s="19" t="n">
        <v>20</v>
      </c>
      <c r="S194" s="19" t="n">
        <v>12</v>
      </c>
      <c r="T194" s="19" t="n">
        <v>19</v>
      </c>
      <c r="U194" s="68" t="n">
        <v>17</v>
      </c>
      <c r="V194" s="19" t="n">
        <v>22</v>
      </c>
      <c r="W194" s="19" t="n">
        <v>17</v>
      </c>
      <c r="X194" s="19" t="n">
        <v>14</v>
      </c>
      <c r="Y194" s="19" t="n">
        <v>9</v>
      </c>
      <c r="Z194" s="19" t="n">
        <v>11</v>
      </c>
      <c r="AA194" s="19" t="n">
        <v>14</v>
      </c>
      <c r="AB194" s="19" t="n">
        <v>13</v>
      </c>
      <c r="AC194" s="19" t="n">
        <v>14</v>
      </c>
      <c r="AD194" s="19" t="n">
        <v>16</v>
      </c>
      <c r="AE194" s="19" t="n">
        <v>8</v>
      </c>
      <c r="AF194" s="19" t="n">
        <v>12</v>
      </c>
      <c r="AG194" s="19"/>
      <c r="AH194" s="19"/>
      <c r="DK194" s="44"/>
    </row>
    <row r="195" customFormat="false" ht="12.75" hidden="false" customHeight="false" outlineLevel="0" collapsed="false">
      <c r="A195" s="16" t="s">
        <v>306</v>
      </c>
      <c r="B195" s="17" t="n">
        <f aca="false">AVERAGE(E195:AE195)</f>
        <v>15.7407407407407</v>
      </c>
      <c r="C195" s="2" t="n">
        <f aca="false">MIN(E195:AE195)</f>
        <v>8</v>
      </c>
      <c r="D195" s="18" t="n">
        <f aca="false">MAX(E195:AE195)</f>
        <v>22</v>
      </c>
      <c r="E195" s="19" t="n">
        <v>13</v>
      </c>
      <c r="F195" s="19" t="n">
        <v>20</v>
      </c>
      <c r="G195" s="19" t="n">
        <v>12</v>
      </c>
      <c r="H195" s="19" t="n">
        <v>13</v>
      </c>
      <c r="I195" s="19" t="n">
        <v>17</v>
      </c>
      <c r="J195" s="19" t="n">
        <v>21</v>
      </c>
      <c r="K195" s="19" t="n">
        <v>15</v>
      </c>
      <c r="L195" s="19" t="n">
        <v>16</v>
      </c>
      <c r="M195" s="19" t="n">
        <v>19</v>
      </c>
      <c r="N195" s="19" t="n">
        <v>19</v>
      </c>
      <c r="O195" s="19" t="n">
        <v>21</v>
      </c>
      <c r="P195" s="19" t="n">
        <v>11</v>
      </c>
      <c r="Q195" s="19" t="n">
        <v>20</v>
      </c>
      <c r="R195" s="19" t="n">
        <v>20</v>
      </c>
      <c r="S195" s="19" t="n">
        <v>12</v>
      </c>
      <c r="T195" s="19" t="n">
        <v>19</v>
      </c>
      <c r="U195" s="19" t="n">
        <v>17</v>
      </c>
      <c r="V195" s="19" t="n">
        <v>22</v>
      </c>
      <c r="W195" s="124" t="n">
        <v>18</v>
      </c>
      <c r="X195" s="19" t="n">
        <v>14</v>
      </c>
      <c r="Y195" s="19" t="n">
        <v>9</v>
      </c>
      <c r="Z195" s="19" t="n">
        <v>11</v>
      </c>
      <c r="AA195" s="19" t="n">
        <v>15</v>
      </c>
      <c r="AB195" s="19" t="n">
        <v>13</v>
      </c>
      <c r="AC195" s="19" t="n">
        <v>14</v>
      </c>
      <c r="AD195" s="19" t="n">
        <v>16</v>
      </c>
      <c r="AE195" s="19" t="n">
        <v>8</v>
      </c>
      <c r="AF195" s="19" t="n">
        <v>12</v>
      </c>
      <c r="AG195" s="19"/>
      <c r="AH195" s="19"/>
      <c r="DK195" s="44"/>
    </row>
    <row r="196" customFormat="false" ht="12.75" hidden="false" customHeight="false" outlineLevel="0" collapsed="false">
      <c r="A196" s="16" t="s">
        <v>307</v>
      </c>
      <c r="B196" s="17" t="n">
        <f aca="false">AVERAGE(E196:AE196)</f>
        <v>15.962962962963</v>
      </c>
      <c r="C196" s="2" t="n">
        <f aca="false">MIN(E196:AE196)</f>
        <v>8</v>
      </c>
      <c r="D196" s="18" t="n">
        <f aca="false">MAX(E196:AE196)</f>
        <v>22</v>
      </c>
      <c r="E196" s="19" t="n">
        <v>13</v>
      </c>
      <c r="F196" s="19" t="n">
        <v>20</v>
      </c>
      <c r="G196" s="19" t="n">
        <v>12</v>
      </c>
      <c r="H196" s="68" t="n">
        <v>14</v>
      </c>
      <c r="I196" s="19" t="n">
        <v>17</v>
      </c>
      <c r="J196" s="19" t="n">
        <v>21</v>
      </c>
      <c r="K196" s="19" t="n">
        <v>16</v>
      </c>
      <c r="L196" s="19" t="n">
        <v>16</v>
      </c>
      <c r="M196" s="19" t="n">
        <v>19</v>
      </c>
      <c r="N196" s="19" t="n">
        <v>19</v>
      </c>
      <c r="O196" s="19" t="n">
        <v>21</v>
      </c>
      <c r="P196" s="19" t="n">
        <v>11</v>
      </c>
      <c r="Q196" s="19" t="n">
        <v>21</v>
      </c>
      <c r="R196" s="19" t="n">
        <v>21</v>
      </c>
      <c r="S196" s="19" t="n">
        <v>12</v>
      </c>
      <c r="T196" s="19" t="n">
        <v>19</v>
      </c>
      <c r="U196" s="19" t="n">
        <v>17</v>
      </c>
      <c r="V196" s="19" t="n">
        <v>22</v>
      </c>
      <c r="W196" s="19" t="n">
        <v>18</v>
      </c>
      <c r="X196" s="19" t="n">
        <v>14</v>
      </c>
      <c r="Y196" s="19" t="n">
        <v>9</v>
      </c>
      <c r="Z196" s="19" t="n">
        <v>11</v>
      </c>
      <c r="AA196" s="19" t="n">
        <v>15</v>
      </c>
      <c r="AB196" s="19" t="n">
        <v>13</v>
      </c>
      <c r="AC196" s="19" t="n">
        <v>15</v>
      </c>
      <c r="AD196" s="123" t="n">
        <v>17</v>
      </c>
      <c r="AE196" s="19" t="n">
        <v>8</v>
      </c>
      <c r="AF196" s="19" t="n">
        <v>12</v>
      </c>
      <c r="AG196" s="19"/>
      <c r="AH196" s="19"/>
      <c r="DK196" s="44"/>
    </row>
    <row r="197" customFormat="false" ht="12.75" hidden="false" customHeight="false" outlineLevel="0" collapsed="false">
      <c r="A197" s="16" t="s">
        <v>308</v>
      </c>
      <c r="B197" s="17" t="n">
        <f aca="false">AVERAGE(E197:AE197)</f>
        <v>16.3333333333333</v>
      </c>
      <c r="C197" s="2" t="n">
        <f aca="false">MIN(E197:AE197)</f>
        <v>8</v>
      </c>
      <c r="D197" s="18" t="n">
        <f aca="false">MAX(E197:AE197)</f>
        <v>22</v>
      </c>
      <c r="E197" s="19" t="n">
        <v>13</v>
      </c>
      <c r="F197" s="19" t="n">
        <v>20</v>
      </c>
      <c r="G197" s="19" t="n">
        <v>12</v>
      </c>
      <c r="H197" s="19" t="n">
        <v>14</v>
      </c>
      <c r="I197" s="19" t="n">
        <v>17</v>
      </c>
      <c r="J197" s="30" t="n">
        <v>22</v>
      </c>
      <c r="K197" s="19" t="n">
        <v>16</v>
      </c>
      <c r="L197" s="30" t="n">
        <v>17</v>
      </c>
      <c r="M197" s="19" t="n">
        <v>20</v>
      </c>
      <c r="N197" s="19" t="n">
        <v>20</v>
      </c>
      <c r="O197" s="19" t="n">
        <v>21</v>
      </c>
      <c r="P197" s="19" t="n">
        <v>11</v>
      </c>
      <c r="Q197" s="19" t="n">
        <v>22</v>
      </c>
      <c r="R197" s="19" t="n">
        <v>21</v>
      </c>
      <c r="S197" s="19" t="n">
        <v>12</v>
      </c>
      <c r="T197" s="19" t="n">
        <v>20</v>
      </c>
      <c r="U197" s="19" t="n">
        <v>17</v>
      </c>
      <c r="V197" s="19" t="n">
        <v>22</v>
      </c>
      <c r="W197" s="30" t="n">
        <v>19</v>
      </c>
      <c r="X197" s="30" t="n">
        <v>15</v>
      </c>
      <c r="Y197" s="19" t="n">
        <v>9</v>
      </c>
      <c r="Z197" s="19" t="n">
        <v>11</v>
      </c>
      <c r="AA197" s="19" t="n">
        <v>16</v>
      </c>
      <c r="AB197" s="19" t="n">
        <v>13</v>
      </c>
      <c r="AC197" s="19" t="n">
        <v>15</v>
      </c>
      <c r="AD197" s="123" t="n">
        <v>18</v>
      </c>
      <c r="AE197" s="19" t="n">
        <v>8</v>
      </c>
      <c r="AF197" s="19" t="n">
        <v>12</v>
      </c>
      <c r="AG197" s="19"/>
      <c r="AH197" s="19"/>
      <c r="DK197" s="44"/>
    </row>
    <row r="198" customFormat="false" ht="12.75" hidden="false" customHeight="false" outlineLevel="0" collapsed="false">
      <c r="A198" s="16" t="s">
        <v>309</v>
      </c>
      <c r="B198" s="17" t="n">
        <f aca="false">AVERAGE(E198:AE198)</f>
        <v>16.5185185185185</v>
      </c>
      <c r="C198" s="2" t="n">
        <f aca="false">MIN(E198:AE198)</f>
        <v>8</v>
      </c>
      <c r="D198" s="18" t="n">
        <f aca="false">MAX(E198:AE198)</f>
        <v>22</v>
      </c>
      <c r="E198" s="19" t="n">
        <v>13</v>
      </c>
      <c r="F198" s="19" t="n">
        <v>20</v>
      </c>
      <c r="G198" s="19" t="n">
        <v>12</v>
      </c>
      <c r="H198" s="19" t="n">
        <v>14</v>
      </c>
      <c r="I198" s="19" t="n">
        <v>17</v>
      </c>
      <c r="J198" s="19" t="n">
        <v>22</v>
      </c>
      <c r="K198" s="19" t="n">
        <v>16</v>
      </c>
      <c r="L198" s="19" t="n">
        <v>18</v>
      </c>
      <c r="M198" s="19" t="n">
        <v>20</v>
      </c>
      <c r="N198" s="19" t="n">
        <v>20</v>
      </c>
      <c r="O198" s="19" t="n">
        <v>21</v>
      </c>
      <c r="P198" s="19" t="n">
        <v>11</v>
      </c>
      <c r="Q198" s="19" t="n">
        <v>22</v>
      </c>
      <c r="R198" s="19" t="n">
        <v>22</v>
      </c>
      <c r="S198" s="19" t="n">
        <v>12</v>
      </c>
      <c r="T198" s="19" t="n">
        <v>20</v>
      </c>
      <c r="U198" s="19" t="n">
        <v>17</v>
      </c>
      <c r="V198" s="19" t="n">
        <v>22</v>
      </c>
      <c r="W198" s="19" t="n">
        <v>19</v>
      </c>
      <c r="X198" s="19" t="n">
        <v>15</v>
      </c>
      <c r="Y198" s="30" t="n">
        <v>10</v>
      </c>
      <c r="Z198" s="19" t="n">
        <v>11</v>
      </c>
      <c r="AA198" s="19" t="n">
        <v>16</v>
      </c>
      <c r="AB198" s="19" t="n">
        <v>13</v>
      </c>
      <c r="AC198" s="30" t="n">
        <v>16</v>
      </c>
      <c r="AD198" s="123" t="n">
        <v>19</v>
      </c>
      <c r="AE198" s="19" t="n">
        <v>8</v>
      </c>
      <c r="AF198" s="19" t="n">
        <v>12</v>
      </c>
      <c r="AG198" s="19"/>
      <c r="AH198" s="19"/>
      <c r="DK198" s="44"/>
    </row>
    <row r="199" customFormat="false" ht="12.75" hidden="false" customHeight="false" outlineLevel="0" collapsed="false">
      <c r="A199" s="16" t="s">
        <v>310</v>
      </c>
      <c r="B199" s="17" t="n">
        <f aca="false">AVERAGE(E199:AE199)</f>
        <v>16.7407407407407</v>
      </c>
      <c r="C199" s="2" t="n">
        <f aca="false">MIN(E199:AE199)</f>
        <v>8</v>
      </c>
      <c r="D199" s="18" t="n">
        <f aca="false">MAX(E199:AE199)</f>
        <v>23</v>
      </c>
      <c r="E199" s="30" t="n">
        <v>14</v>
      </c>
      <c r="F199" s="19" t="n">
        <v>20</v>
      </c>
      <c r="G199" s="19" t="n">
        <v>12</v>
      </c>
      <c r="H199" s="19" t="n">
        <v>15</v>
      </c>
      <c r="I199" s="19" t="n">
        <v>17</v>
      </c>
      <c r="J199" s="19" t="n">
        <v>22</v>
      </c>
      <c r="K199" s="19" t="n">
        <v>16</v>
      </c>
      <c r="L199" s="19" t="n">
        <v>19</v>
      </c>
      <c r="M199" s="19" t="n">
        <v>20</v>
      </c>
      <c r="N199" s="19" t="n">
        <v>20</v>
      </c>
      <c r="O199" s="19" t="n">
        <v>21</v>
      </c>
      <c r="P199" s="19" t="n">
        <v>11</v>
      </c>
      <c r="Q199" s="30" t="n">
        <v>23</v>
      </c>
      <c r="R199" s="19" t="n">
        <v>22</v>
      </c>
      <c r="S199" s="19" t="n">
        <v>12</v>
      </c>
      <c r="T199" s="19" t="n">
        <v>20</v>
      </c>
      <c r="U199" s="19" t="n">
        <v>17</v>
      </c>
      <c r="V199" s="19" t="n">
        <v>23</v>
      </c>
      <c r="W199" s="19" t="n">
        <v>19</v>
      </c>
      <c r="X199" s="19" t="n">
        <v>15</v>
      </c>
      <c r="Y199" s="19" t="n">
        <v>10</v>
      </c>
      <c r="Z199" s="19" t="n">
        <v>11</v>
      </c>
      <c r="AA199" s="68" t="n">
        <v>17</v>
      </c>
      <c r="AB199" s="19" t="n">
        <v>13</v>
      </c>
      <c r="AC199" s="19" t="n">
        <v>16</v>
      </c>
      <c r="AD199" s="19" t="n">
        <v>19</v>
      </c>
      <c r="AE199" s="19" t="n">
        <v>8</v>
      </c>
      <c r="AF199" s="19" t="n">
        <v>12</v>
      </c>
      <c r="AG199" s="19"/>
      <c r="AH199" s="19"/>
      <c r="DK199" s="44"/>
    </row>
    <row r="200" customFormat="false" ht="12.75" hidden="false" customHeight="false" outlineLevel="0" collapsed="false">
      <c r="A200" s="16" t="s">
        <v>311</v>
      </c>
      <c r="B200" s="17" t="n">
        <f aca="false">AVERAGE(E200:AE200)</f>
        <v>16.962962962963</v>
      </c>
      <c r="C200" s="2" t="n">
        <f aca="false">MIN(E200:AE200)</f>
        <v>8</v>
      </c>
      <c r="D200" s="18" t="n">
        <f aca="false">MAX(E200:AE200)</f>
        <v>23</v>
      </c>
      <c r="E200" s="19" t="n">
        <v>15</v>
      </c>
      <c r="F200" s="30" t="n">
        <v>21</v>
      </c>
      <c r="G200" s="19" t="n">
        <v>12</v>
      </c>
      <c r="H200" s="19" t="n">
        <v>16</v>
      </c>
      <c r="I200" s="19" t="n">
        <v>17</v>
      </c>
      <c r="J200" s="19" t="n">
        <v>22</v>
      </c>
      <c r="K200" s="19" t="n">
        <v>17</v>
      </c>
      <c r="L200" s="19" t="n">
        <v>19</v>
      </c>
      <c r="M200" s="19" t="n">
        <v>20</v>
      </c>
      <c r="N200" s="19" t="n">
        <v>20</v>
      </c>
      <c r="O200" s="19" t="n">
        <v>21</v>
      </c>
      <c r="P200" s="19" t="n">
        <v>11</v>
      </c>
      <c r="Q200" s="19" t="n">
        <v>23</v>
      </c>
      <c r="R200" s="19" t="n">
        <v>22</v>
      </c>
      <c r="S200" s="19" t="n">
        <v>12</v>
      </c>
      <c r="T200" s="19" t="n">
        <v>21</v>
      </c>
      <c r="U200" s="19" t="n">
        <v>17</v>
      </c>
      <c r="V200" s="19" t="n">
        <v>23</v>
      </c>
      <c r="W200" s="19" t="n">
        <v>19</v>
      </c>
      <c r="X200" s="19" t="n">
        <v>15</v>
      </c>
      <c r="Y200" s="19" t="n">
        <v>10</v>
      </c>
      <c r="Z200" s="19" t="n">
        <v>11</v>
      </c>
      <c r="AA200" s="19" t="n">
        <v>17</v>
      </c>
      <c r="AB200" s="19" t="n">
        <v>14</v>
      </c>
      <c r="AC200" s="19" t="n">
        <v>16</v>
      </c>
      <c r="AD200" s="19" t="n">
        <v>19</v>
      </c>
      <c r="AE200" s="19" t="n">
        <v>8</v>
      </c>
      <c r="AF200" s="19" t="n">
        <v>13</v>
      </c>
      <c r="AG200" s="19"/>
      <c r="AH200" s="19"/>
      <c r="DK200" s="44"/>
    </row>
    <row r="201" customFormat="false" ht="12.75" hidden="false" customHeight="false" outlineLevel="0" collapsed="false">
      <c r="A201" s="16" t="s">
        <v>312</v>
      </c>
      <c r="B201" s="17" t="n">
        <f aca="false">AVERAGE(E201:AE201)</f>
        <v>17.2222222222222</v>
      </c>
      <c r="C201" s="2" t="n">
        <f aca="false">MIN(E201:AE201)</f>
        <v>9</v>
      </c>
      <c r="D201" s="18" t="n">
        <f aca="false">MAX(E201:AE201)</f>
        <v>23</v>
      </c>
      <c r="E201" s="19" t="n">
        <v>15</v>
      </c>
      <c r="F201" s="19" t="n">
        <v>21</v>
      </c>
      <c r="G201" s="68" t="n">
        <v>13</v>
      </c>
      <c r="H201" s="19" t="n">
        <v>16</v>
      </c>
      <c r="I201" s="19" t="n">
        <v>17</v>
      </c>
      <c r="J201" s="19" t="n">
        <v>22</v>
      </c>
      <c r="K201" s="19" t="n">
        <v>18</v>
      </c>
      <c r="L201" s="19" t="n">
        <v>19</v>
      </c>
      <c r="M201" s="19" t="n">
        <v>20</v>
      </c>
      <c r="N201" s="19" t="n">
        <v>20</v>
      </c>
      <c r="O201" s="19" t="n">
        <v>21</v>
      </c>
      <c r="P201" s="19" t="n">
        <v>12</v>
      </c>
      <c r="Q201" s="19" t="n">
        <v>23</v>
      </c>
      <c r="R201" s="19" t="n">
        <v>23</v>
      </c>
      <c r="S201" s="19" t="n">
        <v>12</v>
      </c>
      <c r="T201" s="19" t="n">
        <v>21</v>
      </c>
      <c r="U201" s="19" t="n">
        <v>17</v>
      </c>
      <c r="V201" s="19" t="n">
        <v>23</v>
      </c>
      <c r="W201" s="19" t="n">
        <v>19</v>
      </c>
      <c r="X201" s="19" t="n">
        <v>16</v>
      </c>
      <c r="Y201" s="19" t="n">
        <v>10</v>
      </c>
      <c r="Z201" s="19" t="n">
        <v>11</v>
      </c>
      <c r="AA201" s="19" t="n">
        <v>18</v>
      </c>
      <c r="AB201" s="19" t="n">
        <v>14</v>
      </c>
      <c r="AC201" s="19" t="n">
        <v>16</v>
      </c>
      <c r="AD201" s="19" t="n">
        <v>19</v>
      </c>
      <c r="AE201" s="19" t="n">
        <v>9</v>
      </c>
      <c r="AF201" s="19" t="n">
        <v>13</v>
      </c>
      <c r="AG201" s="19"/>
      <c r="AH201" s="19"/>
      <c r="DK201" s="44"/>
    </row>
    <row r="202" customFormat="false" ht="12.75" hidden="false" customHeight="false" outlineLevel="0" collapsed="false">
      <c r="A202" s="16" t="s">
        <v>313</v>
      </c>
      <c r="B202" s="17" t="n">
        <f aca="false">AVERAGE(E202:AE202)</f>
        <v>17.3703703703704</v>
      </c>
      <c r="C202" s="2" t="n">
        <f aca="false">MIN(E202:AE202)</f>
        <v>10</v>
      </c>
      <c r="D202" s="18" t="n">
        <f aca="false">MAX(E202:AE202)</f>
        <v>23</v>
      </c>
      <c r="E202" s="19" t="n">
        <v>15</v>
      </c>
      <c r="F202" s="19" t="n">
        <v>21</v>
      </c>
      <c r="G202" s="19" t="n">
        <v>13</v>
      </c>
      <c r="H202" s="124" t="n">
        <v>17</v>
      </c>
      <c r="I202" s="19" t="n">
        <v>17</v>
      </c>
      <c r="J202" s="19" t="n">
        <v>22</v>
      </c>
      <c r="K202" s="30" t="n">
        <v>19</v>
      </c>
      <c r="L202" s="19" t="n">
        <v>19</v>
      </c>
      <c r="M202" s="19" t="n">
        <v>20</v>
      </c>
      <c r="N202" s="19" t="n">
        <v>20</v>
      </c>
      <c r="O202" s="19" t="n">
        <v>21</v>
      </c>
      <c r="P202" s="19" t="n">
        <v>12</v>
      </c>
      <c r="Q202" s="19" t="n">
        <v>23</v>
      </c>
      <c r="R202" s="19" t="n">
        <v>23</v>
      </c>
      <c r="S202" s="19" t="n">
        <v>12</v>
      </c>
      <c r="T202" s="19" t="n">
        <v>21</v>
      </c>
      <c r="U202" s="19" t="n">
        <v>17</v>
      </c>
      <c r="V202" s="19" t="n">
        <v>23</v>
      </c>
      <c r="W202" s="19" t="n">
        <v>19</v>
      </c>
      <c r="X202" s="19" t="n">
        <v>16</v>
      </c>
      <c r="Y202" s="19" t="n">
        <v>10</v>
      </c>
      <c r="Z202" s="30" t="n">
        <v>12</v>
      </c>
      <c r="AA202" s="19" t="n">
        <v>18</v>
      </c>
      <c r="AB202" s="19" t="n">
        <v>14</v>
      </c>
      <c r="AC202" s="19" t="n">
        <v>16</v>
      </c>
      <c r="AD202" s="19" t="n">
        <v>19</v>
      </c>
      <c r="AE202" s="30" t="n">
        <v>10</v>
      </c>
      <c r="AF202" s="19" t="n">
        <v>13</v>
      </c>
      <c r="AG202" s="19"/>
      <c r="AH202" s="19"/>
      <c r="DK202" s="44"/>
    </row>
    <row r="203" customFormat="false" ht="12.75" hidden="false" customHeight="false" outlineLevel="0" collapsed="false">
      <c r="A203" s="16" t="s">
        <v>314</v>
      </c>
      <c r="B203" s="17" t="n">
        <f aca="false">AVERAGE(E203:AE203)</f>
        <v>17.5925925925926</v>
      </c>
      <c r="C203" s="2" t="n">
        <f aca="false">MIN(E203:AE203)</f>
        <v>10</v>
      </c>
      <c r="D203" s="18" t="n">
        <f aca="false">MAX(E203:AE203)</f>
        <v>24</v>
      </c>
      <c r="E203" s="19" t="n">
        <v>15</v>
      </c>
      <c r="F203" s="19" t="n">
        <v>21</v>
      </c>
      <c r="G203" s="19" t="n">
        <v>13</v>
      </c>
      <c r="H203" s="19" t="n">
        <v>17</v>
      </c>
      <c r="I203" s="124" t="n">
        <v>18</v>
      </c>
      <c r="J203" s="19" t="n">
        <v>22</v>
      </c>
      <c r="K203" s="19" t="n">
        <v>19</v>
      </c>
      <c r="L203" s="19" t="n">
        <v>19</v>
      </c>
      <c r="M203" s="19" t="n">
        <v>20</v>
      </c>
      <c r="N203" s="19" t="n">
        <v>20</v>
      </c>
      <c r="O203" s="19" t="n">
        <v>22</v>
      </c>
      <c r="P203" s="19" t="n">
        <v>13</v>
      </c>
      <c r="Q203" s="19" t="n">
        <v>23</v>
      </c>
      <c r="R203" s="19" t="n">
        <v>23</v>
      </c>
      <c r="S203" s="19" t="n">
        <v>12</v>
      </c>
      <c r="T203" s="19" t="n">
        <v>22</v>
      </c>
      <c r="U203" s="19" t="n">
        <v>17</v>
      </c>
      <c r="V203" s="19" t="n">
        <v>24</v>
      </c>
      <c r="W203" s="30" t="n">
        <v>20</v>
      </c>
      <c r="X203" s="19" t="n">
        <v>16</v>
      </c>
      <c r="Y203" s="19" t="n">
        <v>10</v>
      </c>
      <c r="Z203" s="19" t="n">
        <v>12</v>
      </c>
      <c r="AA203" s="19" t="n">
        <v>18</v>
      </c>
      <c r="AB203" s="19" t="n">
        <v>14</v>
      </c>
      <c r="AC203" s="19" t="n">
        <v>16</v>
      </c>
      <c r="AD203" s="19" t="n">
        <v>19</v>
      </c>
      <c r="AE203" s="19" t="n">
        <v>10</v>
      </c>
      <c r="AF203" s="19" t="n">
        <v>13</v>
      </c>
      <c r="AG203" s="19"/>
      <c r="AH203" s="19"/>
      <c r="DK203" s="44"/>
    </row>
    <row r="204" customFormat="false" ht="12.75" hidden="false" customHeight="false" outlineLevel="0" collapsed="false">
      <c r="A204" s="16" t="s">
        <v>315</v>
      </c>
      <c r="B204" s="17" t="n">
        <f aca="false">AVERAGE(E204:AE204)</f>
        <v>17.6666666666667</v>
      </c>
      <c r="C204" s="2" t="n">
        <f aca="false">MIN(E204:AE204)</f>
        <v>10</v>
      </c>
      <c r="D204" s="18" t="n">
        <f aca="false">MAX(E204:AE204)</f>
        <v>24</v>
      </c>
      <c r="E204" s="19" t="n">
        <v>15</v>
      </c>
      <c r="F204" s="19" t="n">
        <v>21</v>
      </c>
      <c r="G204" s="19" t="n">
        <v>13</v>
      </c>
      <c r="H204" s="19" t="n">
        <v>17</v>
      </c>
      <c r="I204" s="19" t="n">
        <v>18</v>
      </c>
      <c r="J204" s="19" t="n">
        <v>22</v>
      </c>
      <c r="K204" s="19" t="n">
        <v>19</v>
      </c>
      <c r="L204" s="19" t="n">
        <v>19</v>
      </c>
      <c r="M204" s="19" t="n">
        <v>20</v>
      </c>
      <c r="N204" s="19" t="n">
        <v>20</v>
      </c>
      <c r="O204" s="19" t="n">
        <v>23</v>
      </c>
      <c r="P204" s="19" t="n">
        <v>13</v>
      </c>
      <c r="Q204" s="19" t="n">
        <v>23</v>
      </c>
      <c r="R204" s="19" t="n">
        <v>23</v>
      </c>
      <c r="S204" s="19" t="n">
        <v>12</v>
      </c>
      <c r="T204" s="19" t="n">
        <v>22</v>
      </c>
      <c r="U204" s="19" t="n">
        <v>18</v>
      </c>
      <c r="V204" s="19" t="n">
        <v>24</v>
      </c>
      <c r="W204" s="19" t="n">
        <v>20</v>
      </c>
      <c r="X204" s="19" t="n">
        <v>16</v>
      </c>
      <c r="Y204" s="19" t="n">
        <v>10</v>
      </c>
      <c r="Z204" s="19" t="n">
        <v>12</v>
      </c>
      <c r="AA204" s="19" t="n">
        <v>18</v>
      </c>
      <c r="AB204" s="19" t="n">
        <v>14</v>
      </c>
      <c r="AC204" s="19" t="n">
        <v>16</v>
      </c>
      <c r="AD204" s="19" t="n">
        <v>19</v>
      </c>
      <c r="AE204" s="19" t="n">
        <v>10</v>
      </c>
      <c r="AF204" s="19" t="n">
        <v>13</v>
      </c>
      <c r="AG204" s="19"/>
      <c r="AH204" s="19"/>
      <c r="DK204" s="44"/>
    </row>
    <row r="205" customFormat="false" ht="12.75" hidden="false" customHeight="false" outlineLevel="0" collapsed="false">
      <c r="A205" s="16" t="s">
        <v>316</v>
      </c>
      <c r="B205" s="17" t="n">
        <f aca="false">AVERAGE(E205:AE205)</f>
        <v>17.8148148148148</v>
      </c>
      <c r="C205" s="2" t="n">
        <f aca="false">MIN(E205:AE205)</f>
        <v>10</v>
      </c>
      <c r="D205" s="18" t="n">
        <f aca="false">MAX(E205:AE205)</f>
        <v>24</v>
      </c>
      <c r="E205" s="19" t="n">
        <v>15</v>
      </c>
      <c r="F205" s="19" t="n">
        <v>21</v>
      </c>
      <c r="G205" s="19" t="n">
        <v>13</v>
      </c>
      <c r="H205" s="19" t="n">
        <v>17</v>
      </c>
      <c r="I205" s="19" t="n">
        <v>18</v>
      </c>
      <c r="J205" s="19" t="n">
        <v>22</v>
      </c>
      <c r="K205" s="19" t="n">
        <v>20</v>
      </c>
      <c r="L205" s="19" t="n">
        <v>19</v>
      </c>
      <c r="M205" s="19" t="n">
        <v>21</v>
      </c>
      <c r="N205" s="19" t="n">
        <v>20</v>
      </c>
      <c r="O205" s="19" t="n">
        <v>23</v>
      </c>
      <c r="P205" s="19" t="n">
        <v>13</v>
      </c>
      <c r="Q205" s="19" t="n">
        <v>23</v>
      </c>
      <c r="R205" s="19" t="n">
        <v>23</v>
      </c>
      <c r="S205" s="19" t="n">
        <v>12</v>
      </c>
      <c r="T205" s="19" t="n">
        <v>22</v>
      </c>
      <c r="U205" s="19" t="n">
        <v>19</v>
      </c>
      <c r="V205" s="19" t="n">
        <v>24</v>
      </c>
      <c r="W205" s="19" t="n">
        <v>20</v>
      </c>
      <c r="X205" s="19" t="n">
        <v>16</v>
      </c>
      <c r="Y205" s="19" t="n">
        <v>10</v>
      </c>
      <c r="Z205" s="19" t="n">
        <v>13</v>
      </c>
      <c r="AA205" s="19" t="n">
        <v>18</v>
      </c>
      <c r="AB205" s="19" t="n">
        <v>14</v>
      </c>
      <c r="AC205" s="19" t="n">
        <v>16</v>
      </c>
      <c r="AD205" s="19" t="n">
        <v>19</v>
      </c>
      <c r="AE205" s="19" t="n">
        <v>10</v>
      </c>
      <c r="AF205" s="19" t="n">
        <v>13</v>
      </c>
      <c r="AG205" s="19"/>
      <c r="AH205" s="19"/>
      <c r="DK205" s="44"/>
    </row>
    <row r="206" customFormat="false" ht="12.75" hidden="false" customHeight="false" outlineLevel="0" collapsed="false">
      <c r="A206" s="16" t="s">
        <v>317</v>
      </c>
      <c r="B206" s="17" t="n">
        <f aca="false">AVERAGE(E206:AE206)</f>
        <v>18</v>
      </c>
      <c r="C206" s="2" t="n">
        <f aca="false">MIN(E206:AE206)</f>
        <v>10</v>
      </c>
      <c r="D206" s="18" t="n">
        <f aca="false">MAX(E206:AE206)</f>
        <v>24</v>
      </c>
      <c r="E206" s="124" t="n">
        <v>16</v>
      </c>
      <c r="F206" s="19" t="n">
        <v>21</v>
      </c>
      <c r="G206" s="19" t="n">
        <v>13</v>
      </c>
      <c r="H206" s="19" t="n">
        <v>17</v>
      </c>
      <c r="I206" s="19" t="n">
        <v>18</v>
      </c>
      <c r="J206" s="19" t="n">
        <v>23</v>
      </c>
      <c r="K206" s="19" t="n">
        <v>20</v>
      </c>
      <c r="L206" s="19" t="n">
        <v>19</v>
      </c>
      <c r="M206" s="68" t="n">
        <v>22</v>
      </c>
      <c r="N206" s="19" t="n">
        <v>20</v>
      </c>
      <c r="O206" s="19" t="n">
        <v>23</v>
      </c>
      <c r="P206" s="19" t="n">
        <v>13</v>
      </c>
      <c r="Q206" s="19" t="n">
        <v>24</v>
      </c>
      <c r="R206" s="19" t="n">
        <v>23</v>
      </c>
      <c r="S206" s="19" t="n">
        <v>12</v>
      </c>
      <c r="T206" s="19" t="n">
        <v>22</v>
      </c>
      <c r="U206" s="19" t="n">
        <v>19</v>
      </c>
      <c r="V206" s="19" t="n">
        <v>24</v>
      </c>
      <c r="W206" s="19" t="n">
        <v>21</v>
      </c>
      <c r="X206" s="19" t="n">
        <v>16</v>
      </c>
      <c r="Y206" s="19" t="n">
        <v>10</v>
      </c>
      <c r="Z206" s="19" t="n">
        <v>13</v>
      </c>
      <c r="AA206" s="19" t="n">
        <v>18</v>
      </c>
      <c r="AB206" s="19" t="n">
        <v>14</v>
      </c>
      <c r="AC206" s="19" t="n">
        <v>16</v>
      </c>
      <c r="AD206" s="19" t="n">
        <v>19</v>
      </c>
      <c r="AE206" s="19" t="n">
        <v>10</v>
      </c>
      <c r="AF206" s="19" t="n">
        <v>13</v>
      </c>
      <c r="AG206" s="19"/>
      <c r="AH206" s="19"/>
      <c r="DK206" s="44"/>
    </row>
    <row r="207" customFormat="false" ht="12.75" hidden="false" customHeight="false" outlineLevel="0" collapsed="false">
      <c r="A207" s="16" t="s">
        <v>318</v>
      </c>
      <c r="B207" s="17" t="n">
        <f aca="false">AVERAGE(E207:AE207)</f>
        <v>18.2962962962963</v>
      </c>
      <c r="C207" s="2" t="n">
        <f aca="false">MIN(E207:AE207)</f>
        <v>11</v>
      </c>
      <c r="D207" s="18" t="n">
        <f aca="false">MAX(E207:AE207)</f>
        <v>24</v>
      </c>
      <c r="E207" s="19" t="n">
        <v>16</v>
      </c>
      <c r="F207" s="19" t="n">
        <v>21</v>
      </c>
      <c r="G207" s="19" t="n">
        <v>13</v>
      </c>
      <c r="H207" s="19" t="n">
        <v>18</v>
      </c>
      <c r="I207" s="30" t="n">
        <v>19</v>
      </c>
      <c r="J207" s="19" t="n">
        <v>23</v>
      </c>
      <c r="K207" s="19" t="n">
        <v>20</v>
      </c>
      <c r="L207" s="30" t="n">
        <v>20</v>
      </c>
      <c r="M207" s="19" t="n">
        <v>22</v>
      </c>
      <c r="N207" s="19" t="n">
        <v>20</v>
      </c>
      <c r="O207" s="19" t="n">
        <v>23</v>
      </c>
      <c r="P207" s="19" t="n">
        <v>13</v>
      </c>
      <c r="Q207" s="19" t="n">
        <v>24</v>
      </c>
      <c r="R207" s="19" t="n">
        <v>24</v>
      </c>
      <c r="S207" s="19" t="n">
        <v>12</v>
      </c>
      <c r="T207" s="30" t="n">
        <v>23</v>
      </c>
      <c r="U207" s="19" t="n">
        <v>19</v>
      </c>
      <c r="V207" s="19" t="n">
        <v>24</v>
      </c>
      <c r="W207" s="19" t="n">
        <v>21</v>
      </c>
      <c r="X207" s="19" t="n">
        <v>16</v>
      </c>
      <c r="Y207" s="30" t="n">
        <v>11</v>
      </c>
      <c r="Z207" s="19" t="n">
        <v>13</v>
      </c>
      <c r="AA207" s="19" t="n">
        <v>18</v>
      </c>
      <c r="AB207" s="19" t="n">
        <v>15</v>
      </c>
      <c r="AC207" s="19" t="n">
        <v>16</v>
      </c>
      <c r="AD207" s="19" t="n">
        <v>19</v>
      </c>
      <c r="AE207" s="19" t="n">
        <v>11</v>
      </c>
      <c r="AF207" s="19" t="n">
        <v>13</v>
      </c>
      <c r="AG207" s="19"/>
      <c r="AH207" s="19"/>
      <c r="DK207" s="44"/>
    </row>
    <row r="208" customFormat="false" ht="12.75" hidden="false" customHeight="false" outlineLevel="0" collapsed="false">
      <c r="A208" s="16" t="s">
        <v>319</v>
      </c>
      <c r="B208" s="17" t="n">
        <f aca="false">AVERAGE(E208:AE208)</f>
        <v>18.5555555555556</v>
      </c>
      <c r="C208" s="2" t="n">
        <f aca="false">MIN(E208:AE208)</f>
        <v>11</v>
      </c>
      <c r="D208" s="18" t="n">
        <f aca="false">MAX(E208:AE208)</f>
        <v>24</v>
      </c>
      <c r="E208" s="19" t="n">
        <v>16</v>
      </c>
      <c r="F208" s="19" t="n">
        <v>21</v>
      </c>
      <c r="G208" s="19" t="n">
        <v>13</v>
      </c>
      <c r="H208" s="19" t="n">
        <v>18</v>
      </c>
      <c r="I208" s="124" t="n">
        <v>20</v>
      </c>
      <c r="J208" s="68" t="n">
        <v>24</v>
      </c>
      <c r="K208" s="19" t="n">
        <v>20</v>
      </c>
      <c r="L208" s="19" t="n">
        <v>20</v>
      </c>
      <c r="M208" s="19" t="n">
        <v>23</v>
      </c>
      <c r="N208" s="19" t="n">
        <v>20</v>
      </c>
      <c r="O208" s="19" t="n">
        <v>23</v>
      </c>
      <c r="P208" s="123" t="n">
        <v>14</v>
      </c>
      <c r="Q208" s="19" t="n">
        <v>24</v>
      </c>
      <c r="R208" s="19" t="n">
        <v>24</v>
      </c>
      <c r="S208" s="19" t="n">
        <v>12</v>
      </c>
      <c r="T208" s="19" t="n">
        <v>23</v>
      </c>
      <c r="U208" s="19" t="n">
        <v>20</v>
      </c>
      <c r="V208" s="19" t="n">
        <v>24</v>
      </c>
      <c r="W208" s="19" t="n">
        <v>22</v>
      </c>
      <c r="X208" s="19" t="n">
        <v>16</v>
      </c>
      <c r="Y208" s="19" t="n">
        <v>11</v>
      </c>
      <c r="Z208" s="19" t="n">
        <v>13</v>
      </c>
      <c r="AA208" s="19" t="n">
        <v>18</v>
      </c>
      <c r="AB208" s="19" t="n">
        <v>15</v>
      </c>
      <c r="AC208" s="19" t="n">
        <v>16</v>
      </c>
      <c r="AD208" s="19" t="n">
        <v>19</v>
      </c>
      <c r="AE208" s="126" t="n">
        <v>12</v>
      </c>
      <c r="AF208" s="19" t="n">
        <v>13</v>
      </c>
      <c r="AG208" s="19"/>
      <c r="AH208" s="19"/>
      <c r="DK208" s="44"/>
    </row>
    <row r="209" customFormat="false" ht="12.75" hidden="false" customHeight="false" outlineLevel="0" collapsed="false">
      <c r="A209" s="16" t="s">
        <v>320</v>
      </c>
      <c r="B209" s="17" t="n">
        <f aca="false">AVERAGE(E209:AE209)</f>
        <v>18.8148148148148</v>
      </c>
      <c r="C209" s="2" t="n">
        <f aca="false">MIN(E209:AE209)</f>
        <v>11</v>
      </c>
      <c r="D209" s="18" t="n">
        <f aca="false">MAX(E209:AE209)</f>
        <v>25</v>
      </c>
      <c r="E209" s="19" t="n">
        <v>16</v>
      </c>
      <c r="F209" s="19" t="n">
        <v>21</v>
      </c>
      <c r="G209" s="19" t="n">
        <v>13</v>
      </c>
      <c r="H209" s="19" t="n">
        <v>18</v>
      </c>
      <c r="I209" s="19" t="n">
        <v>21</v>
      </c>
      <c r="J209" s="19" t="n">
        <v>25</v>
      </c>
      <c r="K209" s="19" t="n">
        <v>20</v>
      </c>
      <c r="L209" s="19" t="n">
        <v>21</v>
      </c>
      <c r="M209" s="19" t="n">
        <v>23</v>
      </c>
      <c r="N209" s="19" t="n">
        <v>20</v>
      </c>
      <c r="O209" s="68" t="n">
        <v>24</v>
      </c>
      <c r="P209" s="19" t="n">
        <v>15</v>
      </c>
      <c r="Q209" s="19" t="n">
        <v>24</v>
      </c>
      <c r="R209" s="19" t="n">
        <v>24</v>
      </c>
      <c r="S209" s="19" t="n">
        <v>12</v>
      </c>
      <c r="T209" s="19" t="n">
        <v>23</v>
      </c>
      <c r="U209" s="19" t="n">
        <v>20</v>
      </c>
      <c r="V209" s="19" t="n">
        <v>25</v>
      </c>
      <c r="W209" s="30" t="n">
        <v>23</v>
      </c>
      <c r="X209" s="19" t="n">
        <v>16</v>
      </c>
      <c r="Y209" s="19" t="n">
        <v>11</v>
      </c>
      <c r="Z209" s="19" t="n">
        <v>13</v>
      </c>
      <c r="AA209" s="19" t="n">
        <v>18</v>
      </c>
      <c r="AB209" s="19" t="n">
        <v>15</v>
      </c>
      <c r="AC209" s="19" t="n">
        <v>16</v>
      </c>
      <c r="AD209" s="19" t="n">
        <v>19</v>
      </c>
      <c r="AE209" s="19" t="n">
        <v>12</v>
      </c>
      <c r="AF209" s="19" t="n">
        <v>13</v>
      </c>
      <c r="AG209" s="19"/>
      <c r="AH209" s="19"/>
      <c r="DK209" s="44"/>
    </row>
    <row r="210" customFormat="false" ht="12.75" hidden="false" customHeight="false" outlineLevel="0" collapsed="false">
      <c r="A210" s="16" t="s">
        <v>321</v>
      </c>
      <c r="B210" s="17" t="n">
        <f aca="false">AVERAGE(E210:AE210)</f>
        <v>18.962962962963</v>
      </c>
      <c r="C210" s="2" t="n">
        <f aca="false">MIN(E210:AE210)</f>
        <v>11</v>
      </c>
      <c r="D210" s="18" t="n">
        <f aca="false">MAX(E210:AE210)</f>
        <v>25</v>
      </c>
      <c r="E210" s="19" t="n">
        <v>16</v>
      </c>
      <c r="F210" s="19" t="n">
        <v>21</v>
      </c>
      <c r="G210" s="19" t="n">
        <v>13</v>
      </c>
      <c r="H210" s="19" t="n">
        <v>18</v>
      </c>
      <c r="I210" s="19" t="n">
        <v>22</v>
      </c>
      <c r="J210" s="19" t="n">
        <v>25</v>
      </c>
      <c r="K210" s="19" t="n">
        <v>20</v>
      </c>
      <c r="L210" s="19" t="n">
        <v>21</v>
      </c>
      <c r="M210" s="19" t="n">
        <v>23</v>
      </c>
      <c r="N210" s="19" t="n">
        <v>20</v>
      </c>
      <c r="O210" s="19" t="n">
        <v>24</v>
      </c>
      <c r="P210" s="19" t="n">
        <v>15</v>
      </c>
      <c r="Q210" s="19" t="n">
        <v>24</v>
      </c>
      <c r="R210" s="19" t="n">
        <v>24</v>
      </c>
      <c r="S210" s="30" t="n">
        <v>13</v>
      </c>
      <c r="T210" s="19" t="n">
        <v>23</v>
      </c>
      <c r="U210" s="19" t="n">
        <v>20</v>
      </c>
      <c r="V210" s="19" t="n">
        <v>25</v>
      </c>
      <c r="W210" s="19" t="n">
        <v>23</v>
      </c>
      <c r="X210" s="19" t="n">
        <v>16</v>
      </c>
      <c r="Y210" s="19" t="n">
        <v>11</v>
      </c>
      <c r="Z210" s="19" t="n">
        <v>13</v>
      </c>
      <c r="AA210" s="19" t="n">
        <v>18</v>
      </c>
      <c r="AB210" s="19" t="n">
        <v>15</v>
      </c>
      <c r="AC210" s="123" t="n">
        <v>17</v>
      </c>
      <c r="AD210" s="30" t="n">
        <v>20</v>
      </c>
      <c r="AE210" s="19" t="n">
        <v>12</v>
      </c>
      <c r="AF210" s="19" t="n">
        <v>13</v>
      </c>
      <c r="AG210" s="19"/>
      <c r="AH210" s="19"/>
      <c r="DK210" s="44"/>
    </row>
    <row r="211" customFormat="false" ht="12.75" hidden="false" customHeight="false" outlineLevel="0" collapsed="false">
      <c r="A211" s="16" t="s">
        <v>322</v>
      </c>
      <c r="B211" s="17" t="n">
        <f aca="false">AVERAGE(E211:AE211)</f>
        <v>19.1851851851852</v>
      </c>
      <c r="C211" s="2" t="n">
        <f aca="false">MIN(E211:AE211)</f>
        <v>11</v>
      </c>
      <c r="D211" s="18" t="n">
        <f aca="false">MAX(E211:AE211)</f>
        <v>25</v>
      </c>
      <c r="E211" s="19" t="n">
        <v>16</v>
      </c>
      <c r="F211" s="19" t="n">
        <v>21</v>
      </c>
      <c r="G211" s="19" t="n">
        <v>13</v>
      </c>
      <c r="H211" s="19" t="n">
        <v>18</v>
      </c>
      <c r="I211" s="19" t="n">
        <v>22</v>
      </c>
      <c r="J211" s="19" t="n">
        <v>25</v>
      </c>
      <c r="K211" s="19" t="n">
        <v>20</v>
      </c>
      <c r="L211" s="19" t="n">
        <v>21</v>
      </c>
      <c r="M211" s="19" t="n">
        <v>23</v>
      </c>
      <c r="N211" s="19" t="n">
        <v>20</v>
      </c>
      <c r="O211" s="19" t="n">
        <v>24</v>
      </c>
      <c r="P211" s="19" t="n">
        <v>15</v>
      </c>
      <c r="Q211" s="19" t="n">
        <v>24</v>
      </c>
      <c r="R211" s="19" t="n">
        <v>24</v>
      </c>
      <c r="S211" s="19" t="n">
        <v>13</v>
      </c>
      <c r="T211" s="19" t="n">
        <v>24</v>
      </c>
      <c r="U211" s="19" t="n">
        <v>21</v>
      </c>
      <c r="V211" s="19" t="n">
        <v>25</v>
      </c>
      <c r="W211" s="19" t="n">
        <v>23</v>
      </c>
      <c r="X211" s="19" t="n">
        <v>17</v>
      </c>
      <c r="Y211" s="19" t="n">
        <v>11</v>
      </c>
      <c r="Z211" s="19" t="n">
        <v>13</v>
      </c>
      <c r="AA211" s="19" t="n">
        <v>19</v>
      </c>
      <c r="AB211" s="19" t="n">
        <v>15</v>
      </c>
      <c r="AC211" s="30" t="n">
        <v>18</v>
      </c>
      <c r="AD211" s="19" t="n">
        <v>20</v>
      </c>
      <c r="AE211" s="2" t="n">
        <v>13</v>
      </c>
      <c r="AF211" s="19" t="n">
        <v>13</v>
      </c>
      <c r="AG211" s="19"/>
      <c r="AH211" s="19"/>
      <c r="DK211" s="44"/>
    </row>
    <row r="212" customFormat="false" ht="12.75" hidden="false" customHeight="false" outlineLevel="0" collapsed="false">
      <c r="A212" s="16" t="s">
        <v>323</v>
      </c>
      <c r="B212" s="17" t="n">
        <f aca="false">AVERAGE(E212:AE212)</f>
        <v>19.4074074074074</v>
      </c>
      <c r="C212" s="2" t="n">
        <f aca="false">MIN(E212:AE212)</f>
        <v>11</v>
      </c>
      <c r="D212" s="18" t="n">
        <f aca="false">MAX(E212:AE212)</f>
        <v>26</v>
      </c>
      <c r="E212" s="19" t="n">
        <v>16</v>
      </c>
      <c r="F212" s="30" t="n">
        <v>22</v>
      </c>
      <c r="G212" s="19" t="n">
        <v>13</v>
      </c>
      <c r="H212" s="19" t="n">
        <v>18</v>
      </c>
      <c r="I212" s="19" t="n">
        <v>22</v>
      </c>
      <c r="J212" s="19" t="n">
        <v>25</v>
      </c>
      <c r="K212" s="19" t="n">
        <v>20</v>
      </c>
      <c r="L212" s="19" t="n">
        <v>21</v>
      </c>
      <c r="M212" s="19" t="n">
        <v>23</v>
      </c>
      <c r="N212" s="30" t="n">
        <v>21</v>
      </c>
      <c r="O212" s="19" t="n">
        <v>24</v>
      </c>
      <c r="P212" s="19" t="n">
        <v>15</v>
      </c>
      <c r="Q212" s="19" t="n">
        <v>24</v>
      </c>
      <c r="R212" s="19" t="n">
        <v>24</v>
      </c>
      <c r="S212" s="19" t="n">
        <v>13</v>
      </c>
      <c r="T212" s="30" t="n">
        <v>25</v>
      </c>
      <c r="U212" s="19" t="n">
        <v>21</v>
      </c>
      <c r="V212" s="19" t="n">
        <v>26</v>
      </c>
      <c r="W212" s="19" t="n">
        <v>23</v>
      </c>
      <c r="X212" s="19" t="n">
        <v>17</v>
      </c>
      <c r="Y212" s="19" t="n">
        <v>11</v>
      </c>
      <c r="Z212" s="30" t="n">
        <v>14</v>
      </c>
      <c r="AA212" s="19" t="n">
        <v>20</v>
      </c>
      <c r="AB212" s="19" t="n">
        <v>15</v>
      </c>
      <c r="AC212" s="19" t="n">
        <v>18</v>
      </c>
      <c r="AD212" s="19" t="n">
        <v>20</v>
      </c>
      <c r="AE212" s="19" t="n">
        <v>13</v>
      </c>
      <c r="AF212" s="19" t="n">
        <v>13</v>
      </c>
      <c r="AG212" s="19"/>
      <c r="AH212" s="19"/>
      <c r="DK212" s="44"/>
    </row>
    <row r="213" customFormat="false" ht="12.75" hidden="false" customHeight="false" outlineLevel="0" collapsed="false">
      <c r="A213" s="16" t="s">
        <v>324</v>
      </c>
      <c r="B213" s="17" t="n">
        <f aca="false">AVERAGE(E213:AE213)</f>
        <v>19.6296296296296</v>
      </c>
      <c r="C213" s="2" t="n">
        <f aca="false">MIN(E213:AE213)</f>
        <v>12</v>
      </c>
      <c r="D213" s="18" t="n">
        <f aca="false">MAX(E213:AE213)</f>
        <v>27</v>
      </c>
      <c r="E213" s="19" t="n">
        <v>16</v>
      </c>
      <c r="F213" s="19" t="n">
        <v>22</v>
      </c>
      <c r="G213" s="19" t="n">
        <v>13</v>
      </c>
      <c r="H213" s="19" t="n">
        <v>18</v>
      </c>
      <c r="I213" s="30" t="n">
        <v>23</v>
      </c>
      <c r="J213" s="19" t="n">
        <v>25</v>
      </c>
      <c r="K213" s="19" t="n">
        <v>20</v>
      </c>
      <c r="L213" s="30" t="n">
        <v>22</v>
      </c>
      <c r="M213" s="19" t="n">
        <v>23</v>
      </c>
      <c r="N213" s="19" t="n">
        <v>21</v>
      </c>
      <c r="O213" s="19" t="n">
        <v>24</v>
      </c>
      <c r="P213" s="19" t="n">
        <v>15</v>
      </c>
      <c r="Q213" s="19" t="n">
        <v>24</v>
      </c>
      <c r="R213" s="19" t="n">
        <v>24</v>
      </c>
      <c r="S213" s="19" t="n">
        <v>13</v>
      </c>
      <c r="T213" s="19" t="n">
        <v>26</v>
      </c>
      <c r="U213" s="30" t="n">
        <v>22</v>
      </c>
      <c r="V213" s="19" t="n">
        <v>27</v>
      </c>
      <c r="W213" s="19" t="n">
        <v>23</v>
      </c>
      <c r="X213" s="19" t="n">
        <v>17</v>
      </c>
      <c r="Y213" s="19" t="n">
        <v>12</v>
      </c>
      <c r="Z213" s="19" t="n">
        <v>14</v>
      </c>
      <c r="AA213" s="19" t="n">
        <v>20</v>
      </c>
      <c r="AB213" s="19" t="n">
        <v>15</v>
      </c>
      <c r="AC213" s="19" t="n">
        <v>18</v>
      </c>
      <c r="AD213" s="123" t="n">
        <v>20</v>
      </c>
      <c r="AE213" s="2" t="n">
        <v>13</v>
      </c>
      <c r="AF213" s="19" t="n">
        <v>13</v>
      </c>
      <c r="AG213" s="19"/>
      <c r="AH213" s="19"/>
      <c r="DK213" s="44"/>
    </row>
    <row r="214" customFormat="false" ht="12.75" hidden="false" customHeight="false" outlineLevel="0" collapsed="false">
      <c r="A214" s="16" t="s">
        <v>325</v>
      </c>
      <c r="B214" s="17" t="n">
        <f aca="false">AVERAGE(E214:AE214)</f>
        <v>19.9259259259259</v>
      </c>
      <c r="C214" s="2" t="n">
        <f aca="false">MIN(E214:AE214)</f>
        <v>12</v>
      </c>
      <c r="D214" s="18" t="n">
        <f aca="false">MAX(E214:AE214)</f>
        <v>28</v>
      </c>
      <c r="E214" s="19" t="n">
        <v>16</v>
      </c>
      <c r="F214" s="30" t="n">
        <v>23</v>
      </c>
      <c r="G214" s="19" t="n">
        <v>13</v>
      </c>
      <c r="H214" s="19" t="n">
        <v>18</v>
      </c>
      <c r="I214" s="30" t="n">
        <v>24</v>
      </c>
      <c r="J214" s="19" t="n">
        <v>25</v>
      </c>
      <c r="K214" s="19" t="n">
        <v>20</v>
      </c>
      <c r="L214" s="19" t="n">
        <v>23</v>
      </c>
      <c r="M214" s="19" t="n">
        <v>23</v>
      </c>
      <c r="N214" s="19" t="n">
        <v>21</v>
      </c>
      <c r="O214" s="19" t="n">
        <v>24</v>
      </c>
      <c r="P214" s="19" t="n">
        <v>15</v>
      </c>
      <c r="Q214" s="19" t="n">
        <v>24</v>
      </c>
      <c r="R214" s="30" t="n">
        <v>25</v>
      </c>
      <c r="S214" s="19" t="n">
        <v>14</v>
      </c>
      <c r="T214" s="19" t="n">
        <v>27</v>
      </c>
      <c r="U214" s="19" t="n">
        <v>22</v>
      </c>
      <c r="V214" s="30" t="n">
        <v>28</v>
      </c>
      <c r="W214" s="30" t="n">
        <v>24</v>
      </c>
      <c r="X214" s="19" t="n">
        <v>17</v>
      </c>
      <c r="Y214" s="19" t="n">
        <v>12</v>
      </c>
      <c r="Z214" s="19" t="n">
        <v>14</v>
      </c>
      <c r="AA214" s="19" t="n">
        <v>20</v>
      </c>
      <c r="AB214" s="19" t="n">
        <v>15</v>
      </c>
      <c r="AC214" s="19" t="n">
        <v>18</v>
      </c>
      <c r="AD214" s="19" t="n">
        <v>20</v>
      </c>
      <c r="AE214" s="19" t="n">
        <v>13</v>
      </c>
      <c r="AF214" s="19" t="n">
        <v>13</v>
      </c>
      <c r="AG214" s="19"/>
      <c r="AH214" s="19"/>
      <c r="DK214" s="44"/>
    </row>
    <row r="215" customFormat="false" ht="12.75" hidden="false" customHeight="false" outlineLevel="0" collapsed="false">
      <c r="A215" s="16" t="s">
        <v>326</v>
      </c>
      <c r="B215" s="17" t="n">
        <f aca="false">AVERAGE(E215:AE215)</f>
        <v>20.2962962962963</v>
      </c>
      <c r="C215" s="2" t="n">
        <f aca="false">MIN(E215:AE215)</f>
        <v>13</v>
      </c>
      <c r="D215" s="18" t="n">
        <f aca="false">MAX(E215:AE215)</f>
        <v>29</v>
      </c>
      <c r="E215" s="19" t="n">
        <v>16</v>
      </c>
      <c r="F215" s="19" t="n">
        <v>23</v>
      </c>
      <c r="G215" s="30" t="n">
        <v>14</v>
      </c>
      <c r="H215" s="19" t="n">
        <v>18</v>
      </c>
      <c r="I215" s="19" t="n">
        <v>25</v>
      </c>
      <c r="J215" s="19" t="n">
        <v>25</v>
      </c>
      <c r="K215" s="68" t="n">
        <v>21</v>
      </c>
      <c r="L215" s="30" t="n">
        <v>24</v>
      </c>
      <c r="M215" s="19" t="n">
        <v>23</v>
      </c>
      <c r="N215" s="19" t="n">
        <v>21</v>
      </c>
      <c r="O215" s="19" t="n">
        <v>24</v>
      </c>
      <c r="P215" s="30" t="n">
        <v>16</v>
      </c>
      <c r="Q215" s="19" t="n">
        <v>24</v>
      </c>
      <c r="R215" s="19" t="n">
        <v>25</v>
      </c>
      <c r="S215" s="19" t="n">
        <v>15</v>
      </c>
      <c r="T215" s="19" t="n">
        <v>28</v>
      </c>
      <c r="U215" s="19" t="n">
        <v>22</v>
      </c>
      <c r="V215" s="30" t="n">
        <v>29</v>
      </c>
      <c r="W215" s="19" t="n">
        <v>24</v>
      </c>
      <c r="X215" s="19" t="n">
        <v>17</v>
      </c>
      <c r="Y215" s="123" t="n">
        <v>13</v>
      </c>
      <c r="Z215" s="19" t="n">
        <v>14</v>
      </c>
      <c r="AA215" s="19" t="n">
        <v>20</v>
      </c>
      <c r="AB215" s="19" t="n">
        <v>15</v>
      </c>
      <c r="AC215" s="19" t="n">
        <v>19</v>
      </c>
      <c r="AD215" s="19" t="n">
        <v>20</v>
      </c>
      <c r="AE215" s="2" t="n">
        <v>13</v>
      </c>
      <c r="AF215" s="19" t="n">
        <v>13</v>
      </c>
      <c r="AG215" s="19"/>
      <c r="AH215" s="19"/>
      <c r="DK215" s="44"/>
    </row>
    <row r="216" customFormat="false" ht="12.75" hidden="false" customHeight="false" outlineLevel="0" collapsed="false">
      <c r="A216" s="16" t="s">
        <v>327</v>
      </c>
      <c r="B216" s="17" t="n">
        <f aca="false">AVERAGE(E216:AE216)</f>
        <v>20.4814814814815</v>
      </c>
      <c r="C216" s="2" t="n">
        <f aca="false">MIN(E216:AE216)</f>
        <v>14</v>
      </c>
      <c r="D216" s="18" t="n">
        <f aca="false">MAX(E216:AE216)</f>
        <v>29</v>
      </c>
      <c r="E216" s="19" t="n">
        <v>16</v>
      </c>
      <c r="F216" s="19" t="n">
        <v>23</v>
      </c>
      <c r="G216" s="19" t="n">
        <v>14</v>
      </c>
      <c r="H216" s="19" t="n">
        <v>18</v>
      </c>
      <c r="I216" s="19" t="n">
        <v>25</v>
      </c>
      <c r="J216" s="19" t="n">
        <v>25</v>
      </c>
      <c r="K216" s="19" t="n">
        <v>22</v>
      </c>
      <c r="L216" s="19" t="n">
        <v>24</v>
      </c>
      <c r="M216" s="19" t="n">
        <v>23</v>
      </c>
      <c r="N216" s="19" t="n">
        <v>21</v>
      </c>
      <c r="O216" s="19" t="n">
        <v>24</v>
      </c>
      <c r="P216" s="19" t="n">
        <v>16</v>
      </c>
      <c r="Q216" s="19" t="n">
        <v>24</v>
      </c>
      <c r="R216" s="19" t="n">
        <v>25</v>
      </c>
      <c r="S216" s="19" t="n">
        <v>15</v>
      </c>
      <c r="T216" s="19" t="n">
        <v>29</v>
      </c>
      <c r="U216" s="19" t="n">
        <v>22</v>
      </c>
      <c r="V216" s="19" t="n">
        <v>29</v>
      </c>
      <c r="W216" s="19" t="n">
        <v>24</v>
      </c>
      <c r="X216" s="19" t="n">
        <v>17</v>
      </c>
      <c r="Y216" s="30" t="n">
        <v>14</v>
      </c>
      <c r="Z216" s="19" t="n">
        <v>14</v>
      </c>
      <c r="AA216" s="19" t="n">
        <v>20</v>
      </c>
      <c r="AB216" s="19" t="n">
        <v>15</v>
      </c>
      <c r="AC216" s="19" t="n">
        <v>20</v>
      </c>
      <c r="AD216" s="19" t="n">
        <v>20</v>
      </c>
      <c r="AE216" s="30" t="n">
        <v>14</v>
      </c>
      <c r="AF216" s="19" t="n">
        <v>13</v>
      </c>
      <c r="AG216" s="19"/>
      <c r="AH216" s="19"/>
      <c r="DK216" s="44"/>
    </row>
    <row r="217" customFormat="false" ht="12.75" hidden="false" customHeight="false" outlineLevel="0" collapsed="false">
      <c r="A217" s="16" t="s">
        <v>328</v>
      </c>
      <c r="B217" s="17" t="n">
        <f aca="false">AVERAGE(E217:AE217)</f>
        <v>20.6296296296296</v>
      </c>
      <c r="C217" s="2" t="n">
        <f aca="false">MIN(E217:AE217)</f>
        <v>14</v>
      </c>
      <c r="D217" s="18" t="n">
        <f aca="false">MAX(E217:AE217)</f>
        <v>30</v>
      </c>
      <c r="E217" s="19" t="n">
        <v>16</v>
      </c>
      <c r="F217" s="19" t="n">
        <v>23</v>
      </c>
      <c r="G217" s="19" t="n">
        <v>14</v>
      </c>
      <c r="H217" s="30" t="n">
        <v>19</v>
      </c>
      <c r="I217" s="19" t="n">
        <v>25</v>
      </c>
      <c r="J217" s="19" t="n">
        <v>25</v>
      </c>
      <c r="K217" s="19" t="n">
        <v>22</v>
      </c>
      <c r="L217" s="19" t="n">
        <v>25</v>
      </c>
      <c r="M217" s="19" t="n">
        <v>23</v>
      </c>
      <c r="N217" s="19" t="n">
        <v>21</v>
      </c>
      <c r="O217" s="19" t="n">
        <v>24</v>
      </c>
      <c r="P217" s="19" t="n">
        <v>16</v>
      </c>
      <c r="Q217" s="19" t="n">
        <v>24</v>
      </c>
      <c r="R217" s="19" t="n">
        <v>25</v>
      </c>
      <c r="S217" s="19" t="n">
        <v>15</v>
      </c>
      <c r="T217" s="19" t="n">
        <v>29</v>
      </c>
      <c r="U217" s="19" t="n">
        <v>22</v>
      </c>
      <c r="V217" s="30" t="n">
        <v>30</v>
      </c>
      <c r="W217" s="19" t="n">
        <v>24</v>
      </c>
      <c r="X217" s="19" t="n">
        <v>17</v>
      </c>
      <c r="Y217" s="19" t="n">
        <v>15</v>
      </c>
      <c r="Z217" s="19" t="n">
        <v>14</v>
      </c>
      <c r="AA217" s="19" t="n">
        <v>20</v>
      </c>
      <c r="AB217" s="19" t="n">
        <v>15</v>
      </c>
      <c r="AC217" s="19" t="n">
        <v>20</v>
      </c>
      <c r="AD217" s="19" t="n">
        <v>20</v>
      </c>
      <c r="AE217" s="2" t="n">
        <v>14</v>
      </c>
      <c r="AF217" s="30" t="n">
        <v>14</v>
      </c>
      <c r="AG217" s="19"/>
      <c r="AH217" s="19"/>
      <c r="DK217" s="44"/>
    </row>
    <row r="218" customFormat="false" ht="12.75" hidden="false" customHeight="false" outlineLevel="0" collapsed="false">
      <c r="A218" s="16" t="s">
        <v>329</v>
      </c>
      <c r="B218" s="17" t="n">
        <f aca="false">AVERAGE(E218:AE218)</f>
        <v>20.8888888888889</v>
      </c>
      <c r="C218" s="2" t="n">
        <f aca="false">MIN(E218:AE218)</f>
        <v>14</v>
      </c>
      <c r="D218" s="18" t="n">
        <f aca="false">MAX(E218:AE218)</f>
        <v>30</v>
      </c>
      <c r="E218" s="19" t="n">
        <v>16</v>
      </c>
      <c r="F218" s="19" t="n">
        <v>23</v>
      </c>
      <c r="G218" s="19" t="n">
        <v>14</v>
      </c>
      <c r="H218" s="19" t="n">
        <v>20</v>
      </c>
      <c r="I218" s="19" t="n">
        <v>25</v>
      </c>
      <c r="J218" s="30" t="n">
        <v>26</v>
      </c>
      <c r="K218" s="19" t="n">
        <v>22</v>
      </c>
      <c r="L218" s="19" t="n">
        <v>25</v>
      </c>
      <c r="M218" s="19" t="n">
        <v>23</v>
      </c>
      <c r="N218" s="19" t="n">
        <v>22</v>
      </c>
      <c r="O218" s="19" t="n">
        <v>24</v>
      </c>
      <c r="P218" s="19" t="n">
        <v>16</v>
      </c>
      <c r="Q218" s="19" t="n">
        <v>24</v>
      </c>
      <c r="R218" s="19" t="n">
        <v>25</v>
      </c>
      <c r="S218" s="19" t="n">
        <v>15</v>
      </c>
      <c r="T218" s="19" t="n">
        <v>29</v>
      </c>
      <c r="U218" s="19" t="n">
        <v>22</v>
      </c>
      <c r="V218" s="19" t="n">
        <v>30</v>
      </c>
      <c r="W218" s="68" t="n">
        <v>25</v>
      </c>
      <c r="X218" s="19" t="n">
        <v>17</v>
      </c>
      <c r="Y218" s="19" t="n">
        <v>15</v>
      </c>
      <c r="Z218" s="19" t="n">
        <v>14</v>
      </c>
      <c r="AA218" s="19" t="n">
        <v>20</v>
      </c>
      <c r="AB218" s="19" t="n">
        <v>15</v>
      </c>
      <c r="AC218" s="30" t="n">
        <v>21</v>
      </c>
      <c r="AD218" s="123" t="n">
        <v>21</v>
      </c>
      <c r="AE218" s="19" t="n">
        <v>15</v>
      </c>
      <c r="AF218" s="19" t="n">
        <v>14</v>
      </c>
      <c r="AG218" s="19"/>
      <c r="AH218" s="19"/>
      <c r="DK218" s="44"/>
    </row>
    <row r="219" customFormat="false" ht="12.75" hidden="false" customHeight="false" outlineLevel="0" collapsed="false">
      <c r="A219" s="16" t="s">
        <v>330</v>
      </c>
      <c r="B219" s="17" t="n">
        <f aca="false">AVERAGE(E219:AE219)</f>
        <v>21.1851851851852</v>
      </c>
      <c r="C219" s="2" t="n">
        <f aca="false">MIN(E219:AE219)</f>
        <v>14</v>
      </c>
      <c r="D219" s="18" t="n">
        <f aca="false">MAX(E219:AE219)</f>
        <v>30</v>
      </c>
      <c r="E219" s="19" t="n">
        <v>16</v>
      </c>
      <c r="F219" s="19" t="n">
        <v>23</v>
      </c>
      <c r="G219" s="19" t="n">
        <v>14</v>
      </c>
      <c r="H219" s="19" t="n">
        <v>20</v>
      </c>
      <c r="I219" s="30" t="n">
        <v>26</v>
      </c>
      <c r="J219" s="19" t="n">
        <v>26</v>
      </c>
      <c r="K219" s="19" t="n">
        <v>22</v>
      </c>
      <c r="L219" s="19" t="n">
        <v>25</v>
      </c>
      <c r="M219" s="19" t="n">
        <v>23</v>
      </c>
      <c r="N219" s="19" t="n">
        <v>22</v>
      </c>
      <c r="O219" s="123" t="n">
        <v>25</v>
      </c>
      <c r="P219" s="19" t="n">
        <v>16</v>
      </c>
      <c r="Q219" s="19" t="n">
        <v>24</v>
      </c>
      <c r="R219" s="19" t="n">
        <v>26</v>
      </c>
      <c r="S219" s="19" t="n">
        <v>15</v>
      </c>
      <c r="T219" s="19" t="n">
        <v>30</v>
      </c>
      <c r="U219" s="19" t="n">
        <v>22</v>
      </c>
      <c r="V219" s="19" t="n">
        <v>30</v>
      </c>
      <c r="W219" s="19" t="n">
        <v>25</v>
      </c>
      <c r="X219" s="19" t="n">
        <v>18</v>
      </c>
      <c r="Y219" s="19" t="n">
        <v>16</v>
      </c>
      <c r="Z219" s="19" t="n">
        <v>14</v>
      </c>
      <c r="AA219" s="19" t="n">
        <v>20</v>
      </c>
      <c r="AB219" s="19" t="n">
        <v>15</v>
      </c>
      <c r="AC219" s="30" t="n">
        <v>22</v>
      </c>
      <c r="AD219" s="19" t="n">
        <v>21</v>
      </c>
      <c r="AE219" s="126" t="n">
        <v>16</v>
      </c>
      <c r="AF219" s="19" t="n">
        <v>14</v>
      </c>
      <c r="AG219" s="19"/>
      <c r="AH219" s="19"/>
      <c r="DK219" s="44"/>
    </row>
    <row r="220" customFormat="false" ht="12.75" hidden="false" customHeight="false" outlineLevel="0" collapsed="false">
      <c r="A220" s="16" t="s">
        <v>331</v>
      </c>
      <c r="B220" s="17" t="n">
        <f aca="false">AVERAGE(E220:AE220)</f>
        <v>21.4074074074074</v>
      </c>
      <c r="C220" s="2" t="n">
        <f aca="false">MIN(E220:AE220)</f>
        <v>14</v>
      </c>
      <c r="D220" s="18" t="n">
        <f aca="false">MAX(E220:AE220)</f>
        <v>31</v>
      </c>
      <c r="E220" s="19" t="n">
        <v>16</v>
      </c>
      <c r="F220" s="19" t="n">
        <v>23</v>
      </c>
      <c r="G220" s="19" t="n">
        <v>14</v>
      </c>
      <c r="H220" s="19" t="n">
        <v>20</v>
      </c>
      <c r="I220" s="19" t="n">
        <v>26</v>
      </c>
      <c r="J220" s="19" t="n">
        <v>26</v>
      </c>
      <c r="K220" s="19" t="n">
        <v>22</v>
      </c>
      <c r="L220" s="19" t="n">
        <v>25</v>
      </c>
      <c r="M220" s="19" t="n">
        <v>23</v>
      </c>
      <c r="N220" s="19" t="n">
        <v>22</v>
      </c>
      <c r="O220" s="19" t="n">
        <v>25</v>
      </c>
      <c r="P220" s="19" t="n">
        <v>16</v>
      </c>
      <c r="Q220" s="19" t="n">
        <v>24</v>
      </c>
      <c r="R220" s="19" t="n">
        <v>27</v>
      </c>
      <c r="S220" s="30" t="n">
        <v>16</v>
      </c>
      <c r="T220" s="30" t="n">
        <v>31</v>
      </c>
      <c r="U220" s="19" t="n">
        <v>22</v>
      </c>
      <c r="V220" s="19" t="n">
        <v>30</v>
      </c>
      <c r="W220" s="19" t="n">
        <v>25</v>
      </c>
      <c r="X220" s="30" t="n">
        <v>19</v>
      </c>
      <c r="Y220" s="19" t="n">
        <v>17</v>
      </c>
      <c r="Z220" s="19" t="n">
        <v>14</v>
      </c>
      <c r="AA220" s="19" t="n">
        <v>21</v>
      </c>
      <c r="AB220" s="19" t="n">
        <v>15</v>
      </c>
      <c r="AC220" s="19" t="n">
        <v>22</v>
      </c>
      <c r="AD220" s="19" t="n">
        <v>21</v>
      </c>
      <c r="AE220" s="19" t="n">
        <v>16</v>
      </c>
      <c r="AF220" s="19" t="n">
        <v>14</v>
      </c>
      <c r="AG220" s="19"/>
      <c r="AH220" s="19"/>
      <c r="DK220" s="44"/>
    </row>
    <row r="221" customFormat="false" ht="12.75" hidden="false" customHeight="false" outlineLevel="0" collapsed="false">
      <c r="A221" s="16" t="s">
        <v>332</v>
      </c>
      <c r="B221" s="17" t="n">
        <f aca="false">AVERAGE(E221:AE221)</f>
        <v>21.6296296296296</v>
      </c>
      <c r="C221" s="2" t="n">
        <f aca="false">MIN(E221:AE221)</f>
        <v>14</v>
      </c>
      <c r="D221" s="18" t="n">
        <f aca="false">MAX(E221:AE221)</f>
        <v>32</v>
      </c>
      <c r="E221" s="19" t="n">
        <v>16</v>
      </c>
      <c r="F221" s="19" t="n">
        <v>23</v>
      </c>
      <c r="G221" s="19" t="n">
        <v>14</v>
      </c>
      <c r="H221" s="19" t="n">
        <v>20</v>
      </c>
      <c r="I221" s="19" t="n">
        <v>26</v>
      </c>
      <c r="J221" s="19" t="n">
        <v>26</v>
      </c>
      <c r="K221" s="19" t="n">
        <v>22</v>
      </c>
      <c r="L221" s="19" t="n">
        <v>25</v>
      </c>
      <c r="M221" s="19" t="n">
        <v>23</v>
      </c>
      <c r="N221" s="19" t="n">
        <v>22</v>
      </c>
      <c r="O221" s="19" t="n">
        <v>25</v>
      </c>
      <c r="P221" s="19" t="n">
        <v>16</v>
      </c>
      <c r="Q221" s="19" t="n">
        <v>25</v>
      </c>
      <c r="R221" s="19" t="n">
        <v>27</v>
      </c>
      <c r="S221" s="19" t="n">
        <v>17</v>
      </c>
      <c r="T221" s="19" t="n">
        <v>32</v>
      </c>
      <c r="U221" s="19" t="n">
        <v>22</v>
      </c>
      <c r="V221" s="19" t="n">
        <v>30</v>
      </c>
      <c r="W221" s="19" t="n">
        <v>25</v>
      </c>
      <c r="X221" s="123" t="n">
        <v>20</v>
      </c>
      <c r="Y221" s="19" t="n">
        <v>18</v>
      </c>
      <c r="Z221" s="19" t="n">
        <v>14</v>
      </c>
      <c r="AA221" s="19" t="n">
        <v>21</v>
      </c>
      <c r="AB221" s="19" t="n">
        <v>15</v>
      </c>
      <c r="AC221" s="19" t="n">
        <v>22</v>
      </c>
      <c r="AD221" s="19" t="n">
        <v>22</v>
      </c>
      <c r="AE221" s="2" t="n">
        <v>16</v>
      </c>
      <c r="AF221" s="123" t="n">
        <v>15</v>
      </c>
      <c r="AG221" s="19"/>
      <c r="AH221" s="19"/>
      <c r="DK221" s="44"/>
    </row>
    <row r="222" customFormat="false" ht="12.75" hidden="false" customHeight="false" outlineLevel="0" collapsed="false">
      <c r="A222" s="16" t="s">
        <v>333</v>
      </c>
      <c r="B222" s="17" t="n">
        <f aca="false">AVERAGE(E222:AE222)</f>
        <v>21.8148148148148</v>
      </c>
      <c r="C222" s="2" t="n">
        <f aca="false">MIN(E222:AE222)</f>
        <v>14</v>
      </c>
      <c r="D222" s="18" t="n">
        <f aca="false">MAX(E222:AE222)</f>
        <v>33</v>
      </c>
      <c r="E222" s="19" t="n">
        <v>16</v>
      </c>
      <c r="F222" s="19" t="n">
        <v>23</v>
      </c>
      <c r="G222" s="19" t="n">
        <v>14</v>
      </c>
      <c r="H222" s="19" t="n">
        <v>20</v>
      </c>
      <c r="I222" s="19" t="n">
        <v>26</v>
      </c>
      <c r="J222" s="19" t="n">
        <v>26</v>
      </c>
      <c r="K222" s="19" t="n">
        <v>22</v>
      </c>
      <c r="L222" s="19" t="n">
        <v>25</v>
      </c>
      <c r="M222" s="19" t="n">
        <v>23</v>
      </c>
      <c r="N222" s="19" t="n">
        <v>22</v>
      </c>
      <c r="O222" s="19" t="n">
        <v>25</v>
      </c>
      <c r="P222" s="19" t="n">
        <v>16</v>
      </c>
      <c r="Q222" s="19" t="n">
        <v>25</v>
      </c>
      <c r="R222" s="30" t="n">
        <v>28</v>
      </c>
      <c r="S222" s="19" t="n">
        <v>17</v>
      </c>
      <c r="T222" s="30" t="n">
        <v>33</v>
      </c>
      <c r="U222" s="19" t="n">
        <v>22</v>
      </c>
      <c r="V222" s="19" t="n">
        <v>31</v>
      </c>
      <c r="W222" s="19" t="n">
        <v>25</v>
      </c>
      <c r="X222" s="30" t="n">
        <v>21</v>
      </c>
      <c r="Y222" s="19" t="n">
        <v>18</v>
      </c>
      <c r="Z222" s="19" t="n">
        <v>14</v>
      </c>
      <c r="AA222" s="30" t="n">
        <v>22</v>
      </c>
      <c r="AB222" s="19" t="n">
        <v>15</v>
      </c>
      <c r="AC222" s="19" t="n">
        <v>22</v>
      </c>
      <c r="AD222" s="19" t="n">
        <v>22</v>
      </c>
      <c r="AE222" s="19" t="n">
        <v>16</v>
      </c>
      <c r="AF222" s="124" t="n">
        <v>16</v>
      </c>
      <c r="AG222" s="19"/>
      <c r="AH222" s="19"/>
      <c r="DK222" s="44"/>
    </row>
    <row r="223" customFormat="false" ht="12.75" hidden="false" customHeight="false" outlineLevel="0" collapsed="false">
      <c r="A223" s="16" t="s">
        <v>334</v>
      </c>
      <c r="B223" s="17" t="n">
        <f aca="false">AVERAGE(E223:AE223)</f>
        <v>21.9259259259259</v>
      </c>
      <c r="C223" s="2" t="n">
        <f aca="false">MIN(E223:AE223)</f>
        <v>14</v>
      </c>
      <c r="D223" s="18" t="n">
        <f aca="false">MAX(E223:AE223)</f>
        <v>33</v>
      </c>
      <c r="E223" s="19" t="n">
        <v>16</v>
      </c>
      <c r="F223" s="19" t="n">
        <v>23</v>
      </c>
      <c r="G223" s="19" t="n">
        <v>14</v>
      </c>
      <c r="H223" s="19" t="n">
        <v>20</v>
      </c>
      <c r="I223" s="19" t="n">
        <v>26</v>
      </c>
      <c r="J223" s="19" t="n">
        <v>26</v>
      </c>
      <c r="K223" s="19" t="n">
        <v>22</v>
      </c>
      <c r="L223" s="19" t="n">
        <v>25</v>
      </c>
      <c r="M223" s="19" t="n">
        <v>23</v>
      </c>
      <c r="N223" s="19" t="n">
        <v>22</v>
      </c>
      <c r="O223" s="19" t="n">
        <v>25</v>
      </c>
      <c r="P223" s="19" t="n">
        <v>16</v>
      </c>
      <c r="Q223" s="19" t="n">
        <v>25</v>
      </c>
      <c r="R223" s="19" t="n">
        <v>28</v>
      </c>
      <c r="S223" s="68" t="n">
        <v>18</v>
      </c>
      <c r="T223" s="19" t="n">
        <v>33</v>
      </c>
      <c r="U223" s="19" t="n">
        <v>22</v>
      </c>
      <c r="V223" s="19" t="n">
        <v>31</v>
      </c>
      <c r="W223" s="19" t="n">
        <v>25</v>
      </c>
      <c r="X223" s="19" t="n">
        <v>21</v>
      </c>
      <c r="Y223" s="30" t="n">
        <v>19</v>
      </c>
      <c r="Z223" s="19" t="n">
        <v>14</v>
      </c>
      <c r="AA223" s="19" t="n">
        <v>22</v>
      </c>
      <c r="AB223" s="19" t="n">
        <v>16</v>
      </c>
      <c r="AC223" s="19" t="n">
        <v>22</v>
      </c>
      <c r="AD223" s="19" t="n">
        <v>22</v>
      </c>
      <c r="AE223" s="2" t="n">
        <v>16</v>
      </c>
      <c r="AF223" s="19" t="n">
        <v>16</v>
      </c>
      <c r="AG223" s="19"/>
      <c r="AH223" s="19"/>
      <c r="DK223" s="44"/>
    </row>
    <row r="224" customFormat="false" ht="12.75" hidden="false" customHeight="false" outlineLevel="0" collapsed="false">
      <c r="A224" s="16" t="s">
        <v>335</v>
      </c>
      <c r="B224" s="17" t="n">
        <f aca="false">AVERAGE(E224:AE224)</f>
        <v>22.0740740740741</v>
      </c>
      <c r="C224" s="2" t="n">
        <f aca="false">MIN(E224:AE224)</f>
        <v>14</v>
      </c>
      <c r="D224" s="18" t="n">
        <f aca="false">MAX(E224:AE224)</f>
        <v>33</v>
      </c>
      <c r="E224" s="19" t="n">
        <v>16</v>
      </c>
      <c r="F224" s="19" t="n">
        <v>23</v>
      </c>
      <c r="G224" s="19" t="n">
        <v>14</v>
      </c>
      <c r="H224" s="19" t="n">
        <v>20</v>
      </c>
      <c r="I224" s="19" t="n">
        <v>26</v>
      </c>
      <c r="J224" s="19" t="n">
        <v>26</v>
      </c>
      <c r="K224" s="19" t="n">
        <v>23</v>
      </c>
      <c r="L224" s="19" t="n">
        <v>25</v>
      </c>
      <c r="M224" s="19" t="n">
        <v>24</v>
      </c>
      <c r="N224" s="19" t="n">
        <v>23</v>
      </c>
      <c r="O224" s="19" t="n">
        <v>25</v>
      </c>
      <c r="P224" s="19" t="n">
        <v>16</v>
      </c>
      <c r="Q224" s="19" t="n">
        <v>25</v>
      </c>
      <c r="R224" s="19" t="n">
        <v>28</v>
      </c>
      <c r="S224" s="19" t="n">
        <v>18</v>
      </c>
      <c r="T224" s="19" t="n">
        <v>33</v>
      </c>
      <c r="U224" s="19" t="n">
        <v>22</v>
      </c>
      <c r="V224" s="19" t="n">
        <v>31</v>
      </c>
      <c r="W224" s="19" t="n">
        <v>25</v>
      </c>
      <c r="X224" s="19" t="n">
        <v>21</v>
      </c>
      <c r="Y224" s="19" t="n">
        <v>20</v>
      </c>
      <c r="Z224" s="19" t="n">
        <v>14</v>
      </c>
      <c r="AA224" s="19" t="n">
        <v>22</v>
      </c>
      <c r="AB224" s="19" t="n">
        <v>16</v>
      </c>
      <c r="AC224" s="19" t="n">
        <v>22</v>
      </c>
      <c r="AD224" s="19" t="n">
        <v>22</v>
      </c>
      <c r="AE224" s="2" t="n">
        <v>16</v>
      </c>
      <c r="AF224" s="19" t="n">
        <v>16</v>
      </c>
      <c r="AG224" s="19"/>
      <c r="AH224" s="19"/>
      <c r="DK224" s="44"/>
    </row>
    <row r="225" customFormat="false" ht="12.75" hidden="false" customHeight="false" outlineLevel="0" collapsed="false">
      <c r="A225" s="16" t="s">
        <v>336</v>
      </c>
      <c r="B225" s="17" t="n">
        <f aca="false">AVERAGE(E225:AE225)</f>
        <v>22.3333333333333</v>
      </c>
      <c r="C225" s="2" t="n">
        <f aca="false">MIN(E225:AE225)</f>
        <v>14</v>
      </c>
      <c r="D225" s="18" t="n">
        <f aca="false">MAX(E225:AE225)</f>
        <v>33</v>
      </c>
      <c r="E225" s="19" t="n">
        <v>16</v>
      </c>
      <c r="F225" s="19" t="n">
        <v>23</v>
      </c>
      <c r="G225" s="19" t="n">
        <v>14</v>
      </c>
      <c r="H225" s="19" t="n">
        <v>21</v>
      </c>
      <c r="I225" s="19" t="n">
        <v>26</v>
      </c>
      <c r="J225" s="19" t="n">
        <v>26</v>
      </c>
      <c r="K225" s="30" t="n">
        <v>24</v>
      </c>
      <c r="L225" s="19" t="n">
        <v>25</v>
      </c>
      <c r="M225" s="19" t="n">
        <v>25</v>
      </c>
      <c r="N225" s="19" t="n">
        <v>24</v>
      </c>
      <c r="O225" s="19" t="n">
        <v>25</v>
      </c>
      <c r="P225" s="19" t="n">
        <v>16</v>
      </c>
      <c r="Q225" s="19" t="n">
        <v>25</v>
      </c>
      <c r="R225" s="19" t="n">
        <v>28</v>
      </c>
      <c r="S225" s="19" t="n">
        <v>18</v>
      </c>
      <c r="T225" s="19" t="n">
        <v>33</v>
      </c>
      <c r="U225" s="19" t="n">
        <v>22</v>
      </c>
      <c r="V225" s="19" t="n">
        <v>31</v>
      </c>
      <c r="W225" s="30" t="n">
        <v>26</v>
      </c>
      <c r="X225" s="123" t="n">
        <v>22</v>
      </c>
      <c r="Y225" s="19" t="n">
        <v>20</v>
      </c>
      <c r="Z225" s="19" t="n">
        <v>14</v>
      </c>
      <c r="AA225" s="19" t="n">
        <v>22</v>
      </c>
      <c r="AB225" s="19" t="n">
        <v>16</v>
      </c>
      <c r="AC225" s="19" t="n">
        <v>22</v>
      </c>
      <c r="AD225" s="19" t="n">
        <v>23</v>
      </c>
      <c r="AE225" s="2" t="n">
        <v>16</v>
      </c>
      <c r="AF225" s="19" t="n">
        <v>16</v>
      </c>
      <c r="AG225" s="19"/>
      <c r="AH225" s="19"/>
      <c r="DK225" s="44"/>
    </row>
    <row r="226" customFormat="false" ht="12.75" hidden="false" customHeight="false" outlineLevel="0" collapsed="false">
      <c r="A226" s="16" t="s">
        <v>337</v>
      </c>
      <c r="B226" s="17" t="n">
        <f aca="false">AVERAGE(E226:AE226)</f>
        <v>22.4444444444444</v>
      </c>
      <c r="C226" s="2" t="n">
        <f aca="false">MIN(E226:AE226)</f>
        <v>14</v>
      </c>
      <c r="D226" s="18" t="n">
        <f aca="false">MAX(E226:AE226)</f>
        <v>33</v>
      </c>
      <c r="E226" s="19" t="n">
        <v>16</v>
      </c>
      <c r="F226" s="19" t="n">
        <v>23</v>
      </c>
      <c r="G226" s="19" t="n">
        <v>14</v>
      </c>
      <c r="H226" s="19" t="n">
        <v>21</v>
      </c>
      <c r="I226" s="19" t="n">
        <v>26</v>
      </c>
      <c r="J226" s="19" t="n">
        <v>26</v>
      </c>
      <c r="K226" s="19" t="n">
        <v>24</v>
      </c>
      <c r="L226" s="19" t="n">
        <v>25</v>
      </c>
      <c r="M226" s="124" t="n">
        <v>26</v>
      </c>
      <c r="N226" s="19" t="n">
        <v>24</v>
      </c>
      <c r="O226" s="19" t="n">
        <v>25</v>
      </c>
      <c r="P226" s="19" t="n">
        <v>16</v>
      </c>
      <c r="Q226" s="19" t="n">
        <v>25</v>
      </c>
      <c r="R226" s="19" t="n">
        <v>28</v>
      </c>
      <c r="S226" s="19" t="n">
        <v>18</v>
      </c>
      <c r="T226" s="19" t="n">
        <v>33</v>
      </c>
      <c r="U226" s="19" t="n">
        <v>22</v>
      </c>
      <c r="V226" s="19" t="n">
        <v>31</v>
      </c>
      <c r="W226" s="19" t="n">
        <v>27</v>
      </c>
      <c r="X226" s="30" t="n">
        <v>23</v>
      </c>
      <c r="Y226" s="19" t="n">
        <v>20</v>
      </c>
      <c r="Z226" s="19" t="n">
        <v>14</v>
      </c>
      <c r="AA226" s="19" t="n">
        <v>22</v>
      </c>
      <c r="AB226" s="19" t="n">
        <v>16</v>
      </c>
      <c r="AC226" s="19" t="n">
        <v>22</v>
      </c>
      <c r="AD226" s="19" t="n">
        <v>23</v>
      </c>
      <c r="AE226" s="2" t="n">
        <v>16</v>
      </c>
      <c r="AF226" s="19" t="n">
        <v>16</v>
      </c>
      <c r="AG226" s="19"/>
      <c r="AH226" s="19"/>
      <c r="DK226" s="44"/>
    </row>
    <row r="227" customFormat="false" ht="12.75" hidden="false" customHeight="false" outlineLevel="0" collapsed="false">
      <c r="A227" s="16" t="s">
        <v>338</v>
      </c>
      <c r="B227" s="17" t="n">
        <f aca="false">AVERAGE(E227:AE227)</f>
        <v>22.7407407407407</v>
      </c>
      <c r="C227" s="2" t="n">
        <f aca="false">MIN(E227:AE227)</f>
        <v>14</v>
      </c>
      <c r="D227" s="18" t="n">
        <f aca="false">MAX(E227:AE227)</f>
        <v>33</v>
      </c>
      <c r="E227" s="30" t="n">
        <v>17</v>
      </c>
      <c r="F227" s="19" t="n">
        <v>23</v>
      </c>
      <c r="G227" s="19" t="n">
        <v>14</v>
      </c>
      <c r="H227" s="19" t="n">
        <v>21</v>
      </c>
      <c r="I227" s="19" t="n">
        <v>26</v>
      </c>
      <c r="J227" s="19" t="n">
        <v>26</v>
      </c>
      <c r="K227" s="19" t="n">
        <v>24</v>
      </c>
      <c r="L227" s="19" t="n">
        <v>25</v>
      </c>
      <c r="M227" s="30" t="n">
        <v>27</v>
      </c>
      <c r="N227" s="19" t="n">
        <v>24</v>
      </c>
      <c r="O227" s="19" t="n">
        <v>26</v>
      </c>
      <c r="P227" s="19" t="n">
        <v>16</v>
      </c>
      <c r="Q227" s="19" t="n">
        <v>25</v>
      </c>
      <c r="R227" s="19" t="n">
        <v>28</v>
      </c>
      <c r="S227" s="19" t="n">
        <v>19</v>
      </c>
      <c r="T227" s="19" t="n">
        <v>33</v>
      </c>
      <c r="U227" s="19" t="n">
        <v>22</v>
      </c>
      <c r="V227" s="30" t="n">
        <v>32</v>
      </c>
      <c r="W227" s="19" t="n">
        <v>28</v>
      </c>
      <c r="X227" s="19" t="n">
        <v>23</v>
      </c>
      <c r="Y227" s="19" t="n">
        <v>20</v>
      </c>
      <c r="Z227" s="123" t="n">
        <v>15</v>
      </c>
      <c r="AA227" s="30" t="n">
        <v>23</v>
      </c>
      <c r="AB227" s="19" t="n">
        <v>16</v>
      </c>
      <c r="AC227" s="19" t="n">
        <v>22</v>
      </c>
      <c r="AD227" s="19" t="n">
        <v>23</v>
      </c>
      <c r="AE227" s="2" t="n">
        <v>16</v>
      </c>
      <c r="AF227" s="19" t="n">
        <v>16</v>
      </c>
      <c r="AG227" s="19"/>
      <c r="AH227" s="19"/>
      <c r="DK227" s="44"/>
    </row>
    <row r="228" customFormat="false" ht="12.75" hidden="false" customHeight="false" outlineLevel="0" collapsed="false">
      <c r="A228" s="16" t="s">
        <v>339</v>
      </c>
      <c r="B228" s="17" t="n">
        <f aca="false">AVERAGE(E228:AE228)</f>
        <v>22.8888888888889</v>
      </c>
      <c r="C228" s="2" t="n">
        <f aca="false">MIN(E228:AE228)</f>
        <v>14</v>
      </c>
      <c r="D228" s="18" t="n">
        <f aca="false">MAX(E228:AE228)</f>
        <v>33</v>
      </c>
      <c r="E228" s="19" t="n">
        <v>17</v>
      </c>
      <c r="F228" s="19" t="n">
        <v>23</v>
      </c>
      <c r="G228" s="19" t="n">
        <v>14</v>
      </c>
      <c r="H228" s="19" t="n">
        <v>22</v>
      </c>
      <c r="I228" s="19" t="n">
        <v>26</v>
      </c>
      <c r="J228" s="19" t="n">
        <v>26</v>
      </c>
      <c r="K228" s="19" t="n">
        <v>24</v>
      </c>
      <c r="L228" s="19" t="n">
        <v>25</v>
      </c>
      <c r="M228" s="19" t="n">
        <v>27</v>
      </c>
      <c r="N228" s="19" t="n">
        <v>24</v>
      </c>
      <c r="O228" s="19" t="n">
        <v>26</v>
      </c>
      <c r="P228" s="19" t="n">
        <v>16</v>
      </c>
      <c r="Q228" s="19" t="n">
        <v>25</v>
      </c>
      <c r="R228" s="19" t="n">
        <v>28</v>
      </c>
      <c r="S228" s="19" t="n">
        <v>19</v>
      </c>
      <c r="T228" s="19" t="n">
        <v>33</v>
      </c>
      <c r="U228" s="19" t="n">
        <v>22</v>
      </c>
      <c r="V228" s="19" t="n">
        <v>32</v>
      </c>
      <c r="W228" s="19" t="n">
        <v>29</v>
      </c>
      <c r="X228" s="19" t="n">
        <v>23</v>
      </c>
      <c r="Y228" s="19" t="n">
        <v>21</v>
      </c>
      <c r="Z228" s="30" t="n">
        <v>16</v>
      </c>
      <c r="AA228" s="19" t="n">
        <v>23</v>
      </c>
      <c r="AB228" s="19" t="n">
        <v>16</v>
      </c>
      <c r="AC228" s="19" t="n">
        <v>22</v>
      </c>
      <c r="AD228" s="19" t="n">
        <v>23</v>
      </c>
      <c r="AE228" s="2" t="n">
        <v>16</v>
      </c>
      <c r="AF228" s="19" t="n">
        <v>16</v>
      </c>
      <c r="AG228" s="19"/>
      <c r="AH228" s="19"/>
      <c r="DK228" s="44"/>
    </row>
    <row r="229" customFormat="false" ht="12.75" hidden="false" customHeight="false" outlineLevel="0" collapsed="false">
      <c r="A229" s="16" t="s">
        <v>340</v>
      </c>
      <c r="B229" s="17" t="n">
        <f aca="false">AVERAGE(E229:AE229)</f>
        <v>22.962962962963</v>
      </c>
      <c r="C229" s="2" t="n">
        <f aca="false">MIN(E229:AE229)</f>
        <v>14</v>
      </c>
      <c r="D229" s="18" t="n">
        <f aca="false">MAX(E229:AE229)</f>
        <v>33</v>
      </c>
      <c r="E229" s="19" t="n">
        <v>17</v>
      </c>
      <c r="F229" s="19" t="n">
        <v>23</v>
      </c>
      <c r="G229" s="19" t="n">
        <v>14</v>
      </c>
      <c r="H229" s="19" t="n">
        <v>22</v>
      </c>
      <c r="I229" s="19" t="n">
        <v>26</v>
      </c>
      <c r="J229" s="19" t="n">
        <v>26</v>
      </c>
      <c r="K229" s="19" t="n">
        <v>24</v>
      </c>
      <c r="L229" s="19" t="n">
        <v>25</v>
      </c>
      <c r="M229" s="19" t="n">
        <v>27</v>
      </c>
      <c r="N229" s="19" t="n">
        <v>24</v>
      </c>
      <c r="O229" s="19" t="n">
        <v>26</v>
      </c>
      <c r="P229" s="19" t="n">
        <v>17</v>
      </c>
      <c r="Q229" s="19" t="n">
        <v>25</v>
      </c>
      <c r="R229" s="19" t="n">
        <v>28</v>
      </c>
      <c r="S229" s="19" t="n">
        <v>19</v>
      </c>
      <c r="T229" s="19" t="n">
        <v>33</v>
      </c>
      <c r="U229" s="19" t="n">
        <v>22</v>
      </c>
      <c r="V229" s="19" t="n">
        <v>32</v>
      </c>
      <c r="W229" s="19" t="n">
        <v>29</v>
      </c>
      <c r="X229" s="19" t="n">
        <v>23</v>
      </c>
      <c r="Y229" s="19" t="n">
        <v>22</v>
      </c>
      <c r="Z229" s="19" t="n">
        <v>16</v>
      </c>
      <c r="AA229" s="19" t="n">
        <v>23</v>
      </c>
      <c r="AB229" s="19" t="n">
        <v>16</v>
      </c>
      <c r="AC229" s="19" t="n">
        <v>22</v>
      </c>
      <c r="AD229" s="19" t="n">
        <v>23</v>
      </c>
      <c r="AE229" s="2" t="n">
        <v>16</v>
      </c>
      <c r="AF229" s="19" t="n">
        <v>16</v>
      </c>
      <c r="AG229" s="19"/>
      <c r="AH229" s="19"/>
      <c r="DK229" s="44"/>
    </row>
    <row r="230" customFormat="false" ht="12.75" hidden="false" customHeight="false" outlineLevel="0" collapsed="false">
      <c r="A230" s="16" t="s">
        <v>341</v>
      </c>
      <c r="B230" s="17" t="n">
        <f aca="false">AVERAGE(E230:AE230)</f>
        <v>23.1111111111111</v>
      </c>
      <c r="C230" s="2" t="n">
        <f aca="false">MIN(E230:AE230)</f>
        <v>14</v>
      </c>
      <c r="D230" s="18" t="n">
        <f aca="false">MAX(E230:AE230)</f>
        <v>33</v>
      </c>
      <c r="E230" s="19" t="n">
        <v>17</v>
      </c>
      <c r="F230" s="19" t="n">
        <v>23</v>
      </c>
      <c r="G230" s="19" t="n">
        <v>14</v>
      </c>
      <c r="H230" s="19" t="n">
        <v>22</v>
      </c>
      <c r="I230" s="124" t="n">
        <v>27</v>
      </c>
      <c r="J230" s="68" t="n">
        <v>27</v>
      </c>
      <c r="K230" s="19" t="n">
        <v>24</v>
      </c>
      <c r="L230" s="30" t="n">
        <v>26</v>
      </c>
      <c r="M230" s="19" t="n">
        <v>27</v>
      </c>
      <c r="N230" s="19" t="n">
        <v>24</v>
      </c>
      <c r="O230" s="19" t="n">
        <v>26</v>
      </c>
      <c r="P230" s="19" t="n">
        <v>17</v>
      </c>
      <c r="Q230" s="19" t="n">
        <v>25</v>
      </c>
      <c r="R230" s="19" t="n">
        <v>28</v>
      </c>
      <c r="S230" s="19" t="n">
        <v>19</v>
      </c>
      <c r="T230" s="19" t="n">
        <v>33</v>
      </c>
      <c r="U230" s="19" t="n">
        <v>22</v>
      </c>
      <c r="V230" s="19" t="n">
        <v>32</v>
      </c>
      <c r="W230" s="19" t="n">
        <v>29</v>
      </c>
      <c r="X230" s="19" t="n">
        <v>24</v>
      </c>
      <c r="Y230" s="19" t="n">
        <v>22</v>
      </c>
      <c r="Z230" s="19" t="n">
        <v>16</v>
      </c>
      <c r="AA230" s="19" t="n">
        <v>23</v>
      </c>
      <c r="AB230" s="19" t="n">
        <v>16</v>
      </c>
      <c r="AC230" s="19" t="n">
        <v>22</v>
      </c>
      <c r="AD230" s="19" t="n">
        <v>23</v>
      </c>
      <c r="AE230" s="2" t="n">
        <v>16</v>
      </c>
      <c r="AF230" s="19" t="n">
        <v>16</v>
      </c>
      <c r="AG230" s="19"/>
      <c r="AH230" s="19"/>
      <c r="DK230" s="44"/>
    </row>
    <row r="231" customFormat="false" ht="12.75" hidden="false" customHeight="false" outlineLevel="0" collapsed="false">
      <c r="A231" s="16" t="s">
        <v>342</v>
      </c>
      <c r="B231" s="17" t="n">
        <f aca="false">AVERAGE(E231:AE231)</f>
        <v>23.3333333333333</v>
      </c>
      <c r="C231" s="2" t="n">
        <f aca="false">MIN(E231:AE231)</f>
        <v>14</v>
      </c>
      <c r="D231" s="18" t="n">
        <f aca="false">MAX(E231:AE231)</f>
        <v>33</v>
      </c>
      <c r="E231" s="19" t="n">
        <v>17</v>
      </c>
      <c r="F231" s="19" t="n">
        <v>23</v>
      </c>
      <c r="G231" s="19" t="n">
        <v>14</v>
      </c>
      <c r="H231" s="19" t="n">
        <v>22</v>
      </c>
      <c r="I231" s="124" t="n">
        <v>28</v>
      </c>
      <c r="J231" s="30" t="n">
        <v>28</v>
      </c>
      <c r="K231" s="19" t="n">
        <v>24</v>
      </c>
      <c r="L231" s="19" t="n">
        <v>26</v>
      </c>
      <c r="M231" s="19" t="n">
        <v>27</v>
      </c>
      <c r="N231" s="19" t="n">
        <v>24</v>
      </c>
      <c r="O231" s="19" t="n">
        <v>26</v>
      </c>
      <c r="P231" s="19" t="n">
        <v>17</v>
      </c>
      <c r="Q231" s="68" t="n">
        <v>26</v>
      </c>
      <c r="R231" s="19" t="n">
        <v>28</v>
      </c>
      <c r="S231" s="19" t="n">
        <v>19</v>
      </c>
      <c r="T231" s="19" t="n">
        <v>33</v>
      </c>
      <c r="U231" s="30" t="n">
        <v>23</v>
      </c>
      <c r="V231" s="19" t="n">
        <v>32</v>
      </c>
      <c r="W231" s="19" t="n">
        <v>29</v>
      </c>
      <c r="X231" s="19" t="n">
        <v>24</v>
      </c>
      <c r="Y231" s="19" t="n">
        <v>22</v>
      </c>
      <c r="Z231" s="19" t="n">
        <v>17</v>
      </c>
      <c r="AA231" s="19" t="n">
        <v>23</v>
      </c>
      <c r="AB231" s="19" t="n">
        <v>16</v>
      </c>
      <c r="AC231" s="19" t="n">
        <v>22</v>
      </c>
      <c r="AD231" s="19" t="n">
        <v>24</v>
      </c>
      <c r="AE231" s="2" t="n">
        <v>16</v>
      </c>
      <c r="AF231" s="19" t="n">
        <v>16</v>
      </c>
      <c r="AG231" s="19"/>
      <c r="AH231" s="19"/>
      <c r="DK231" s="44"/>
    </row>
    <row r="232" customFormat="false" ht="12.75" hidden="false" customHeight="false" outlineLevel="0" collapsed="false">
      <c r="A232" s="16" t="s">
        <v>343</v>
      </c>
      <c r="B232" s="17" t="n">
        <f aca="false">AVERAGE(E232:AE232)</f>
        <v>23.4814814814815</v>
      </c>
      <c r="C232" s="2" t="n">
        <f aca="false">MIN(E232:AE232)</f>
        <v>14</v>
      </c>
      <c r="D232" s="18" t="n">
        <f aca="false">MAX(E232:AE232)</f>
        <v>33</v>
      </c>
      <c r="E232" s="19" t="n">
        <v>17</v>
      </c>
      <c r="F232" s="19" t="n">
        <v>23</v>
      </c>
      <c r="G232" s="19" t="n">
        <v>14</v>
      </c>
      <c r="H232" s="19" t="n">
        <v>22</v>
      </c>
      <c r="I232" s="19" t="n">
        <v>28</v>
      </c>
      <c r="J232" s="19" t="n">
        <v>28</v>
      </c>
      <c r="K232" s="19" t="n">
        <v>24</v>
      </c>
      <c r="L232" s="19" t="n">
        <v>26</v>
      </c>
      <c r="M232" s="19" t="n">
        <v>27</v>
      </c>
      <c r="N232" s="19" t="n">
        <v>24</v>
      </c>
      <c r="O232" s="19" t="n">
        <v>26</v>
      </c>
      <c r="P232" s="123" t="n">
        <v>18</v>
      </c>
      <c r="Q232" s="19" t="n">
        <v>26</v>
      </c>
      <c r="R232" s="19" t="n">
        <v>28</v>
      </c>
      <c r="S232" s="19" t="n">
        <v>19</v>
      </c>
      <c r="T232" s="19" t="n">
        <v>33</v>
      </c>
      <c r="U232" s="19" t="n">
        <v>24</v>
      </c>
      <c r="V232" s="19" t="n">
        <v>32</v>
      </c>
      <c r="W232" s="19" t="n">
        <v>29</v>
      </c>
      <c r="X232" s="19" t="n">
        <v>24</v>
      </c>
      <c r="Y232" s="19" t="n">
        <v>22</v>
      </c>
      <c r="Z232" s="19" t="n">
        <v>17</v>
      </c>
      <c r="AA232" s="19" t="n">
        <v>23</v>
      </c>
      <c r="AB232" s="30" t="n">
        <v>17</v>
      </c>
      <c r="AC232" s="19" t="n">
        <v>22</v>
      </c>
      <c r="AD232" s="19" t="n">
        <v>25</v>
      </c>
      <c r="AE232" s="2" t="n">
        <v>16</v>
      </c>
      <c r="AF232" s="19" t="n">
        <v>16</v>
      </c>
      <c r="AG232" s="19"/>
      <c r="AH232" s="19"/>
      <c r="DK232" s="44"/>
    </row>
    <row r="233" customFormat="false" ht="12.75" hidden="false" customHeight="false" outlineLevel="0" collapsed="false">
      <c r="A233" s="16" t="s">
        <v>344</v>
      </c>
      <c r="B233" s="17" t="n">
        <f aca="false">AVERAGE(E233:AE233)</f>
        <v>23.6296296296296</v>
      </c>
      <c r="C233" s="2" t="n">
        <f aca="false">MIN(E233:AE233)</f>
        <v>15</v>
      </c>
      <c r="D233" s="18" t="n">
        <f aca="false">MAX(E233:AE233)</f>
        <v>33</v>
      </c>
      <c r="E233" s="19" t="n">
        <v>17</v>
      </c>
      <c r="F233" s="19" t="n">
        <v>23</v>
      </c>
      <c r="G233" s="19" t="n">
        <v>15</v>
      </c>
      <c r="H233" s="19" t="n">
        <v>22</v>
      </c>
      <c r="I233" s="19" t="n">
        <v>28</v>
      </c>
      <c r="J233" s="19" t="n">
        <v>28</v>
      </c>
      <c r="K233" s="19" t="n">
        <v>24</v>
      </c>
      <c r="L233" s="19" t="n">
        <v>26</v>
      </c>
      <c r="M233" s="19" t="n">
        <v>27</v>
      </c>
      <c r="N233" s="19" t="n">
        <v>24</v>
      </c>
      <c r="O233" s="19" t="n">
        <v>26</v>
      </c>
      <c r="P233" s="19" t="n">
        <v>19</v>
      </c>
      <c r="Q233" s="19" t="n">
        <v>26</v>
      </c>
      <c r="R233" s="19" t="n">
        <v>28</v>
      </c>
      <c r="S233" s="19" t="n">
        <v>19</v>
      </c>
      <c r="T233" s="19" t="n">
        <v>33</v>
      </c>
      <c r="U233" s="19" t="n">
        <v>25</v>
      </c>
      <c r="V233" s="19" t="n">
        <v>32</v>
      </c>
      <c r="W233" s="19" t="n">
        <v>29</v>
      </c>
      <c r="X233" s="19" t="n">
        <v>24</v>
      </c>
      <c r="Y233" s="19" t="n">
        <v>22</v>
      </c>
      <c r="Z233" s="19" t="n">
        <v>17</v>
      </c>
      <c r="AA233" s="30" t="n">
        <v>24</v>
      </c>
      <c r="AB233" s="19" t="n">
        <v>17</v>
      </c>
      <c r="AC233" s="19" t="n">
        <v>22</v>
      </c>
      <c r="AD233" s="19" t="n">
        <v>25</v>
      </c>
      <c r="AE233" s="2" t="n">
        <v>16</v>
      </c>
      <c r="AF233" s="30" t="n">
        <v>17</v>
      </c>
      <c r="AG233" s="19"/>
      <c r="AH233" s="19"/>
      <c r="DK233" s="44"/>
    </row>
    <row r="234" customFormat="false" ht="12.75" hidden="false" customHeight="false" outlineLevel="0" collapsed="false">
      <c r="A234" s="16" t="s">
        <v>345</v>
      </c>
      <c r="B234" s="17" t="n">
        <f aca="false">AVERAGE(E234:AE234)</f>
        <v>23.9259259259259</v>
      </c>
      <c r="C234" s="2" t="n">
        <f aca="false">MIN(E234:AE234)</f>
        <v>16</v>
      </c>
      <c r="D234" s="18" t="n">
        <f aca="false">MAX(E234:AE234)</f>
        <v>33</v>
      </c>
      <c r="E234" s="19" t="n">
        <v>17</v>
      </c>
      <c r="F234" s="19" t="n">
        <v>23</v>
      </c>
      <c r="G234" s="30" t="n">
        <v>16</v>
      </c>
      <c r="H234" s="19" t="n">
        <v>23</v>
      </c>
      <c r="I234" s="19" t="n">
        <v>28</v>
      </c>
      <c r="J234" s="30" t="n">
        <v>29</v>
      </c>
      <c r="K234" s="19" t="n">
        <v>24</v>
      </c>
      <c r="L234" s="19" t="n">
        <v>26</v>
      </c>
      <c r="M234" s="19" t="n">
        <v>27</v>
      </c>
      <c r="N234" s="19" t="n">
        <v>24</v>
      </c>
      <c r="O234" s="68" t="n">
        <v>27</v>
      </c>
      <c r="P234" s="19" t="n">
        <v>19</v>
      </c>
      <c r="Q234" s="19" t="n">
        <v>26</v>
      </c>
      <c r="R234" s="19" t="n">
        <v>28</v>
      </c>
      <c r="S234" s="19" t="n">
        <v>19</v>
      </c>
      <c r="T234" s="19" t="n">
        <v>33</v>
      </c>
      <c r="U234" s="19" t="n">
        <v>25</v>
      </c>
      <c r="V234" s="19" t="n">
        <v>32</v>
      </c>
      <c r="W234" s="19" t="n">
        <v>29</v>
      </c>
      <c r="X234" s="30" t="n">
        <v>25</v>
      </c>
      <c r="Y234" s="19" t="n">
        <v>22</v>
      </c>
      <c r="Z234" s="30" t="n">
        <v>18</v>
      </c>
      <c r="AA234" s="19" t="n">
        <v>24</v>
      </c>
      <c r="AB234" s="19" t="n">
        <v>17</v>
      </c>
      <c r="AC234" s="19" t="n">
        <v>23</v>
      </c>
      <c r="AD234" s="19" t="n">
        <v>26</v>
      </c>
      <c r="AE234" s="2" t="n">
        <v>16</v>
      </c>
      <c r="AF234" s="19" t="n">
        <v>18</v>
      </c>
      <c r="AG234" s="19"/>
      <c r="AH234" s="19"/>
      <c r="DK234" s="44"/>
    </row>
    <row r="235" customFormat="false" ht="12.75" hidden="false" customHeight="false" outlineLevel="0" collapsed="false">
      <c r="A235" s="16" t="s">
        <v>346</v>
      </c>
      <c r="B235" s="17" t="n">
        <f aca="false">AVERAGE(E235:AE235)</f>
        <v>24.1851851851852</v>
      </c>
      <c r="C235" s="2" t="n">
        <f aca="false">MIN(E235:AE235)</f>
        <v>16</v>
      </c>
      <c r="D235" s="18" t="n">
        <f aca="false">MAX(E235:AE235)</f>
        <v>33</v>
      </c>
      <c r="E235" s="19" t="n">
        <v>17</v>
      </c>
      <c r="F235" s="30" t="n">
        <v>24</v>
      </c>
      <c r="G235" s="19" t="n">
        <v>16</v>
      </c>
      <c r="H235" s="19" t="n">
        <v>23</v>
      </c>
      <c r="I235" s="19" t="n">
        <v>28</v>
      </c>
      <c r="J235" s="19" t="n">
        <v>29</v>
      </c>
      <c r="K235" s="19" t="n">
        <v>24</v>
      </c>
      <c r="L235" s="19" t="n">
        <v>26</v>
      </c>
      <c r="M235" s="19" t="n">
        <v>27</v>
      </c>
      <c r="N235" s="19" t="n">
        <v>24</v>
      </c>
      <c r="O235" s="19" t="n">
        <v>27</v>
      </c>
      <c r="P235" s="19" t="n">
        <v>19</v>
      </c>
      <c r="Q235" s="19" t="n">
        <v>26</v>
      </c>
      <c r="R235" s="19" t="n">
        <v>28</v>
      </c>
      <c r="S235" s="19" t="n">
        <v>19</v>
      </c>
      <c r="T235" s="19" t="n">
        <v>33</v>
      </c>
      <c r="U235" s="19" t="n">
        <v>25</v>
      </c>
      <c r="V235" s="19" t="n">
        <v>32</v>
      </c>
      <c r="W235" s="19" t="n">
        <v>30</v>
      </c>
      <c r="X235" s="30" t="n">
        <v>26</v>
      </c>
      <c r="Y235" s="19" t="n">
        <v>22</v>
      </c>
      <c r="Z235" s="19" t="n">
        <v>19</v>
      </c>
      <c r="AA235" s="19" t="n">
        <v>24</v>
      </c>
      <c r="AB235" s="30" t="n">
        <v>18</v>
      </c>
      <c r="AC235" s="19" t="n">
        <v>24</v>
      </c>
      <c r="AD235" s="123" t="n">
        <v>27</v>
      </c>
      <c r="AE235" s="2" t="n">
        <v>16</v>
      </c>
      <c r="AF235" s="19" t="n">
        <v>18</v>
      </c>
      <c r="AG235" s="19"/>
      <c r="AH235" s="19"/>
      <c r="DK235" s="44"/>
    </row>
    <row r="236" customFormat="false" ht="12.75" hidden="false" customHeight="false" outlineLevel="0" collapsed="false">
      <c r="A236" s="16" t="s">
        <v>347</v>
      </c>
      <c r="B236" s="17" t="n">
        <f aca="false">AVERAGE(E236:AE236)</f>
        <v>24.3703703703704</v>
      </c>
      <c r="C236" s="2" t="n">
        <f aca="false">MIN(E236:AE236)</f>
        <v>16</v>
      </c>
      <c r="D236" s="18" t="n">
        <f aca="false">MAX(E236:AE236)</f>
        <v>33</v>
      </c>
      <c r="E236" s="19" t="n">
        <v>17</v>
      </c>
      <c r="F236" s="30" t="n">
        <v>25</v>
      </c>
      <c r="G236" s="19" t="n">
        <v>17</v>
      </c>
      <c r="H236" s="19" t="n">
        <v>23</v>
      </c>
      <c r="I236" s="19" t="n">
        <v>28</v>
      </c>
      <c r="J236" s="19" t="n">
        <v>29</v>
      </c>
      <c r="K236" s="19" t="n">
        <v>24</v>
      </c>
      <c r="L236" s="19" t="n">
        <v>26</v>
      </c>
      <c r="M236" s="30" t="n">
        <v>28</v>
      </c>
      <c r="N236" s="19" t="n">
        <v>25</v>
      </c>
      <c r="O236" s="19" t="n">
        <v>27</v>
      </c>
      <c r="P236" s="19" t="n">
        <v>19</v>
      </c>
      <c r="Q236" s="19" t="n">
        <v>27</v>
      </c>
      <c r="R236" s="19" t="n">
        <v>28</v>
      </c>
      <c r="S236" s="19" t="n">
        <v>19</v>
      </c>
      <c r="T236" s="19" t="n">
        <v>33</v>
      </c>
      <c r="U236" s="19" t="n">
        <v>25</v>
      </c>
      <c r="V236" s="19" t="n">
        <v>32</v>
      </c>
      <c r="W236" s="19" t="n">
        <v>30</v>
      </c>
      <c r="X236" s="19" t="n">
        <v>26</v>
      </c>
      <c r="Y236" s="19" t="n">
        <v>22</v>
      </c>
      <c r="Z236" s="19" t="n">
        <v>19</v>
      </c>
      <c r="AA236" s="19" t="n">
        <v>24</v>
      </c>
      <c r="AB236" s="19" t="n">
        <v>18</v>
      </c>
      <c r="AC236" s="19" t="n">
        <v>24</v>
      </c>
      <c r="AD236" s="19" t="n">
        <v>27</v>
      </c>
      <c r="AE236" s="2" t="n">
        <v>16</v>
      </c>
      <c r="AF236" s="30" t="n">
        <v>19</v>
      </c>
      <c r="AG236" s="19"/>
      <c r="AH236" s="19"/>
      <c r="DK236" s="44"/>
    </row>
    <row r="237" customFormat="false" ht="12.75" hidden="false" customHeight="false" outlineLevel="0" collapsed="false">
      <c r="A237" s="16" t="s">
        <v>348</v>
      </c>
      <c r="B237" s="17" t="n">
        <f aca="false">AVERAGE(E237:AE237)</f>
        <v>24.5555555555556</v>
      </c>
      <c r="C237" s="2" t="n">
        <f aca="false">MIN(E237:AE237)</f>
        <v>16</v>
      </c>
      <c r="D237" s="18" t="n">
        <f aca="false">MAX(E237:AE237)</f>
        <v>33</v>
      </c>
      <c r="E237" s="19" t="n">
        <v>17</v>
      </c>
      <c r="F237" s="19" t="n">
        <v>25</v>
      </c>
      <c r="G237" s="19" t="n">
        <v>18</v>
      </c>
      <c r="H237" s="19" t="n">
        <v>23</v>
      </c>
      <c r="I237" s="19" t="n">
        <v>28</v>
      </c>
      <c r="J237" s="19" t="n">
        <v>30</v>
      </c>
      <c r="K237" s="19" t="n">
        <v>25</v>
      </c>
      <c r="L237" s="19" t="n">
        <v>27</v>
      </c>
      <c r="M237" s="19" t="n">
        <v>28</v>
      </c>
      <c r="N237" s="19" t="n">
        <v>25</v>
      </c>
      <c r="O237" s="19" t="n">
        <v>27</v>
      </c>
      <c r="P237" s="19" t="n">
        <v>19</v>
      </c>
      <c r="Q237" s="19" t="n">
        <v>27</v>
      </c>
      <c r="R237" s="19" t="n">
        <v>28</v>
      </c>
      <c r="S237" s="19" t="n">
        <v>19</v>
      </c>
      <c r="T237" s="19" t="n">
        <v>33</v>
      </c>
      <c r="U237" s="19" t="n">
        <v>25</v>
      </c>
      <c r="V237" s="19" t="n">
        <v>32</v>
      </c>
      <c r="W237" s="19" t="n">
        <v>30</v>
      </c>
      <c r="X237" s="19" t="n">
        <v>26</v>
      </c>
      <c r="Y237" s="19" t="n">
        <v>22</v>
      </c>
      <c r="Z237" s="19" t="n">
        <v>19</v>
      </c>
      <c r="AA237" s="19" t="n">
        <v>24</v>
      </c>
      <c r="AB237" s="19" t="n">
        <v>18</v>
      </c>
      <c r="AC237" s="30" t="n">
        <v>25</v>
      </c>
      <c r="AD237" s="19" t="n">
        <v>27</v>
      </c>
      <c r="AE237" s="2" t="n">
        <v>16</v>
      </c>
      <c r="AF237" s="68" t="n">
        <v>20</v>
      </c>
      <c r="AG237" s="19"/>
      <c r="AH237" s="19"/>
      <c r="DK237" s="44"/>
    </row>
    <row r="238" customFormat="false" ht="12.75" hidden="false" customHeight="false" outlineLevel="0" collapsed="false">
      <c r="A238" s="16" t="s">
        <v>349</v>
      </c>
      <c r="B238" s="17" t="n">
        <f aca="false">AVERAGE(E238:AE238)</f>
        <v>24.7777777777778</v>
      </c>
      <c r="C238" s="2" t="n">
        <f aca="false">MIN(E238:AE238)</f>
        <v>16</v>
      </c>
      <c r="D238" s="18" t="n">
        <f aca="false">MAX(E238:AE238)</f>
        <v>33</v>
      </c>
      <c r="E238" s="19" t="n">
        <v>17</v>
      </c>
      <c r="F238" s="19" t="n">
        <v>26</v>
      </c>
      <c r="G238" s="19" t="n">
        <v>18</v>
      </c>
      <c r="H238" s="30" t="n">
        <v>24</v>
      </c>
      <c r="I238" s="19" t="n">
        <v>28</v>
      </c>
      <c r="J238" s="30" t="n">
        <v>31</v>
      </c>
      <c r="K238" s="19" t="n">
        <v>25</v>
      </c>
      <c r="L238" s="19" t="n">
        <v>27</v>
      </c>
      <c r="M238" s="30" t="n">
        <v>29</v>
      </c>
      <c r="N238" s="19" t="n">
        <v>25</v>
      </c>
      <c r="O238" s="19" t="n">
        <v>27</v>
      </c>
      <c r="P238" s="19" t="n">
        <v>19</v>
      </c>
      <c r="Q238" s="19" t="n">
        <v>27</v>
      </c>
      <c r="R238" s="123" t="n">
        <v>29</v>
      </c>
      <c r="S238" s="19" t="n">
        <v>19</v>
      </c>
      <c r="T238" s="19" t="n">
        <v>33</v>
      </c>
      <c r="U238" s="19" t="n">
        <v>25</v>
      </c>
      <c r="V238" s="19" t="n">
        <v>32</v>
      </c>
      <c r="W238" s="19" t="n">
        <v>30</v>
      </c>
      <c r="X238" s="19" t="n">
        <v>26</v>
      </c>
      <c r="Y238" s="19" t="n">
        <v>22</v>
      </c>
      <c r="Z238" s="19" t="n">
        <v>19</v>
      </c>
      <c r="AA238" s="19" t="n">
        <v>24</v>
      </c>
      <c r="AB238" s="19" t="n">
        <v>18</v>
      </c>
      <c r="AC238" s="19" t="n">
        <v>25</v>
      </c>
      <c r="AD238" s="19" t="n">
        <v>28</v>
      </c>
      <c r="AE238" s="2" t="n">
        <v>16</v>
      </c>
      <c r="AF238" s="19" t="n">
        <v>20</v>
      </c>
      <c r="AG238" s="19"/>
      <c r="AH238" s="19"/>
      <c r="DK238" s="44"/>
    </row>
    <row r="239" customFormat="false" ht="12.75" hidden="false" customHeight="false" outlineLevel="0" collapsed="false">
      <c r="A239" s="16" t="s">
        <v>350</v>
      </c>
      <c r="B239" s="17" t="n">
        <f aca="false">AVERAGE(E239:AE239)</f>
        <v>24.962962962963</v>
      </c>
      <c r="C239" s="2" t="n">
        <f aca="false">MIN(E239:AE239)</f>
        <v>16</v>
      </c>
      <c r="D239" s="18" t="n">
        <f aca="false">MAX(E239:AE239)</f>
        <v>33</v>
      </c>
      <c r="E239" s="19" t="n">
        <v>17</v>
      </c>
      <c r="F239" s="19" t="n">
        <v>26</v>
      </c>
      <c r="G239" s="19" t="n">
        <v>18</v>
      </c>
      <c r="H239" s="19" t="n">
        <v>24</v>
      </c>
      <c r="I239" s="19" t="n">
        <v>28</v>
      </c>
      <c r="J239" s="19" t="n">
        <v>31</v>
      </c>
      <c r="K239" s="19" t="n">
        <v>26</v>
      </c>
      <c r="L239" s="19" t="n">
        <v>27</v>
      </c>
      <c r="M239" s="124" t="n">
        <v>30</v>
      </c>
      <c r="N239" s="19" t="n">
        <v>25</v>
      </c>
      <c r="O239" s="19" t="n">
        <v>27</v>
      </c>
      <c r="P239" s="19" t="n">
        <v>20</v>
      </c>
      <c r="Q239" s="19" t="n">
        <v>27</v>
      </c>
      <c r="R239" s="30" t="n">
        <v>30</v>
      </c>
      <c r="S239" s="19" t="n">
        <v>19</v>
      </c>
      <c r="T239" s="19" t="n">
        <v>33</v>
      </c>
      <c r="U239" s="19" t="n">
        <v>25</v>
      </c>
      <c r="V239" s="19" t="n">
        <v>32</v>
      </c>
      <c r="W239" s="19" t="n">
        <v>30</v>
      </c>
      <c r="X239" s="19" t="n">
        <v>26</v>
      </c>
      <c r="Y239" s="19" t="n">
        <v>22</v>
      </c>
      <c r="Z239" s="19" t="n">
        <v>19</v>
      </c>
      <c r="AA239" s="30" t="n">
        <v>25</v>
      </c>
      <c r="AB239" s="19" t="n">
        <v>18</v>
      </c>
      <c r="AC239" s="19" t="n">
        <v>25</v>
      </c>
      <c r="AD239" s="19" t="n">
        <v>28</v>
      </c>
      <c r="AE239" s="2" t="n">
        <v>16</v>
      </c>
      <c r="AF239" s="19" t="n">
        <v>20</v>
      </c>
      <c r="AG239" s="19"/>
      <c r="AH239" s="19"/>
      <c r="DK239" s="44"/>
    </row>
    <row r="240" customFormat="false" ht="12.75" hidden="false" customHeight="false" outlineLevel="0" collapsed="false">
      <c r="A240" s="16" t="s">
        <v>351</v>
      </c>
      <c r="B240" s="17" t="n">
        <f aca="false">AVERAGE(E240:AE240)</f>
        <v>25.0740740740741</v>
      </c>
      <c r="C240" s="2" t="n">
        <f aca="false">MIN(E240:AE240)</f>
        <v>16</v>
      </c>
      <c r="D240" s="18" t="n">
        <f aca="false">MAX(E240:AE240)</f>
        <v>33</v>
      </c>
      <c r="E240" s="19" t="n">
        <v>17</v>
      </c>
      <c r="F240" s="19" t="n">
        <v>26</v>
      </c>
      <c r="G240" s="19" t="n">
        <v>19</v>
      </c>
      <c r="H240" s="19" t="n">
        <v>24</v>
      </c>
      <c r="I240" s="19" t="n">
        <v>28</v>
      </c>
      <c r="J240" s="19" t="n">
        <v>31</v>
      </c>
      <c r="K240" s="19" t="n">
        <v>26</v>
      </c>
      <c r="L240" s="19" t="n">
        <v>27</v>
      </c>
      <c r="M240" s="19" t="n">
        <v>31</v>
      </c>
      <c r="N240" s="19" t="n">
        <v>25</v>
      </c>
      <c r="O240" s="19" t="n">
        <v>27</v>
      </c>
      <c r="P240" s="19" t="n">
        <v>20</v>
      </c>
      <c r="Q240" s="19" t="n">
        <v>27</v>
      </c>
      <c r="R240" s="19" t="n">
        <v>30</v>
      </c>
      <c r="S240" s="19" t="n">
        <v>19</v>
      </c>
      <c r="T240" s="19" t="n">
        <v>33</v>
      </c>
      <c r="U240" s="19" t="n">
        <v>25</v>
      </c>
      <c r="V240" s="19" t="n">
        <v>32</v>
      </c>
      <c r="W240" s="19" t="n">
        <v>30</v>
      </c>
      <c r="X240" s="19" t="n">
        <v>26</v>
      </c>
      <c r="Y240" s="19" t="n">
        <v>22</v>
      </c>
      <c r="Z240" s="19" t="n">
        <v>20</v>
      </c>
      <c r="AA240" s="19" t="n">
        <v>25</v>
      </c>
      <c r="AB240" s="19" t="n">
        <v>18</v>
      </c>
      <c r="AC240" s="19" t="n">
        <v>25</v>
      </c>
      <c r="AD240" s="19" t="n">
        <v>28</v>
      </c>
      <c r="AE240" s="2" t="n">
        <v>16</v>
      </c>
      <c r="AF240" s="19" t="n">
        <v>20</v>
      </c>
      <c r="AG240" s="19"/>
      <c r="AH240" s="19"/>
      <c r="DK240" s="44"/>
    </row>
    <row r="241" customFormat="false" ht="12.75" hidden="false" customHeight="false" outlineLevel="0" collapsed="false">
      <c r="A241" s="16" t="s">
        <v>352</v>
      </c>
      <c r="B241" s="17" t="n">
        <f aca="false">AVERAGE(E241:AE241)</f>
        <v>25.1481481481482</v>
      </c>
      <c r="C241" s="2" t="n">
        <f aca="false">MIN(E241:AE241)</f>
        <v>16</v>
      </c>
      <c r="D241" s="18" t="n">
        <f aca="false">MAX(E241:AE241)</f>
        <v>33</v>
      </c>
      <c r="E241" s="19" t="n">
        <v>17</v>
      </c>
      <c r="F241" s="19" t="n">
        <v>26</v>
      </c>
      <c r="G241" s="19" t="n">
        <v>19</v>
      </c>
      <c r="H241" s="19" t="n">
        <v>24</v>
      </c>
      <c r="I241" s="19" t="n">
        <v>28</v>
      </c>
      <c r="J241" s="19" t="n">
        <v>31</v>
      </c>
      <c r="K241" s="19" t="n">
        <v>26</v>
      </c>
      <c r="L241" s="19" t="n">
        <v>27</v>
      </c>
      <c r="M241" s="19" t="n">
        <v>32</v>
      </c>
      <c r="N241" s="19" t="n">
        <v>25</v>
      </c>
      <c r="O241" s="19" t="n">
        <v>27</v>
      </c>
      <c r="P241" s="19" t="n">
        <v>20</v>
      </c>
      <c r="Q241" s="30" t="n">
        <v>28</v>
      </c>
      <c r="R241" s="19" t="n">
        <v>30</v>
      </c>
      <c r="S241" s="19" t="n">
        <v>19</v>
      </c>
      <c r="T241" s="19" t="n">
        <v>33</v>
      </c>
      <c r="U241" s="19" t="n">
        <v>25</v>
      </c>
      <c r="V241" s="19" t="n">
        <v>32</v>
      </c>
      <c r="W241" s="19" t="n">
        <v>30</v>
      </c>
      <c r="X241" s="19" t="n">
        <v>26</v>
      </c>
      <c r="Y241" s="19" t="n">
        <v>22</v>
      </c>
      <c r="Z241" s="19" t="n">
        <v>20</v>
      </c>
      <c r="AA241" s="19" t="n">
        <v>25</v>
      </c>
      <c r="AB241" s="19" t="n">
        <v>18</v>
      </c>
      <c r="AC241" s="19" t="n">
        <v>25</v>
      </c>
      <c r="AD241" s="19" t="n">
        <v>28</v>
      </c>
      <c r="AE241" s="2" t="n">
        <v>16</v>
      </c>
      <c r="AF241" s="19" t="n">
        <v>20</v>
      </c>
      <c r="AG241" s="19"/>
      <c r="AH241" s="19"/>
      <c r="DK241" s="44"/>
    </row>
    <row r="242" customFormat="false" ht="12.75" hidden="false" customHeight="false" outlineLevel="0" collapsed="false">
      <c r="A242" s="16" t="s">
        <v>353</v>
      </c>
      <c r="B242" s="17" t="n">
        <f aca="false">AVERAGE(E242:AE242)</f>
        <v>25.2962962962963</v>
      </c>
      <c r="C242" s="2" t="n">
        <f aca="false">MIN(E242:AE242)</f>
        <v>16</v>
      </c>
      <c r="D242" s="18" t="n">
        <f aca="false">MAX(E242:AE242)</f>
        <v>33</v>
      </c>
      <c r="E242" s="19" t="n">
        <v>17</v>
      </c>
      <c r="F242" s="19" t="n">
        <v>26</v>
      </c>
      <c r="G242" s="30" t="n">
        <v>20</v>
      </c>
      <c r="H242" s="19" t="n">
        <v>24</v>
      </c>
      <c r="I242" s="19" t="n">
        <v>28</v>
      </c>
      <c r="J242" s="19" t="n">
        <v>31</v>
      </c>
      <c r="K242" s="19" t="n">
        <v>26</v>
      </c>
      <c r="L242" s="19" t="n">
        <v>27</v>
      </c>
      <c r="M242" s="19" t="n">
        <v>32</v>
      </c>
      <c r="N242" s="19" t="n">
        <v>25</v>
      </c>
      <c r="O242" s="30" t="n">
        <v>28</v>
      </c>
      <c r="P242" s="19" t="n">
        <v>20</v>
      </c>
      <c r="Q242" s="68" t="n">
        <v>29</v>
      </c>
      <c r="R242" s="19" t="n">
        <v>30</v>
      </c>
      <c r="S242" s="19" t="n">
        <v>19</v>
      </c>
      <c r="T242" s="19" t="n">
        <v>33</v>
      </c>
      <c r="U242" s="30" t="n">
        <v>26</v>
      </c>
      <c r="V242" s="19" t="n">
        <v>32</v>
      </c>
      <c r="W242" s="19" t="n">
        <v>30</v>
      </c>
      <c r="X242" s="19" t="n">
        <v>26</v>
      </c>
      <c r="Y242" s="19" t="n">
        <v>22</v>
      </c>
      <c r="Z242" s="19" t="n">
        <v>20</v>
      </c>
      <c r="AA242" s="19" t="n">
        <v>25</v>
      </c>
      <c r="AB242" s="19" t="n">
        <v>18</v>
      </c>
      <c r="AC242" s="19" t="n">
        <v>25</v>
      </c>
      <c r="AD242" s="19" t="n">
        <v>28</v>
      </c>
      <c r="AE242" s="2" t="n">
        <v>16</v>
      </c>
      <c r="AF242" s="19" t="n">
        <v>20</v>
      </c>
      <c r="AG242" s="19"/>
      <c r="AH242" s="19"/>
      <c r="DK242" s="44"/>
    </row>
    <row r="243" customFormat="false" ht="12.75" hidden="false" customHeight="false" outlineLevel="0" collapsed="false">
      <c r="A243" s="16" t="s">
        <v>354</v>
      </c>
      <c r="B243" s="17" t="n">
        <f aca="false">AVERAGE(E243:AE243)</f>
        <v>25.5185185185185</v>
      </c>
      <c r="C243" s="2" t="n">
        <f aca="false">MIN(E243:AE243)</f>
        <v>16</v>
      </c>
      <c r="D243" s="18" t="n">
        <f aca="false">MAX(E243:AE243)</f>
        <v>33</v>
      </c>
      <c r="E243" s="19" t="n">
        <v>17</v>
      </c>
      <c r="F243" s="19" t="n">
        <v>26</v>
      </c>
      <c r="G243" s="30" t="n">
        <v>21</v>
      </c>
      <c r="H243" s="19" t="n">
        <v>24</v>
      </c>
      <c r="I243" s="19" t="n">
        <v>28</v>
      </c>
      <c r="J243" s="19" t="n">
        <v>32</v>
      </c>
      <c r="K243" s="19" t="n">
        <v>26</v>
      </c>
      <c r="L243" s="19" t="n">
        <v>28</v>
      </c>
      <c r="M243" s="19" t="n">
        <v>32</v>
      </c>
      <c r="N243" s="19" t="n">
        <v>25</v>
      </c>
      <c r="O243" s="30" t="n">
        <v>29</v>
      </c>
      <c r="P243" s="19" t="n">
        <v>20</v>
      </c>
      <c r="Q243" s="19" t="n">
        <v>29</v>
      </c>
      <c r="R243" s="19" t="n">
        <v>30</v>
      </c>
      <c r="S243" s="19" t="n">
        <v>19</v>
      </c>
      <c r="T243" s="19" t="n">
        <v>33</v>
      </c>
      <c r="U243" s="19" t="n">
        <v>26</v>
      </c>
      <c r="V243" s="19" t="n">
        <v>32</v>
      </c>
      <c r="W243" s="19" t="n">
        <v>31</v>
      </c>
      <c r="X243" s="19" t="n">
        <v>26</v>
      </c>
      <c r="Y243" s="19" t="n">
        <v>22</v>
      </c>
      <c r="Z243" s="19" t="n">
        <v>20</v>
      </c>
      <c r="AA243" s="19" t="n">
        <v>25</v>
      </c>
      <c r="AB243" s="123" t="n">
        <v>19</v>
      </c>
      <c r="AC243" s="19" t="n">
        <v>25</v>
      </c>
      <c r="AD243" s="19" t="n">
        <v>28</v>
      </c>
      <c r="AE243" s="2" t="n">
        <v>16</v>
      </c>
      <c r="AF243" s="19" t="n">
        <v>20</v>
      </c>
      <c r="AG243" s="19"/>
      <c r="AH243" s="19"/>
      <c r="DK243" s="44"/>
    </row>
    <row r="244" customFormat="false" ht="12.75" hidden="false" customHeight="false" outlineLevel="0" collapsed="false">
      <c r="A244" s="16" t="s">
        <v>355</v>
      </c>
      <c r="B244" s="17" t="n">
        <f aca="false">AVERAGE(E244:AE244)</f>
        <v>25.6296296296296</v>
      </c>
      <c r="C244" s="2" t="n">
        <f aca="false">MIN(E244:AE244)</f>
        <v>16</v>
      </c>
      <c r="D244" s="18" t="n">
        <f aca="false">MAX(E244:AE244)</f>
        <v>33</v>
      </c>
      <c r="E244" s="19" t="n">
        <v>17</v>
      </c>
      <c r="F244" s="19" t="n">
        <v>26</v>
      </c>
      <c r="G244" s="123" t="n">
        <v>22</v>
      </c>
      <c r="H244" s="19" t="n">
        <v>24</v>
      </c>
      <c r="I244" s="19" t="n">
        <v>28</v>
      </c>
      <c r="J244" s="19" t="n">
        <v>32</v>
      </c>
      <c r="K244" s="19" t="n">
        <v>26</v>
      </c>
      <c r="L244" s="19" t="n">
        <v>29</v>
      </c>
      <c r="M244" s="19" t="n">
        <v>32</v>
      </c>
      <c r="N244" s="19" t="n">
        <v>25</v>
      </c>
      <c r="O244" s="19" t="n">
        <v>29</v>
      </c>
      <c r="P244" s="19" t="n">
        <v>20</v>
      </c>
      <c r="Q244" s="19" t="n">
        <v>29</v>
      </c>
      <c r="R244" s="19" t="n">
        <v>30</v>
      </c>
      <c r="S244" s="19" t="n">
        <v>19</v>
      </c>
      <c r="T244" s="19" t="n">
        <v>33</v>
      </c>
      <c r="U244" s="19" t="n">
        <v>26</v>
      </c>
      <c r="V244" s="19" t="n">
        <v>32</v>
      </c>
      <c r="W244" s="19" t="n">
        <v>31</v>
      </c>
      <c r="X244" s="19" t="n">
        <v>26</v>
      </c>
      <c r="Y244" s="19" t="n">
        <v>22</v>
      </c>
      <c r="Z244" s="19" t="n">
        <v>20</v>
      </c>
      <c r="AA244" s="19" t="n">
        <v>25</v>
      </c>
      <c r="AB244" s="30" t="n">
        <v>20</v>
      </c>
      <c r="AC244" s="19" t="n">
        <v>25</v>
      </c>
      <c r="AD244" s="19" t="n">
        <v>28</v>
      </c>
      <c r="AE244" s="2" t="n">
        <v>16</v>
      </c>
      <c r="AF244" s="19" t="n">
        <v>20</v>
      </c>
      <c r="AG244" s="19"/>
      <c r="AH244" s="19"/>
      <c r="DK244" s="44"/>
    </row>
    <row r="245" customFormat="false" ht="12.75" hidden="false" customHeight="false" outlineLevel="0" collapsed="false">
      <c r="A245" s="16" t="s">
        <v>356</v>
      </c>
      <c r="B245" s="17" t="n">
        <f aca="false">AVERAGE(E245:AE245)</f>
        <v>25.6666666666667</v>
      </c>
      <c r="C245" s="2" t="n">
        <f aca="false">MIN(E245:AE245)</f>
        <v>16</v>
      </c>
      <c r="D245" s="18" t="n">
        <f aca="false">MAX(E245:AE245)</f>
        <v>33</v>
      </c>
      <c r="E245" s="19" t="n">
        <v>17</v>
      </c>
      <c r="F245" s="19" t="n">
        <v>26</v>
      </c>
      <c r="G245" s="19" t="n">
        <v>22</v>
      </c>
      <c r="H245" s="19" t="n">
        <v>24</v>
      </c>
      <c r="I245" s="19" t="n">
        <v>28</v>
      </c>
      <c r="J245" s="19" t="n">
        <v>32</v>
      </c>
      <c r="K245" s="19" t="n">
        <v>26</v>
      </c>
      <c r="L245" s="19" t="n">
        <v>29</v>
      </c>
      <c r="M245" s="19" t="n">
        <v>32</v>
      </c>
      <c r="N245" s="19" t="n">
        <v>25</v>
      </c>
      <c r="O245" s="19" t="n">
        <v>29</v>
      </c>
      <c r="P245" s="19" t="n">
        <v>20</v>
      </c>
      <c r="Q245" s="19" t="n">
        <v>29</v>
      </c>
      <c r="R245" s="19" t="n">
        <v>30</v>
      </c>
      <c r="S245" s="19" t="n">
        <v>19</v>
      </c>
      <c r="T245" s="19" t="n">
        <v>33</v>
      </c>
      <c r="U245" s="19" t="n">
        <v>26</v>
      </c>
      <c r="V245" s="19" t="n">
        <v>32</v>
      </c>
      <c r="W245" s="19" t="n">
        <v>31</v>
      </c>
      <c r="X245" s="19" t="n">
        <v>26</v>
      </c>
      <c r="Y245" s="30" t="n">
        <v>23</v>
      </c>
      <c r="Z245" s="19" t="n">
        <v>20</v>
      </c>
      <c r="AA245" s="19" t="n">
        <v>25</v>
      </c>
      <c r="AB245" s="19" t="n">
        <v>20</v>
      </c>
      <c r="AC245" s="19" t="n">
        <v>25</v>
      </c>
      <c r="AD245" s="19" t="n">
        <v>28</v>
      </c>
      <c r="AE245" s="2" t="n">
        <v>16</v>
      </c>
      <c r="AF245" s="30" t="n">
        <v>21</v>
      </c>
      <c r="AG245" s="19"/>
      <c r="AH245" s="19"/>
      <c r="DK245" s="44"/>
    </row>
    <row r="246" customFormat="false" ht="12.75" hidden="false" customHeight="false" outlineLevel="0" collapsed="false">
      <c r="A246" s="16" t="s">
        <v>357</v>
      </c>
      <c r="B246" s="17" t="n">
        <f aca="false">AVERAGE(E246:AE246)</f>
        <v>25.7777777777778</v>
      </c>
      <c r="C246" s="2" t="n">
        <f aca="false">MIN(E246:AE246)</f>
        <v>16</v>
      </c>
      <c r="D246" s="18" t="n">
        <f aca="false">MAX(E246:AE246)</f>
        <v>33</v>
      </c>
      <c r="E246" s="19" t="n">
        <v>17</v>
      </c>
      <c r="F246" s="19" t="n">
        <v>26</v>
      </c>
      <c r="G246" s="19" t="n">
        <v>22</v>
      </c>
      <c r="H246" s="30" t="n">
        <v>25</v>
      </c>
      <c r="I246" s="19" t="n">
        <v>28</v>
      </c>
      <c r="J246" s="19" t="n">
        <v>32</v>
      </c>
      <c r="K246" s="19" t="n">
        <v>26</v>
      </c>
      <c r="L246" s="19" t="n">
        <v>29</v>
      </c>
      <c r="M246" s="19" t="n">
        <v>32</v>
      </c>
      <c r="N246" s="19" t="n">
        <v>25</v>
      </c>
      <c r="O246" s="19" t="n">
        <v>29</v>
      </c>
      <c r="P246" s="19" t="n">
        <v>20</v>
      </c>
      <c r="Q246" s="19" t="n">
        <v>29</v>
      </c>
      <c r="R246" s="19" t="n">
        <v>30</v>
      </c>
      <c r="S246" s="19" t="n">
        <v>19</v>
      </c>
      <c r="T246" s="19" t="n">
        <v>33</v>
      </c>
      <c r="U246" s="19" t="n">
        <v>26</v>
      </c>
      <c r="V246" s="19" t="n">
        <v>32</v>
      </c>
      <c r="W246" s="19" t="n">
        <v>31</v>
      </c>
      <c r="X246" s="19" t="n">
        <v>26</v>
      </c>
      <c r="Y246" s="19" t="n">
        <v>24</v>
      </c>
      <c r="Z246" s="19" t="n">
        <v>20</v>
      </c>
      <c r="AA246" s="19" t="n">
        <v>26</v>
      </c>
      <c r="AB246" s="19" t="n">
        <v>20</v>
      </c>
      <c r="AC246" s="19" t="n">
        <v>25</v>
      </c>
      <c r="AD246" s="19" t="n">
        <v>28</v>
      </c>
      <c r="AE246" s="2" t="n">
        <v>16</v>
      </c>
      <c r="AF246" s="19" t="n">
        <v>21</v>
      </c>
      <c r="AG246" s="19"/>
      <c r="AH246" s="19"/>
      <c r="DK246" s="44"/>
    </row>
    <row r="247" customFormat="false" ht="12.75" hidden="false" customHeight="false" outlineLevel="0" collapsed="false">
      <c r="A247" s="16" t="s">
        <v>358</v>
      </c>
      <c r="B247" s="17" t="n">
        <f aca="false">AVERAGE(E247:AE247)</f>
        <v>25.9259259259259</v>
      </c>
      <c r="C247" s="2" t="n">
        <f aca="false">MIN(E247:AE247)</f>
        <v>16</v>
      </c>
      <c r="D247" s="18" t="n">
        <f aca="false">MAX(E247:AE247)</f>
        <v>34</v>
      </c>
      <c r="E247" s="19" t="n">
        <v>17</v>
      </c>
      <c r="F247" s="19" t="n">
        <v>26</v>
      </c>
      <c r="G247" s="19" t="n">
        <v>22</v>
      </c>
      <c r="H247" s="19" t="n">
        <v>25</v>
      </c>
      <c r="I247" s="19" t="n">
        <v>28</v>
      </c>
      <c r="J247" s="30" t="n">
        <v>33</v>
      </c>
      <c r="K247" s="19" t="n">
        <v>26</v>
      </c>
      <c r="L247" s="19" t="n">
        <v>29</v>
      </c>
      <c r="M247" s="19" t="n">
        <v>32</v>
      </c>
      <c r="N247" s="19" t="n">
        <v>25</v>
      </c>
      <c r="O247" s="19" t="n">
        <v>29</v>
      </c>
      <c r="P247" s="19" t="n">
        <v>20</v>
      </c>
      <c r="Q247" s="19" t="n">
        <v>29</v>
      </c>
      <c r="R247" s="19" t="n">
        <v>31</v>
      </c>
      <c r="S247" s="19" t="n">
        <v>19</v>
      </c>
      <c r="T247" s="19" t="n">
        <v>34</v>
      </c>
      <c r="U247" s="19" t="n">
        <v>26</v>
      </c>
      <c r="V247" s="19" t="n">
        <v>32</v>
      </c>
      <c r="W247" s="19" t="n">
        <v>31</v>
      </c>
      <c r="X247" s="19" t="n">
        <v>26</v>
      </c>
      <c r="Y247" s="19" t="n">
        <v>24</v>
      </c>
      <c r="Z247" s="19" t="n">
        <v>20</v>
      </c>
      <c r="AA247" s="19" t="n">
        <v>26</v>
      </c>
      <c r="AB247" s="19" t="n">
        <v>20</v>
      </c>
      <c r="AC247" s="19" t="n">
        <v>25</v>
      </c>
      <c r="AD247" s="30" t="n">
        <v>29</v>
      </c>
      <c r="AE247" s="2" t="n">
        <v>16</v>
      </c>
      <c r="AF247" s="19" t="n">
        <v>21</v>
      </c>
      <c r="AG247" s="19"/>
      <c r="AH247" s="19"/>
      <c r="DK247" s="44"/>
    </row>
    <row r="248" customFormat="false" ht="12.75" hidden="false" customHeight="false" outlineLevel="0" collapsed="false">
      <c r="A248" s="16" t="s">
        <v>359</v>
      </c>
      <c r="B248" s="17" t="n">
        <f aca="false">AVERAGE(E248:AE248)</f>
        <v>26</v>
      </c>
      <c r="C248" s="2" t="n">
        <f aca="false">MIN(E248:AE248)</f>
        <v>16</v>
      </c>
      <c r="D248" s="18" t="n">
        <f aca="false">MAX(E248:AE248)</f>
        <v>34</v>
      </c>
      <c r="E248" s="19" t="n">
        <v>17</v>
      </c>
      <c r="F248" s="19" t="n">
        <v>27</v>
      </c>
      <c r="G248" s="19" t="n">
        <v>22</v>
      </c>
      <c r="H248" s="19" t="n">
        <v>25</v>
      </c>
      <c r="I248" s="19" t="n">
        <v>29</v>
      </c>
      <c r="J248" s="19" t="n">
        <v>33</v>
      </c>
      <c r="K248" s="19" t="n">
        <v>26</v>
      </c>
      <c r="L248" s="19" t="n">
        <v>29</v>
      </c>
      <c r="M248" s="19" t="n">
        <v>32</v>
      </c>
      <c r="N248" s="19" t="n">
        <v>25</v>
      </c>
      <c r="O248" s="19" t="n">
        <v>29</v>
      </c>
      <c r="P248" s="19" t="n">
        <v>20</v>
      </c>
      <c r="Q248" s="19" t="n">
        <v>29</v>
      </c>
      <c r="R248" s="19" t="n">
        <v>31</v>
      </c>
      <c r="S248" s="19" t="n">
        <v>19</v>
      </c>
      <c r="T248" s="19" t="n">
        <v>34</v>
      </c>
      <c r="U248" s="19" t="n">
        <v>26</v>
      </c>
      <c r="V248" s="19" t="n">
        <v>32</v>
      </c>
      <c r="W248" s="19" t="n">
        <v>31</v>
      </c>
      <c r="X248" s="19" t="n">
        <v>26</v>
      </c>
      <c r="Y248" s="19" t="n">
        <v>24</v>
      </c>
      <c r="Z248" s="19" t="n">
        <v>20</v>
      </c>
      <c r="AA248" s="19" t="n">
        <v>26</v>
      </c>
      <c r="AB248" s="19" t="n">
        <v>20</v>
      </c>
      <c r="AC248" s="19" t="n">
        <v>25</v>
      </c>
      <c r="AD248" s="19" t="n">
        <v>29</v>
      </c>
      <c r="AE248" s="2" t="n">
        <v>16</v>
      </c>
      <c r="AF248" s="19" t="n">
        <v>22</v>
      </c>
      <c r="AG248" s="19"/>
      <c r="AH248" s="19"/>
      <c r="DK248" s="44"/>
    </row>
    <row r="249" customFormat="false" ht="12.75" hidden="false" customHeight="false" outlineLevel="0" collapsed="false">
      <c r="A249" s="16" t="s">
        <v>360</v>
      </c>
      <c r="B249" s="17" t="n">
        <f aca="false">AVERAGE(E249:AE249)</f>
        <v>26.1111111111111</v>
      </c>
      <c r="C249" s="2" t="n">
        <f aca="false">MIN(E249:AE249)</f>
        <v>16</v>
      </c>
      <c r="D249" s="18" t="n">
        <f aca="false">MAX(E249:AE249)</f>
        <v>34</v>
      </c>
      <c r="E249" s="19" t="n">
        <v>17</v>
      </c>
      <c r="F249" s="19" t="n">
        <v>27</v>
      </c>
      <c r="G249" s="19" t="n">
        <v>22</v>
      </c>
      <c r="H249" s="30" t="n">
        <v>26</v>
      </c>
      <c r="I249" s="19" t="n">
        <v>29</v>
      </c>
      <c r="J249" s="19" t="n">
        <v>33</v>
      </c>
      <c r="K249" s="19" t="n">
        <v>26</v>
      </c>
      <c r="L249" s="19" t="n">
        <v>29</v>
      </c>
      <c r="M249" s="19" t="n">
        <v>32</v>
      </c>
      <c r="N249" s="19" t="n">
        <v>25</v>
      </c>
      <c r="O249" s="19" t="n">
        <v>29</v>
      </c>
      <c r="P249" s="19" t="n">
        <v>20</v>
      </c>
      <c r="Q249" s="19" t="n">
        <v>29</v>
      </c>
      <c r="R249" s="19" t="n">
        <v>31</v>
      </c>
      <c r="S249" s="19" t="n">
        <v>19</v>
      </c>
      <c r="T249" s="19" t="n">
        <v>34</v>
      </c>
      <c r="U249" s="30" t="n">
        <v>27</v>
      </c>
      <c r="V249" s="19" t="n">
        <v>32</v>
      </c>
      <c r="W249" s="19" t="n">
        <v>31</v>
      </c>
      <c r="X249" s="19" t="n">
        <v>26</v>
      </c>
      <c r="Y249" s="19" t="n">
        <v>25</v>
      </c>
      <c r="Z249" s="19" t="n">
        <v>20</v>
      </c>
      <c r="AA249" s="19" t="n">
        <v>26</v>
      </c>
      <c r="AB249" s="19" t="n">
        <v>20</v>
      </c>
      <c r="AC249" s="19" t="n">
        <v>25</v>
      </c>
      <c r="AD249" s="19" t="n">
        <v>29</v>
      </c>
      <c r="AE249" s="2" t="n">
        <v>16</v>
      </c>
      <c r="AF249" s="19"/>
      <c r="AG249" s="19"/>
      <c r="AH249" s="19"/>
      <c r="DK249" s="44"/>
    </row>
    <row r="250" customFormat="false" ht="12.75" hidden="false" customHeight="false" outlineLevel="0" collapsed="false">
      <c r="A250" s="16" t="s">
        <v>361</v>
      </c>
      <c r="B250" s="17" t="n">
        <f aca="false">AVERAGE(E250:AE250)</f>
        <v>26.1481481481482</v>
      </c>
      <c r="C250" s="2" t="n">
        <f aca="false">MIN(E250:AE250)</f>
        <v>17</v>
      </c>
      <c r="D250" s="18" t="n">
        <f aca="false">MAX(E250:AE250)</f>
        <v>34</v>
      </c>
      <c r="E250" s="19" t="n">
        <v>17</v>
      </c>
      <c r="F250" s="19" t="n">
        <v>27</v>
      </c>
      <c r="G250" s="19" t="n">
        <v>22</v>
      </c>
      <c r="H250" s="19" t="n">
        <v>26</v>
      </c>
      <c r="I250" s="19" t="n">
        <v>29</v>
      </c>
      <c r="J250" s="19" t="n">
        <v>33</v>
      </c>
      <c r="K250" s="19" t="n">
        <v>26</v>
      </c>
      <c r="L250" s="19" t="n">
        <v>29</v>
      </c>
      <c r="M250" s="19" t="n">
        <v>32</v>
      </c>
      <c r="N250" s="19" t="n">
        <v>25</v>
      </c>
      <c r="O250" s="19" t="n">
        <v>29</v>
      </c>
      <c r="P250" s="19" t="n">
        <v>20</v>
      </c>
      <c r="Q250" s="19" t="n">
        <v>29</v>
      </c>
      <c r="R250" s="19" t="n">
        <v>31</v>
      </c>
      <c r="S250" s="19" t="n">
        <v>19</v>
      </c>
      <c r="T250" s="19" t="n">
        <v>34</v>
      </c>
      <c r="U250" s="19" t="n">
        <v>27</v>
      </c>
      <c r="V250" s="19" t="n">
        <v>32</v>
      </c>
      <c r="W250" s="19" t="n">
        <v>31</v>
      </c>
      <c r="X250" s="19" t="n">
        <v>26</v>
      </c>
      <c r="Y250" s="19" t="n">
        <v>25</v>
      </c>
      <c r="Z250" s="19" t="n">
        <v>20</v>
      </c>
      <c r="AA250" s="19" t="n">
        <v>26</v>
      </c>
      <c r="AB250" s="19" t="n">
        <v>20</v>
      </c>
      <c r="AC250" s="19" t="n">
        <v>25</v>
      </c>
      <c r="AD250" s="19" t="n">
        <v>29</v>
      </c>
      <c r="AE250" s="126" t="n">
        <v>17</v>
      </c>
      <c r="AF250" s="19"/>
      <c r="AG250" s="19"/>
      <c r="AH250" s="19"/>
      <c r="DK250" s="44"/>
    </row>
    <row r="251" customFormat="false" ht="12.75" hidden="false" customHeight="false" outlineLevel="0" collapsed="false">
      <c r="A251" s="16" t="s">
        <v>362</v>
      </c>
      <c r="B251" s="17" t="n">
        <f aca="false">AVERAGE(E251:AE251)</f>
        <v>26.1851851851852</v>
      </c>
      <c r="C251" s="2" t="n">
        <f aca="false">MIN(E251:AE251)</f>
        <v>17</v>
      </c>
      <c r="D251" s="18" t="n">
        <f aca="false">MAX(E251:AE251)</f>
        <v>34</v>
      </c>
      <c r="E251" s="19" t="n">
        <v>17</v>
      </c>
      <c r="F251" s="19" t="n">
        <v>27</v>
      </c>
      <c r="G251" s="19" t="n">
        <v>22</v>
      </c>
      <c r="H251" s="19" t="n">
        <v>26</v>
      </c>
      <c r="I251" s="19" t="n">
        <v>29</v>
      </c>
      <c r="J251" s="19" t="n">
        <v>33</v>
      </c>
      <c r="K251" s="19" t="n">
        <v>26</v>
      </c>
      <c r="L251" s="19" t="n">
        <v>29</v>
      </c>
      <c r="M251" s="19" t="n">
        <v>32</v>
      </c>
      <c r="N251" s="19" t="n">
        <v>25</v>
      </c>
      <c r="O251" s="19" t="n">
        <v>29</v>
      </c>
      <c r="P251" s="19" t="n">
        <v>20</v>
      </c>
      <c r="Q251" s="19" t="n">
        <v>29</v>
      </c>
      <c r="R251" s="19" t="n">
        <v>31</v>
      </c>
      <c r="S251" s="19" t="n">
        <v>19</v>
      </c>
      <c r="T251" s="19" t="n">
        <v>34</v>
      </c>
      <c r="U251" s="19" t="n">
        <v>27</v>
      </c>
      <c r="V251" s="19" t="n">
        <v>32</v>
      </c>
      <c r="W251" s="19" t="n">
        <v>31</v>
      </c>
      <c r="X251" s="19" t="n">
        <v>26</v>
      </c>
      <c r="Y251" s="19" t="n">
        <v>25</v>
      </c>
      <c r="Z251" s="19" t="n">
        <v>20</v>
      </c>
      <c r="AA251" s="19" t="n">
        <v>26</v>
      </c>
      <c r="AB251" s="19" t="n">
        <v>20</v>
      </c>
      <c r="AC251" s="19" t="n">
        <v>25</v>
      </c>
      <c r="AD251" s="30" t="n">
        <v>30</v>
      </c>
      <c r="AE251" s="2" t="n">
        <v>17</v>
      </c>
      <c r="AF251" s="19"/>
      <c r="AG251" s="19"/>
      <c r="AH251" s="19"/>
      <c r="DK251" s="44"/>
    </row>
    <row r="252" customFormat="false" ht="12.75" hidden="false" customHeight="false" outlineLevel="0" collapsed="false">
      <c r="A252" s="16" t="s">
        <v>363</v>
      </c>
      <c r="B252" s="17" t="n">
        <f aca="false">AVERAGE(E252:AE252)</f>
        <v>26.2222222222222</v>
      </c>
      <c r="C252" s="2" t="n">
        <f aca="false">MIN(E252:AE252)</f>
        <v>17</v>
      </c>
      <c r="D252" s="18" t="n">
        <f aca="false">MAX(E252:AE252)</f>
        <v>34</v>
      </c>
      <c r="E252" s="19" t="n">
        <v>17</v>
      </c>
      <c r="F252" s="19" t="n">
        <v>27</v>
      </c>
      <c r="G252" s="19" t="n">
        <v>22</v>
      </c>
      <c r="H252" s="19" t="n">
        <v>26</v>
      </c>
      <c r="I252" s="19" t="n">
        <v>29</v>
      </c>
      <c r="J252" s="19" t="n">
        <v>33</v>
      </c>
      <c r="K252" s="19" t="n">
        <v>26</v>
      </c>
      <c r="L252" s="19" t="n">
        <v>29</v>
      </c>
      <c r="M252" s="19" t="n">
        <v>32</v>
      </c>
      <c r="N252" s="19" t="n">
        <v>25</v>
      </c>
      <c r="O252" s="19" t="n">
        <v>29</v>
      </c>
      <c r="P252" s="19" t="n">
        <v>20</v>
      </c>
      <c r="Q252" s="19" t="n">
        <v>29</v>
      </c>
      <c r="R252" s="19" t="n">
        <v>31</v>
      </c>
      <c r="S252" s="19" t="n">
        <v>19</v>
      </c>
      <c r="T252" s="19" t="n">
        <v>34</v>
      </c>
      <c r="U252" s="19" t="n">
        <v>27</v>
      </c>
      <c r="V252" s="30" t="n">
        <v>33</v>
      </c>
      <c r="W252" s="19" t="n">
        <v>31</v>
      </c>
      <c r="X252" s="19" t="n">
        <v>26</v>
      </c>
      <c r="Y252" s="19" t="n">
        <v>25</v>
      </c>
      <c r="Z252" s="19" t="n">
        <v>20</v>
      </c>
      <c r="AA252" s="19" t="n">
        <v>26</v>
      </c>
      <c r="AB252" s="19" t="n">
        <v>20</v>
      </c>
      <c r="AC252" s="19" t="n">
        <v>25</v>
      </c>
      <c r="AD252" s="19" t="n">
        <v>30</v>
      </c>
      <c r="AE252" s="2" t="n">
        <v>17</v>
      </c>
      <c r="AF252" s="19"/>
      <c r="AG252" s="19"/>
      <c r="AH252" s="19"/>
      <c r="DK252" s="44"/>
    </row>
    <row r="253" customFormat="false" ht="12.75" hidden="false" customHeight="false" outlineLevel="0" collapsed="false">
      <c r="A253" s="16" t="s">
        <v>364</v>
      </c>
      <c r="B253" s="17" t="n">
        <f aca="false">AVERAGE(E253:AE253)</f>
        <v>26.3333333333333</v>
      </c>
      <c r="C253" s="2" t="n">
        <f aca="false">MIN(E253:AE253)</f>
        <v>17</v>
      </c>
      <c r="D253" s="18" t="n">
        <f aca="false">MAX(E253:AE253)</f>
        <v>34</v>
      </c>
      <c r="E253" s="19" t="n">
        <v>17</v>
      </c>
      <c r="F253" s="19" t="n">
        <v>27</v>
      </c>
      <c r="G253" s="19" t="n">
        <v>22</v>
      </c>
      <c r="H253" s="19" t="n">
        <v>27</v>
      </c>
      <c r="I253" s="19" t="n">
        <v>29</v>
      </c>
      <c r="J253" s="19" t="n">
        <v>33</v>
      </c>
      <c r="K253" s="19" t="n">
        <v>26</v>
      </c>
      <c r="L253" s="19" t="n">
        <v>29</v>
      </c>
      <c r="M253" s="19" t="n">
        <v>32</v>
      </c>
      <c r="N253" s="19" t="n">
        <v>25</v>
      </c>
      <c r="O253" s="19" t="n">
        <v>29</v>
      </c>
      <c r="P253" s="19" t="n">
        <v>20</v>
      </c>
      <c r="Q253" s="19" t="n">
        <v>30</v>
      </c>
      <c r="R253" s="19" t="n">
        <v>31</v>
      </c>
      <c r="S253" s="19" t="n">
        <v>19</v>
      </c>
      <c r="T253" s="19" t="n">
        <v>34</v>
      </c>
      <c r="U253" s="19" t="n">
        <v>27</v>
      </c>
      <c r="V253" s="19" t="n">
        <v>33</v>
      </c>
      <c r="W253" s="19" t="n">
        <v>31</v>
      </c>
      <c r="X253" s="19" t="n">
        <v>26</v>
      </c>
      <c r="Y253" s="19" t="n">
        <v>25</v>
      </c>
      <c r="Z253" s="19" t="n">
        <v>21</v>
      </c>
      <c r="AA253" s="19" t="n">
        <v>26</v>
      </c>
      <c r="AB253" s="19" t="n">
        <v>20</v>
      </c>
      <c r="AC253" s="19" t="n">
        <v>25</v>
      </c>
      <c r="AD253" s="19" t="n">
        <v>30</v>
      </c>
      <c r="AE253" s="2" t="n">
        <v>17</v>
      </c>
      <c r="AF253" s="19"/>
      <c r="AG253" s="19"/>
      <c r="AH253" s="19"/>
      <c r="DK253" s="44"/>
    </row>
    <row r="254" customFormat="false" ht="12.75" hidden="false" customHeight="false" outlineLevel="0" collapsed="false">
      <c r="A254" s="16" t="s">
        <v>365</v>
      </c>
      <c r="B254" s="17" t="n">
        <f aca="false">AVERAGE(E254:AE254)</f>
        <v>26.4444444444444</v>
      </c>
      <c r="C254" s="2" t="n">
        <f aca="false">MIN(E254:AE254)</f>
        <v>17</v>
      </c>
      <c r="D254" s="18" t="n">
        <f aca="false">MAX(E254:AE254)</f>
        <v>35</v>
      </c>
      <c r="E254" s="19" t="n">
        <v>17</v>
      </c>
      <c r="F254" s="19" t="n">
        <v>27</v>
      </c>
      <c r="G254" s="19" t="n">
        <v>22</v>
      </c>
      <c r="H254" s="30" t="n">
        <v>28</v>
      </c>
      <c r="I254" s="19" t="n">
        <v>29</v>
      </c>
      <c r="J254" s="19" t="n">
        <v>33</v>
      </c>
      <c r="K254" s="19" t="n">
        <v>26</v>
      </c>
      <c r="L254" s="19" t="n">
        <v>29</v>
      </c>
      <c r="M254" s="19" t="n">
        <v>32</v>
      </c>
      <c r="N254" s="19" t="n">
        <v>25</v>
      </c>
      <c r="O254" s="19" t="n">
        <v>29</v>
      </c>
      <c r="P254" s="19" t="n">
        <v>20</v>
      </c>
      <c r="Q254" s="19" t="n">
        <v>30</v>
      </c>
      <c r="R254" s="19" t="n">
        <v>31</v>
      </c>
      <c r="S254" s="19" t="n">
        <v>19</v>
      </c>
      <c r="T254" s="19" t="n">
        <v>35</v>
      </c>
      <c r="U254" s="19" t="n">
        <v>27</v>
      </c>
      <c r="V254" s="19" t="n">
        <v>33</v>
      </c>
      <c r="W254" s="19" t="n">
        <v>31</v>
      </c>
      <c r="X254" s="19" t="n">
        <v>26</v>
      </c>
      <c r="Y254" s="19" t="n">
        <v>25</v>
      </c>
      <c r="Z254" s="19" t="n">
        <v>21</v>
      </c>
      <c r="AA254" s="19" t="n">
        <v>26</v>
      </c>
      <c r="AB254" s="30" t="n">
        <v>21</v>
      </c>
      <c r="AC254" s="19" t="n">
        <v>25</v>
      </c>
      <c r="AD254" s="19" t="n">
        <v>30</v>
      </c>
      <c r="AE254" s="2" t="n">
        <v>17</v>
      </c>
      <c r="AF254" s="19"/>
      <c r="AG254" s="19"/>
      <c r="AH254" s="19"/>
      <c r="DK254" s="44"/>
    </row>
    <row r="255" customFormat="false" ht="12.75" hidden="false" customHeight="false" outlineLevel="0" collapsed="false">
      <c r="A255" s="16" t="s">
        <v>366</v>
      </c>
      <c r="B255" s="17" t="n">
        <f aca="false">AVERAGE(E255:AE255)</f>
        <v>26.5185185185185</v>
      </c>
      <c r="C255" s="2" t="n">
        <f aca="false">MIN(E255:AE255)</f>
        <v>17</v>
      </c>
      <c r="D255" s="18" t="n">
        <f aca="false">MAX(E255:AE255)</f>
        <v>36</v>
      </c>
      <c r="E255" s="19" t="n">
        <v>17</v>
      </c>
      <c r="F255" s="19" t="n">
        <v>27</v>
      </c>
      <c r="G255" s="19" t="n">
        <v>22</v>
      </c>
      <c r="H255" s="19" t="n">
        <v>28</v>
      </c>
      <c r="I255" s="19" t="n">
        <v>29</v>
      </c>
      <c r="J255" s="19" t="n">
        <v>33</v>
      </c>
      <c r="K255" s="19" t="n">
        <v>26</v>
      </c>
      <c r="L255" s="19" t="n">
        <v>29</v>
      </c>
      <c r="M255" s="19" t="n">
        <v>32</v>
      </c>
      <c r="N255" s="19" t="n">
        <v>25</v>
      </c>
      <c r="O255" s="19" t="n">
        <v>29</v>
      </c>
      <c r="P255" s="19" t="n">
        <v>20</v>
      </c>
      <c r="Q255" s="19" t="n">
        <v>30</v>
      </c>
      <c r="R255" s="19" t="n">
        <v>31</v>
      </c>
      <c r="S255" s="19" t="n">
        <v>19</v>
      </c>
      <c r="T255" s="30" t="n">
        <v>36</v>
      </c>
      <c r="U255" s="19" t="n">
        <v>27</v>
      </c>
      <c r="V255" s="19" t="n">
        <v>33</v>
      </c>
      <c r="W255" s="19" t="n">
        <v>31</v>
      </c>
      <c r="X255" s="19" t="n">
        <v>26</v>
      </c>
      <c r="Y255" s="19" t="n">
        <v>25</v>
      </c>
      <c r="Z255" s="19" t="n">
        <v>21</v>
      </c>
      <c r="AA255" s="19" t="n">
        <v>26</v>
      </c>
      <c r="AB255" s="19" t="n">
        <v>22</v>
      </c>
      <c r="AC255" s="19" t="n">
        <v>25</v>
      </c>
      <c r="AD255" s="19" t="n">
        <v>30</v>
      </c>
      <c r="AE255" s="2" t="n">
        <v>17</v>
      </c>
      <c r="AF255" s="19"/>
      <c r="AG255" s="19"/>
      <c r="AH255" s="19"/>
      <c r="DK255" s="44"/>
    </row>
    <row r="256" customFormat="false" ht="12.75" hidden="false" customHeight="false" outlineLevel="0" collapsed="false">
      <c r="A256" s="16" t="s">
        <v>367</v>
      </c>
      <c r="B256" s="17" t="n">
        <f aca="false">AVERAGE(E256:AE256)</f>
        <v>26.5925925925926</v>
      </c>
      <c r="C256" s="2" t="n">
        <f aca="false">MIN(E256:AE256)</f>
        <v>17</v>
      </c>
      <c r="D256" s="18" t="n">
        <f aca="false">MAX(E256:AE256)</f>
        <v>37</v>
      </c>
      <c r="E256" s="19" t="n">
        <v>17</v>
      </c>
      <c r="F256" s="19" t="n">
        <v>27</v>
      </c>
      <c r="G256" s="19" t="n">
        <v>22</v>
      </c>
      <c r="H256" s="19" t="n">
        <v>28</v>
      </c>
      <c r="I256" s="19" t="n">
        <v>29</v>
      </c>
      <c r="J256" s="19" t="n">
        <v>33</v>
      </c>
      <c r="K256" s="19" t="n">
        <v>26</v>
      </c>
      <c r="L256" s="19" t="n">
        <v>29</v>
      </c>
      <c r="M256" s="19" t="n">
        <v>32</v>
      </c>
      <c r="N256" s="19" t="n">
        <v>26</v>
      </c>
      <c r="O256" s="19" t="n">
        <v>29</v>
      </c>
      <c r="P256" s="19" t="n">
        <v>20</v>
      </c>
      <c r="Q256" s="19" t="n">
        <v>30</v>
      </c>
      <c r="R256" s="19" t="n">
        <v>31</v>
      </c>
      <c r="S256" s="19" t="n">
        <v>19</v>
      </c>
      <c r="T256" s="19" t="n">
        <v>37</v>
      </c>
      <c r="U256" s="19" t="n">
        <v>27</v>
      </c>
      <c r="V256" s="19" t="n">
        <v>33</v>
      </c>
      <c r="W256" s="19" t="n">
        <v>31</v>
      </c>
      <c r="X256" s="19" t="n">
        <v>26</v>
      </c>
      <c r="Y256" s="19" t="n">
        <v>25</v>
      </c>
      <c r="Z256" s="19" t="n">
        <v>21</v>
      </c>
      <c r="AA256" s="19" t="n">
        <v>26</v>
      </c>
      <c r="AB256" s="19" t="n">
        <v>22</v>
      </c>
      <c r="AC256" s="19" t="n">
        <v>25</v>
      </c>
      <c r="AD256" s="19" t="n">
        <v>30</v>
      </c>
      <c r="AE256" s="2" t="n">
        <v>17</v>
      </c>
      <c r="AF256" s="19"/>
      <c r="AG256" s="19"/>
      <c r="AH256" s="19"/>
      <c r="DK256" s="44"/>
    </row>
    <row r="257" customFormat="false" ht="12.75" hidden="false" customHeight="false" outlineLevel="0" collapsed="false">
      <c r="A257" s="16" t="s">
        <v>368</v>
      </c>
      <c r="B257" s="17" t="n">
        <f aca="false">AVERAGE(E257:AE257)</f>
        <v>26.6666666666667</v>
      </c>
      <c r="C257" s="2" t="n">
        <f aca="false">MIN(E257:AE257)</f>
        <v>17</v>
      </c>
      <c r="D257" s="18" t="n">
        <f aca="false">MAX(E257:AE257)</f>
        <v>37</v>
      </c>
      <c r="E257" s="19" t="n">
        <v>17</v>
      </c>
      <c r="F257" s="19" t="n">
        <v>27</v>
      </c>
      <c r="G257" s="19" t="n">
        <v>22</v>
      </c>
      <c r="H257" s="19" t="n">
        <v>28</v>
      </c>
      <c r="I257" s="19" t="n">
        <v>29</v>
      </c>
      <c r="J257" s="19" t="n">
        <v>33</v>
      </c>
      <c r="K257" s="19" t="n">
        <v>26</v>
      </c>
      <c r="L257" s="19" t="n">
        <v>29</v>
      </c>
      <c r="M257" s="19" t="n">
        <v>32</v>
      </c>
      <c r="N257" s="19" t="n">
        <v>26</v>
      </c>
      <c r="O257" s="19" t="n">
        <v>29</v>
      </c>
      <c r="P257" s="19" t="n">
        <v>20</v>
      </c>
      <c r="Q257" s="19" t="n">
        <v>30</v>
      </c>
      <c r="R257" s="19" t="n">
        <v>31</v>
      </c>
      <c r="S257" s="19" t="n">
        <v>20</v>
      </c>
      <c r="T257" s="19" t="n">
        <v>37</v>
      </c>
      <c r="U257" s="19" t="n">
        <v>27</v>
      </c>
      <c r="V257" s="19" t="n">
        <v>33</v>
      </c>
      <c r="W257" s="19" t="n">
        <v>31</v>
      </c>
      <c r="X257" s="19" t="n">
        <v>26</v>
      </c>
      <c r="Y257" s="19" t="n">
        <v>25</v>
      </c>
      <c r="Z257" s="19" t="n">
        <v>21</v>
      </c>
      <c r="AA257" s="19" t="n">
        <v>26</v>
      </c>
      <c r="AB257" s="19" t="n">
        <v>23</v>
      </c>
      <c r="AC257" s="19" t="n">
        <v>25</v>
      </c>
      <c r="AD257" s="19" t="n">
        <v>30</v>
      </c>
      <c r="AE257" s="2" t="n">
        <v>17</v>
      </c>
      <c r="AF257" s="19"/>
      <c r="AG257" s="19"/>
      <c r="AH257" s="19"/>
      <c r="DK257" s="44"/>
    </row>
    <row r="258" customFormat="false" ht="12.75" hidden="false" customHeight="false" outlineLevel="0" collapsed="false">
      <c r="A258" s="16" t="s">
        <v>369</v>
      </c>
      <c r="B258" s="17" t="n">
        <f aca="false">AVERAGE(E258:AE258)</f>
        <v>26.8148148148148</v>
      </c>
      <c r="C258" s="2" t="n">
        <f aca="false">MIN(E258:AE258)</f>
        <v>17</v>
      </c>
      <c r="D258" s="18" t="n">
        <f aca="false">MAX(E258:AE258)</f>
        <v>37</v>
      </c>
      <c r="E258" s="19" t="n">
        <v>17</v>
      </c>
      <c r="F258" s="19" t="n">
        <v>27</v>
      </c>
      <c r="G258" s="19" t="n">
        <v>22</v>
      </c>
      <c r="H258" s="19" t="n">
        <v>29</v>
      </c>
      <c r="I258" s="19" t="n">
        <v>29</v>
      </c>
      <c r="J258" s="19" t="n">
        <v>33</v>
      </c>
      <c r="K258" s="19" t="n">
        <v>27</v>
      </c>
      <c r="L258" s="19" t="n">
        <v>29</v>
      </c>
      <c r="M258" s="19" t="n">
        <v>32</v>
      </c>
      <c r="N258" s="19" t="n">
        <v>26</v>
      </c>
      <c r="O258" s="19" t="n">
        <v>29</v>
      </c>
      <c r="P258" s="19" t="n">
        <v>20</v>
      </c>
      <c r="Q258" s="19" t="n">
        <v>30</v>
      </c>
      <c r="R258" s="30" t="n">
        <v>32</v>
      </c>
      <c r="S258" s="19" t="n">
        <v>20</v>
      </c>
      <c r="T258" s="19" t="n">
        <v>37</v>
      </c>
      <c r="U258" s="19" t="n">
        <v>27</v>
      </c>
      <c r="V258" s="19" t="n">
        <v>33</v>
      </c>
      <c r="W258" s="19" t="n">
        <v>31</v>
      </c>
      <c r="X258" s="19" t="n">
        <v>26</v>
      </c>
      <c r="Y258" s="19" t="n">
        <v>25</v>
      </c>
      <c r="Z258" s="19" t="n">
        <v>21</v>
      </c>
      <c r="AA258" s="19" t="n">
        <v>26</v>
      </c>
      <c r="AB258" s="30" t="n">
        <v>24</v>
      </c>
      <c r="AC258" s="19" t="n">
        <v>25</v>
      </c>
      <c r="AD258" s="19" t="n">
        <v>30</v>
      </c>
      <c r="AE258" s="2" t="n">
        <v>17</v>
      </c>
      <c r="AF258" s="19"/>
      <c r="AG258" s="19"/>
      <c r="AH258" s="19"/>
      <c r="DK258" s="44"/>
    </row>
    <row r="259" customFormat="false" ht="12.75" hidden="false" customHeight="false" outlineLevel="0" collapsed="false">
      <c r="A259" s="16" t="s">
        <v>370</v>
      </c>
      <c r="B259" s="17" t="n">
        <f aca="false">AVERAGE(E259:AE259)</f>
        <v>26.9259259259259</v>
      </c>
      <c r="C259" s="2" t="n">
        <f aca="false">MIN(E259:AE259)</f>
        <v>17</v>
      </c>
      <c r="D259" s="18" t="n">
        <f aca="false">MAX(E259:AE259)</f>
        <v>37</v>
      </c>
      <c r="E259" s="19" t="n">
        <v>17</v>
      </c>
      <c r="F259" s="19" t="n">
        <v>27</v>
      </c>
      <c r="G259" s="19" t="n">
        <v>22</v>
      </c>
      <c r="H259" s="19" t="n">
        <v>29</v>
      </c>
      <c r="I259" s="19" t="n">
        <v>29</v>
      </c>
      <c r="J259" s="19" t="n">
        <v>33</v>
      </c>
      <c r="K259" s="19" t="n">
        <v>27</v>
      </c>
      <c r="L259" s="19" t="n">
        <v>29</v>
      </c>
      <c r="M259" s="19" t="n">
        <v>32</v>
      </c>
      <c r="N259" s="19" t="n">
        <v>26</v>
      </c>
      <c r="O259" s="19" t="n">
        <v>29</v>
      </c>
      <c r="P259" s="19" t="n">
        <v>20</v>
      </c>
      <c r="Q259" s="68" t="n">
        <v>31</v>
      </c>
      <c r="R259" s="19" t="n">
        <v>33</v>
      </c>
      <c r="S259" s="19" t="n">
        <v>20</v>
      </c>
      <c r="T259" s="19" t="n">
        <v>37</v>
      </c>
      <c r="U259" s="19" t="n">
        <v>27</v>
      </c>
      <c r="V259" s="19" t="n">
        <v>33</v>
      </c>
      <c r="W259" s="19" t="n">
        <v>31</v>
      </c>
      <c r="X259" s="19" t="n">
        <v>26</v>
      </c>
      <c r="Y259" s="19" t="n">
        <v>25</v>
      </c>
      <c r="Z259" s="19" t="n">
        <v>21</v>
      </c>
      <c r="AA259" s="30" t="n">
        <v>27</v>
      </c>
      <c r="AB259" s="19" t="n">
        <v>24</v>
      </c>
      <c r="AC259" s="19" t="n">
        <v>25</v>
      </c>
      <c r="AD259" s="19" t="n">
        <v>30</v>
      </c>
      <c r="AE259" s="2" t="n">
        <v>17</v>
      </c>
      <c r="AF259" s="19"/>
      <c r="AG259" s="19"/>
      <c r="AH259" s="19"/>
      <c r="DK259" s="44"/>
    </row>
    <row r="260" customFormat="false" ht="12.75" hidden="false" customHeight="false" outlineLevel="0" collapsed="false">
      <c r="A260" s="16" t="s">
        <v>371</v>
      </c>
      <c r="B260" s="17" t="n">
        <f aca="false">AVERAGE(E260:AE260)</f>
        <v>26.9259259259259</v>
      </c>
      <c r="C260" s="2" t="n">
        <f aca="false">MIN(E260:AE260)</f>
        <v>17</v>
      </c>
      <c r="D260" s="18" t="n">
        <f aca="false">MAX(E260:AE260)</f>
        <v>37</v>
      </c>
      <c r="E260" s="19" t="n">
        <v>17</v>
      </c>
      <c r="F260" s="19" t="n">
        <v>27</v>
      </c>
      <c r="G260" s="19" t="n">
        <v>22</v>
      </c>
      <c r="H260" s="19" t="n">
        <v>29</v>
      </c>
      <c r="I260" s="19" t="n">
        <v>29</v>
      </c>
      <c r="J260" s="19" t="n">
        <v>33</v>
      </c>
      <c r="K260" s="19" t="n">
        <v>27</v>
      </c>
      <c r="L260" s="19" t="n">
        <v>29</v>
      </c>
      <c r="M260" s="19" t="n">
        <v>32</v>
      </c>
      <c r="N260" s="19" t="n">
        <v>26</v>
      </c>
      <c r="O260" s="19" t="n">
        <v>29</v>
      </c>
      <c r="P260" s="19" t="n">
        <v>20</v>
      </c>
      <c r="Q260" s="19" t="n">
        <v>31</v>
      </c>
      <c r="R260" s="19" t="n">
        <v>33</v>
      </c>
      <c r="S260" s="19" t="n">
        <v>20</v>
      </c>
      <c r="T260" s="19" t="n">
        <v>37</v>
      </c>
      <c r="U260" s="19" t="n">
        <v>27</v>
      </c>
      <c r="V260" s="19" t="n">
        <v>33</v>
      </c>
      <c r="W260" s="19" t="n">
        <v>31</v>
      </c>
      <c r="X260" s="19" t="n">
        <v>26</v>
      </c>
      <c r="Y260" s="19" t="n">
        <v>25</v>
      </c>
      <c r="Z260" s="19" t="n">
        <v>21</v>
      </c>
      <c r="AA260" s="19" t="n">
        <v>27</v>
      </c>
      <c r="AB260" s="19" t="n">
        <v>24</v>
      </c>
      <c r="AC260" s="19" t="n">
        <v>25</v>
      </c>
      <c r="AD260" s="19" t="n">
        <v>30</v>
      </c>
      <c r="AE260" s="2" t="n">
        <v>17</v>
      </c>
      <c r="AF260" s="19"/>
      <c r="AG260" s="19"/>
      <c r="AH260" s="19"/>
      <c r="DK260" s="44"/>
    </row>
    <row r="261" customFormat="false" ht="12.75" hidden="false" customHeight="false" outlineLevel="0" collapsed="false">
      <c r="A261" s="16" t="s">
        <v>372</v>
      </c>
      <c r="B261" s="17" t="n">
        <f aca="false">AVERAGE(E261:AE261)</f>
        <v>26.9259259259259</v>
      </c>
      <c r="C261" s="2" t="n">
        <f aca="false">MIN(E261:AE261)</f>
        <v>17</v>
      </c>
      <c r="D261" s="18" t="n">
        <f aca="false">MAX(E261:AE261)</f>
        <v>37</v>
      </c>
      <c r="E261" s="19" t="n">
        <v>17</v>
      </c>
      <c r="F261" s="19" t="n">
        <v>27</v>
      </c>
      <c r="G261" s="19" t="n">
        <v>22</v>
      </c>
      <c r="H261" s="19" t="n">
        <v>29</v>
      </c>
      <c r="I261" s="19" t="n">
        <v>29</v>
      </c>
      <c r="J261" s="19" t="n">
        <v>33</v>
      </c>
      <c r="K261" s="19" t="n">
        <v>27</v>
      </c>
      <c r="L261" s="19" t="n">
        <v>29</v>
      </c>
      <c r="M261" s="19" t="n">
        <v>32</v>
      </c>
      <c r="N261" s="19" t="n">
        <v>26</v>
      </c>
      <c r="O261" s="19" t="n">
        <v>29</v>
      </c>
      <c r="P261" s="19" t="n">
        <v>20</v>
      </c>
      <c r="Q261" s="19" t="n">
        <v>31</v>
      </c>
      <c r="R261" s="19" t="n">
        <v>33</v>
      </c>
      <c r="S261" s="19" t="n">
        <v>20</v>
      </c>
      <c r="T261" s="19" t="n">
        <v>37</v>
      </c>
      <c r="U261" s="19" t="n">
        <v>27</v>
      </c>
      <c r="V261" s="19" t="n">
        <v>33</v>
      </c>
      <c r="W261" s="19" t="n">
        <v>31</v>
      </c>
      <c r="X261" s="19" t="n">
        <v>26</v>
      </c>
      <c r="Y261" s="19" t="n">
        <v>25</v>
      </c>
      <c r="Z261" s="19" t="n">
        <v>21</v>
      </c>
      <c r="AA261" s="19" t="n">
        <v>27</v>
      </c>
      <c r="AB261" s="19" t="n">
        <v>24</v>
      </c>
      <c r="AC261" s="19" t="n">
        <v>25</v>
      </c>
      <c r="AD261" s="19" t="n">
        <v>30</v>
      </c>
      <c r="AE261" s="2" t="n">
        <v>17</v>
      </c>
      <c r="AF261" s="19"/>
      <c r="AG261" s="19"/>
      <c r="AH261" s="19"/>
      <c r="DK261" s="44"/>
    </row>
    <row r="262" customFormat="false" ht="12.75" hidden="false" customHeight="false" outlineLevel="0" collapsed="false">
      <c r="A262" s="16" t="s">
        <v>373</v>
      </c>
      <c r="B262" s="17" t="n">
        <f aca="false">AVERAGE(E262:AE262)</f>
        <v>26.962962962963</v>
      </c>
      <c r="C262" s="2" t="n">
        <f aca="false">MIN(E262:AE262)</f>
        <v>17</v>
      </c>
      <c r="D262" s="18" t="n">
        <f aca="false">MAX(E262:AE262)</f>
        <v>37</v>
      </c>
      <c r="E262" s="19" t="n">
        <v>17</v>
      </c>
      <c r="F262" s="19" t="n">
        <v>27</v>
      </c>
      <c r="G262" s="19" t="n">
        <v>22</v>
      </c>
      <c r="H262" s="19" t="n">
        <v>29</v>
      </c>
      <c r="I262" s="19" t="n">
        <v>29</v>
      </c>
      <c r="J262" s="19" t="n">
        <v>33</v>
      </c>
      <c r="K262" s="19" t="n">
        <v>27</v>
      </c>
      <c r="L262" s="19" t="n">
        <v>29</v>
      </c>
      <c r="M262" s="19" t="n">
        <v>32</v>
      </c>
      <c r="N262" s="19" t="n">
        <v>26</v>
      </c>
      <c r="O262" s="19" t="n">
        <v>29</v>
      </c>
      <c r="P262" s="19" t="n">
        <v>20</v>
      </c>
      <c r="Q262" s="19" t="n">
        <v>31</v>
      </c>
      <c r="R262" s="19" t="n">
        <v>33</v>
      </c>
      <c r="S262" s="19" t="n">
        <v>20</v>
      </c>
      <c r="T262" s="19" t="n">
        <v>37</v>
      </c>
      <c r="U262" s="19" t="n">
        <v>27</v>
      </c>
      <c r="V262" s="19" t="n">
        <v>33</v>
      </c>
      <c r="W262" s="19" t="n">
        <v>31</v>
      </c>
      <c r="X262" s="19" t="n">
        <v>26</v>
      </c>
      <c r="Y262" s="19" t="n">
        <v>25</v>
      </c>
      <c r="Z262" s="19" t="n">
        <v>21</v>
      </c>
      <c r="AA262" s="19" t="n">
        <v>27</v>
      </c>
      <c r="AB262" s="19" t="n">
        <v>24</v>
      </c>
      <c r="AC262" s="19" t="n">
        <v>25</v>
      </c>
      <c r="AD262" s="19" t="n">
        <v>30</v>
      </c>
      <c r="AE262" s="126" t="n">
        <v>18</v>
      </c>
      <c r="AF262" s="19"/>
      <c r="AG262" s="19"/>
      <c r="AH262" s="19"/>
      <c r="DK262" s="44"/>
    </row>
    <row r="263" customFormat="false" ht="12.75" hidden="false" customHeight="false" outlineLevel="0" collapsed="false">
      <c r="A263" s="16" t="s">
        <v>374</v>
      </c>
      <c r="B263" s="17" t="n">
        <f aca="false">AVERAGE(E263:AE263)</f>
        <v>26.962962962963</v>
      </c>
      <c r="C263" s="2" t="n">
        <f aca="false">MIN(E263:AE263)</f>
        <v>17</v>
      </c>
      <c r="D263" s="18" t="n">
        <f aca="false">MAX(E263:AE263)</f>
        <v>37</v>
      </c>
      <c r="E263" s="19" t="n">
        <v>17</v>
      </c>
      <c r="F263" s="19" t="n">
        <v>27</v>
      </c>
      <c r="G263" s="19" t="n">
        <v>22</v>
      </c>
      <c r="H263" s="19" t="n">
        <v>29</v>
      </c>
      <c r="I263" s="19" t="n">
        <v>29</v>
      </c>
      <c r="J263" s="19" t="n">
        <v>33</v>
      </c>
      <c r="K263" s="19" t="n">
        <v>27</v>
      </c>
      <c r="L263" s="19" t="n">
        <v>29</v>
      </c>
      <c r="M263" s="19" t="n">
        <v>32</v>
      </c>
      <c r="N263" s="19" t="n">
        <v>26</v>
      </c>
      <c r="O263" s="19" t="n">
        <v>29</v>
      </c>
      <c r="P263" s="19" t="n">
        <v>20</v>
      </c>
      <c r="Q263" s="19" t="n">
        <v>31</v>
      </c>
      <c r="R263" s="19" t="n">
        <v>33</v>
      </c>
      <c r="S263" s="19" t="n">
        <v>20</v>
      </c>
      <c r="T263" s="19" t="n">
        <v>37</v>
      </c>
      <c r="U263" s="19" t="n">
        <v>27</v>
      </c>
      <c r="V263" s="19" t="n">
        <v>33</v>
      </c>
      <c r="W263" s="19" t="n">
        <v>31</v>
      </c>
      <c r="X263" s="19" t="n">
        <v>26</v>
      </c>
      <c r="Y263" s="19" t="n">
        <v>25</v>
      </c>
      <c r="Z263" s="19" t="n">
        <v>21</v>
      </c>
      <c r="AA263" s="19" t="n">
        <v>27</v>
      </c>
      <c r="AB263" s="19" t="n">
        <v>24</v>
      </c>
      <c r="AC263" s="19" t="n">
        <v>25</v>
      </c>
      <c r="AD263" s="19" t="n">
        <v>30</v>
      </c>
      <c r="AE263" s="2" t="n">
        <v>18</v>
      </c>
      <c r="AF263" s="19"/>
      <c r="AG263" s="19"/>
      <c r="AH263" s="19"/>
      <c r="DK263" s="44"/>
    </row>
    <row r="264" customFormat="false" ht="12.75" hidden="false" customHeight="false" outlineLevel="0" collapsed="false">
      <c r="A264" s="16" t="s">
        <v>375</v>
      </c>
      <c r="B264" s="17" t="n">
        <f aca="false">AVERAGE(E264:AE264)</f>
        <v>26.962962962963</v>
      </c>
      <c r="C264" s="2" t="n">
        <f aca="false">MIN(E264:AE264)</f>
        <v>17</v>
      </c>
      <c r="D264" s="18" t="n">
        <f aca="false">MAX(E264:AE264)</f>
        <v>37</v>
      </c>
      <c r="E264" s="19" t="n">
        <v>17</v>
      </c>
      <c r="F264" s="19" t="n">
        <v>27</v>
      </c>
      <c r="G264" s="19" t="n">
        <v>22</v>
      </c>
      <c r="H264" s="19" t="n">
        <v>29</v>
      </c>
      <c r="I264" s="19" t="n">
        <v>29</v>
      </c>
      <c r="J264" s="19" t="n">
        <v>33</v>
      </c>
      <c r="K264" s="19" t="n">
        <v>27</v>
      </c>
      <c r="L264" s="19" t="n">
        <v>29</v>
      </c>
      <c r="M264" s="19" t="n">
        <v>32</v>
      </c>
      <c r="N264" s="19" t="n">
        <v>26</v>
      </c>
      <c r="O264" s="19" t="n">
        <v>29</v>
      </c>
      <c r="P264" s="19" t="n">
        <v>20</v>
      </c>
      <c r="Q264" s="19" t="n">
        <v>31</v>
      </c>
      <c r="R264" s="19" t="n">
        <v>33</v>
      </c>
      <c r="S264" s="19" t="n">
        <v>20</v>
      </c>
      <c r="T264" s="19" t="n">
        <v>37</v>
      </c>
      <c r="U264" s="19" t="n">
        <v>27</v>
      </c>
      <c r="V264" s="19" t="n">
        <v>33</v>
      </c>
      <c r="W264" s="19" t="n">
        <v>31</v>
      </c>
      <c r="X264" s="19" t="n">
        <v>26</v>
      </c>
      <c r="Y264" s="19" t="n">
        <v>25</v>
      </c>
      <c r="Z264" s="19" t="n">
        <v>21</v>
      </c>
      <c r="AA264" s="19" t="n">
        <v>27</v>
      </c>
      <c r="AB264" s="19" t="n">
        <v>24</v>
      </c>
      <c r="AC264" s="19" t="n">
        <v>25</v>
      </c>
      <c r="AD264" s="19" t="n">
        <v>30</v>
      </c>
      <c r="AE264" s="2" t="n">
        <v>18</v>
      </c>
      <c r="AF264" s="19"/>
      <c r="AG264" s="19"/>
      <c r="AH264" s="19"/>
      <c r="DK264" s="44"/>
    </row>
    <row r="265" customFormat="false" ht="12.75" hidden="false" customHeight="false" outlineLevel="0" collapsed="false">
      <c r="A265" s="16" t="s">
        <v>376</v>
      </c>
      <c r="B265" s="17" t="n">
        <f aca="false">AVERAGE(E265:AE265)</f>
        <v>27.0740740740741</v>
      </c>
      <c r="C265" s="2" t="n">
        <f aca="false">MIN(E265:AE265)</f>
        <v>18</v>
      </c>
      <c r="D265" s="18" t="n">
        <f aca="false">MAX(E265:AE265)</f>
        <v>37</v>
      </c>
      <c r="E265" s="30" t="n">
        <v>18</v>
      </c>
      <c r="F265" s="19" t="n">
        <v>27</v>
      </c>
      <c r="G265" s="19" t="n">
        <v>22</v>
      </c>
      <c r="H265" s="19" t="n">
        <v>29</v>
      </c>
      <c r="I265" s="19" t="n">
        <v>29</v>
      </c>
      <c r="J265" s="19" t="n">
        <v>33</v>
      </c>
      <c r="K265" s="19" t="n">
        <v>27</v>
      </c>
      <c r="L265" s="19" t="n">
        <v>29</v>
      </c>
      <c r="M265" s="19" t="n">
        <v>32</v>
      </c>
      <c r="N265" s="19" t="n">
        <v>26</v>
      </c>
      <c r="O265" s="19" t="n">
        <v>29</v>
      </c>
      <c r="P265" s="19" t="n">
        <v>20</v>
      </c>
      <c r="Q265" s="19" t="n">
        <v>31</v>
      </c>
      <c r="R265" s="19" t="n">
        <v>33</v>
      </c>
      <c r="S265" s="19" t="n">
        <v>20</v>
      </c>
      <c r="T265" s="19" t="n">
        <v>37</v>
      </c>
      <c r="U265" s="30" t="n">
        <v>28</v>
      </c>
      <c r="V265" s="19" t="n">
        <v>33</v>
      </c>
      <c r="W265" s="30" t="n">
        <v>32</v>
      </c>
      <c r="X265" s="19" t="n">
        <v>26</v>
      </c>
      <c r="Y265" s="19" t="n">
        <v>25</v>
      </c>
      <c r="Z265" s="19" t="n">
        <v>21</v>
      </c>
      <c r="AA265" s="19" t="n">
        <v>27</v>
      </c>
      <c r="AB265" s="19" t="n">
        <v>24</v>
      </c>
      <c r="AC265" s="19" t="n">
        <v>25</v>
      </c>
      <c r="AD265" s="19" t="n">
        <v>30</v>
      </c>
      <c r="AE265" s="2" t="n">
        <v>18</v>
      </c>
      <c r="AF265" s="19"/>
      <c r="AG265" s="19"/>
      <c r="AH265" s="19"/>
      <c r="DK265" s="44"/>
    </row>
    <row r="266" customFormat="false" ht="12.75" hidden="false" customHeight="false" outlineLevel="0" collapsed="false">
      <c r="A266" s="16" t="s">
        <v>377</v>
      </c>
      <c r="B266" s="17" t="n">
        <f aca="false">AVERAGE(E266:AE266)</f>
        <v>27.1481481481482</v>
      </c>
      <c r="C266" s="2" t="n">
        <f aca="false">MIN(E266:AE266)</f>
        <v>18</v>
      </c>
      <c r="D266" s="18" t="n">
        <f aca="false">MAX(E266:AE266)</f>
        <v>37</v>
      </c>
      <c r="E266" s="19" t="n">
        <v>19</v>
      </c>
      <c r="F266" s="19" t="n">
        <v>27</v>
      </c>
      <c r="G266" s="19" t="n">
        <v>22</v>
      </c>
      <c r="H266" s="19" t="n">
        <v>29</v>
      </c>
      <c r="I266" s="19" t="n">
        <v>29</v>
      </c>
      <c r="J266" s="19" t="n">
        <v>33</v>
      </c>
      <c r="K266" s="19" t="n">
        <v>27</v>
      </c>
      <c r="L266" s="19" t="n">
        <v>29</v>
      </c>
      <c r="M266" s="19" t="n">
        <v>32</v>
      </c>
      <c r="N266" s="19" t="n">
        <v>26</v>
      </c>
      <c r="O266" s="19" t="n">
        <v>29</v>
      </c>
      <c r="P266" s="19" t="n">
        <v>20</v>
      </c>
      <c r="Q266" s="19" t="n">
        <v>31</v>
      </c>
      <c r="R266" s="19" t="n">
        <v>33</v>
      </c>
      <c r="S266" s="19" t="n">
        <v>20</v>
      </c>
      <c r="T266" s="19" t="n">
        <v>37</v>
      </c>
      <c r="U266" s="19" t="n">
        <v>28</v>
      </c>
      <c r="V266" s="19" t="n">
        <v>33</v>
      </c>
      <c r="W266" s="19" t="n">
        <v>32</v>
      </c>
      <c r="X266" s="19" t="n">
        <v>26</v>
      </c>
      <c r="Y266" s="19" t="n">
        <v>25</v>
      </c>
      <c r="Z266" s="19" t="n">
        <v>21</v>
      </c>
      <c r="AA266" s="19" t="n">
        <v>27</v>
      </c>
      <c r="AB266" s="19" t="n">
        <v>24</v>
      </c>
      <c r="AC266" s="123" t="n">
        <v>26</v>
      </c>
      <c r="AD266" s="19" t="n">
        <v>30</v>
      </c>
      <c r="AE266" s="2" t="n">
        <v>18</v>
      </c>
      <c r="AF266" s="19"/>
      <c r="AG266" s="19"/>
      <c r="AH266" s="19"/>
      <c r="DK266" s="44"/>
    </row>
    <row r="267" customFormat="false" ht="12.75" hidden="false" customHeight="false" outlineLevel="0" collapsed="false">
      <c r="A267" s="16" t="s">
        <v>378</v>
      </c>
      <c r="B267" s="17" t="n">
        <f aca="false">AVERAGE(E267:AE267)</f>
        <v>27.2222222222222</v>
      </c>
      <c r="C267" s="2" t="n">
        <f aca="false">MIN(E267:AE267)</f>
        <v>18</v>
      </c>
      <c r="D267" s="18" t="n">
        <f aca="false">MAX(E267:AE267)</f>
        <v>38</v>
      </c>
      <c r="E267" s="19" t="n">
        <v>19</v>
      </c>
      <c r="F267" s="19" t="n">
        <v>27</v>
      </c>
      <c r="G267" s="19" t="n">
        <v>22</v>
      </c>
      <c r="H267" s="19" t="n">
        <v>29</v>
      </c>
      <c r="I267" s="19" t="n">
        <v>29</v>
      </c>
      <c r="J267" s="19" t="n">
        <v>33</v>
      </c>
      <c r="K267" s="19" t="n">
        <v>27</v>
      </c>
      <c r="L267" s="19" t="n">
        <v>29</v>
      </c>
      <c r="M267" s="19" t="n">
        <v>32</v>
      </c>
      <c r="N267" s="19" t="n">
        <v>26</v>
      </c>
      <c r="O267" s="19" t="n">
        <v>29</v>
      </c>
      <c r="P267" s="19" t="n">
        <v>20</v>
      </c>
      <c r="Q267" s="19" t="n">
        <v>31</v>
      </c>
      <c r="R267" s="19" t="n">
        <v>33</v>
      </c>
      <c r="S267" s="19" t="n">
        <v>20</v>
      </c>
      <c r="T267" s="19" t="n">
        <v>38</v>
      </c>
      <c r="U267" s="19" t="n">
        <v>28</v>
      </c>
      <c r="V267" s="19" t="n">
        <v>33</v>
      </c>
      <c r="W267" s="19" t="n">
        <v>32</v>
      </c>
      <c r="X267" s="30" t="n">
        <v>27</v>
      </c>
      <c r="Y267" s="19" t="n">
        <v>25</v>
      </c>
      <c r="Z267" s="19" t="n">
        <v>21</v>
      </c>
      <c r="AA267" s="19" t="n">
        <v>27</v>
      </c>
      <c r="AB267" s="19" t="n">
        <v>24</v>
      </c>
      <c r="AC267" s="19" t="n">
        <v>26</v>
      </c>
      <c r="AD267" s="19" t="n">
        <v>30</v>
      </c>
      <c r="AE267" s="2" t="n">
        <v>18</v>
      </c>
      <c r="AF267" s="19"/>
      <c r="AG267" s="19"/>
      <c r="AH267" s="19"/>
      <c r="DK267" s="44"/>
    </row>
    <row r="268" customFormat="false" ht="12.75" hidden="false" customHeight="false" outlineLevel="0" collapsed="false">
      <c r="A268" s="16" t="s">
        <v>379</v>
      </c>
      <c r="B268" s="17" t="n">
        <f aca="false">AVERAGE(E268:AE268)</f>
        <v>27.2592592592593</v>
      </c>
      <c r="C268" s="2" t="n">
        <f aca="false">MIN(E268:AE268)</f>
        <v>18</v>
      </c>
      <c r="D268" s="18" t="n">
        <f aca="false">MAX(E268:AE268)</f>
        <v>39</v>
      </c>
      <c r="E268" s="19" t="n">
        <v>19</v>
      </c>
      <c r="F268" s="19" t="n">
        <v>27</v>
      </c>
      <c r="G268" s="19" t="n">
        <v>22</v>
      </c>
      <c r="H268" s="19" t="n">
        <v>29</v>
      </c>
      <c r="I268" s="19" t="n">
        <v>29</v>
      </c>
      <c r="J268" s="19" t="n">
        <v>33</v>
      </c>
      <c r="K268" s="19" t="n">
        <v>27</v>
      </c>
      <c r="L268" s="19" t="n">
        <v>29</v>
      </c>
      <c r="M268" s="19" t="n">
        <v>32</v>
      </c>
      <c r="N268" s="19" t="n">
        <v>26</v>
      </c>
      <c r="O268" s="19" t="n">
        <v>29</v>
      </c>
      <c r="P268" s="19" t="n">
        <v>20</v>
      </c>
      <c r="Q268" s="19" t="n">
        <v>31</v>
      </c>
      <c r="R268" s="19" t="n">
        <v>33</v>
      </c>
      <c r="S268" s="19" t="n">
        <v>20</v>
      </c>
      <c r="T268" s="19" t="n">
        <v>39</v>
      </c>
      <c r="U268" s="19" t="n">
        <v>28</v>
      </c>
      <c r="V268" s="19" t="n">
        <v>33</v>
      </c>
      <c r="W268" s="19" t="n">
        <v>32</v>
      </c>
      <c r="X268" s="19" t="n">
        <v>27</v>
      </c>
      <c r="Y268" s="19" t="n">
        <v>25</v>
      </c>
      <c r="Z268" s="19" t="n">
        <v>21</v>
      </c>
      <c r="AA268" s="19" t="n">
        <v>27</v>
      </c>
      <c r="AB268" s="19" t="n">
        <v>24</v>
      </c>
      <c r="AC268" s="19" t="n">
        <v>26</v>
      </c>
      <c r="AD268" s="19" t="n">
        <v>30</v>
      </c>
      <c r="AE268" s="2" t="n">
        <v>18</v>
      </c>
      <c r="AF268" s="19"/>
      <c r="AG268" s="19"/>
      <c r="AH268" s="19"/>
      <c r="DK268" s="44"/>
    </row>
    <row r="269" customFormat="false" ht="12.75" hidden="false" customHeight="false" outlineLevel="0" collapsed="false">
      <c r="A269" s="16" t="s">
        <v>380</v>
      </c>
      <c r="B269" s="17" t="n">
        <f aca="false">AVERAGE(E269:AE269)</f>
        <v>27.3333333333333</v>
      </c>
      <c r="C269" s="2" t="n">
        <f aca="false">MIN(E269:AE269)</f>
        <v>19</v>
      </c>
      <c r="D269" s="18" t="n">
        <f aca="false">MAX(E269:AE269)</f>
        <v>39</v>
      </c>
      <c r="E269" s="19" t="n">
        <v>19</v>
      </c>
      <c r="F269" s="19" t="n">
        <v>27</v>
      </c>
      <c r="G269" s="19" t="n">
        <v>22</v>
      </c>
      <c r="H269" s="19" t="n">
        <v>29</v>
      </c>
      <c r="I269" s="19" t="n">
        <v>29</v>
      </c>
      <c r="J269" s="19" t="n">
        <v>33</v>
      </c>
      <c r="K269" s="19" t="n">
        <v>27</v>
      </c>
      <c r="L269" s="19" t="n">
        <v>29</v>
      </c>
      <c r="M269" s="19" t="n">
        <v>32</v>
      </c>
      <c r="N269" s="19" t="n">
        <v>26</v>
      </c>
      <c r="O269" s="19" t="n">
        <v>29</v>
      </c>
      <c r="P269" s="19" t="n">
        <v>20</v>
      </c>
      <c r="Q269" s="19" t="n">
        <v>31</v>
      </c>
      <c r="R269" s="19" t="n">
        <v>33</v>
      </c>
      <c r="S269" s="19" t="n">
        <v>20</v>
      </c>
      <c r="T269" s="19" t="n">
        <v>39</v>
      </c>
      <c r="U269" s="19" t="n">
        <v>28</v>
      </c>
      <c r="V269" s="19" t="n">
        <v>33</v>
      </c>
      <c r="W269" s="19" t="n">
        <v>32</v>
      </c>
      <c r="X269" s="68" t="n">
        <v>28</v>
      </c>
      <c r="Y269" s="19" t="n">
        <v>25</v>
      </c>
      <c r="Z269" s="19" t="n">
        <v>21</v>
      </c>
      <c r="AA269" s="19" t="n">
        <v>27</v>
      </c>
      <c r="AB269" s="19" t="n">
        <v>24</v>
      </c>
      <c r="AC269" s="19" t="n">
        <v>26</v>
      </c>
      <c r="AD269" s="19" t="n">
        <v>30</v>
      </c>
      <c r="AE269" s="127" t="n">
        <v>19</v>
      </c>
      <c r="AF269" s="19"/>
      <c r="AG269" s="19"/>
      <c r="AH269" s="19"/>
      <c r="DK269" s="44"/>
    </row>
    <row r="270" customFormat="false" ht="12.75" hidden="false" customHeight="false" outlineLevel="0" collapsed="false">
      <c r="A270" s="16" t="s">
        <v>381</v>
      </c>
      <c r="B270" s="17" t="n">
        <f aca="false">AVERAGE(E270:AE270)</f>
        <v>27.3703703703704</v>
      </c>
      <c r="C270" s="2" t="n">
        <f aca="false">MIN(E270:AE270)</f>
        <v>19</v>
      </c>
      <c r="D270" s="18" t="n">
        <f aca="false">MAX(E270:AE270)</f>
        <v>39</v>
      </c>
      <c r="E270" s="19" t="n">
        <v>19</v>
      </c>
      <c r="F270" s="19" t="n">
        <v>27</v>
      </c>
      <c r="G270" s="19" t="n">
        <v>22</v>
      </c>
      <c r="H270" s="30" t="n">
        <v>30</v>
      </c>
      <c r="I270" s="19" t="n">
        <v>29</v>
      </c>
      <c r="J270" s="19" t="n">
        <v>33</v>
      </c>
      <c r="K270" s="19" t="n">
        <v>27</v>
      </c>
      <c r="L270" s="19" t="n">
        <v>29</v>
      </c>
      <c r="M270" s="19" t="n">
        <v>32</v>
      </c>
      <c r="N270" s="19" t="n">
        <v>26</v>
      </c>
      <c r="O270" s="19" t="n">
        <v>29</v>
      </c>
      <c r="P270" s="19" t="n">
        <v>20</v>
      </c>
      <c r="Q270" s="19" t="n">
        <v>31</v>
      </c>
      <c r="R270" s="19" t="n">
        <v>33</v>
      </c>
      <c r="S270" s="19" t="n">
        <v>20</v>
      </c>
      <c r="T270" s="19" t="n">
        <v>39</v>
      </c>
      <c r="U270" s="19" t="n">
        <v>28</v>
      </c>
      <c r="V270" s="19" t="n">
        <v>33</v>
      </c>
      <c r="W270" s="19" t="n">
        <v>32</v>
      </c>
      <c r="X270" s="19" t="n">
        <v>28</v>
      </c>
      <c r="Y270" s="19" t="n">
        <v>25</v>
      </c>
      <c r="Z270" s="19" t="n">
        <v>21</v>
      </c>
      <c r="AA270" s="19" t="n">
        <v>27</v>
      </c>
      <c r="AB270" s="19" t="n">
        <v>24</v>
      </c>
      <c r="AC270" s="19" t="n">
        <v>26</v>
      </c>
      <c r="AD270" s="19" t="n">
        <v>30</v>
      </c>
      <c r="AE270" s="2" t="n">
        <v>19</v>
      </c>
      <c r="AF270" s="19"/>
      <c r="AG270" s="19"/>
      <c r="AH270" s="19"/>
      <c r="DK270" s="44"/>
    </row>
    <row r="271" customFormat="false" ht="12.75" hidden="false" customHeight="false" outlineLevel="0" collapsed="false">
      <c r="A271" s="16" t="s">
        <v>382</v>
      </c>
      <c r="B271" s="17" t="n">
        <f aca="false">AVERAGE(E271:AE271)</f>
        <v>27.4814814814815</v>
      </c>
      <c r="C271" s="2" t="n">
        <f aca="false">MIN(E271:AE271)</f>
        <v>19</v>
      </c>
      <c r="D271" s="18" t="n">
        <f aca="false">MAX(E271:AE271)</f>
        <v>39</v>
      </c>
      <c r="E271" s="19" t="n">
        <v>20</v>
      </c>
      <c r="F271" s="19" t="n">
        <v>27</v>
      </c>
      <c r="G271" s="19" t="n">
        <v>22</v>
      </c>
      <c r="H271" s="19" t="n">
        <v>30</v>
      </c>
      <c r="I271" s="19" t="n">
        <v>29</v>
      </c>
      <c r="J271" s="19" t="n">
        <v>33</v>
      </c>
      <c r="K271" s="19" t="n">
        <v>27</v>
      </c>
      <c r="L271" s="19" t="n">
        <v>29</v>
      </c>
      <c r="M271" s="19" t="n">
        <v>32</v>
      </c>
      <c r="N271" s="19" t="n">
        <v>26</v>
      </c>
      <c r="O271" s="19" t="n">
        <v>29</v>
      </c>
      <c r="P271" s="19" t="n">
        <v>20</v>
      </c>
      <c r="Q271" s="19" t="n">
        <v>31</v>
      </c>
      <c r="R271" s="19" t="n">
        <v>33</v>
      </c>
      <c r="S271" s="19" t="n">
        <v>20</v>
      </c>
      <c r="T271" s="19" t="n">
        <v>39</v>
      </c>
      <c r="U271" s="19" t="n">
        <v>28</v>
      </c>
      <c r="V271" s="19" t="n">
        <v>33</v>
      </c>
      <c r="W271" s="19" t="n">
        <v>32</v>
      </c>
      <c r="X271" s="68" t="n">
        <v>29</v>
      </c>
      <c r="Y271" s="19" t="n">
        <v>25</v>
      </c>
      <c r="Z271" s="30" t="n">
        <v>22</v>
      </c>
      <c r="AA271" s="19" t="n">
        <v>27</v>
      </c>
      <c r="AB271" s="19" t="n">
        <v>24</v>
      </c>
      <c r="AC271" s="19" t="n">
        <v>26</v>
      </c>
      <c r="AD271" s="19" t="n">
        <v>30</v>
      </c>
      <c r="AE271" s="2" t="n">
        <v>19</v>
      </c>
      <c r="AF271" s="19"/>
      <c r="AG271" s="19"/>
      <c r="AH271" s="19"/>
      <c r="DK271" s="44"/>
    </row>
    <row r="272" customFormat="false" ht="12.75" hidden="false" customHeight="false" outlineLevel="0" collapsed="false">
      <c r="A272" s="16" t="s">
        <v>383</v>
      </c>
      <c r="B272" s="17" t="n">
        <f aca="false">AVERAGE(E272:AE272)</f>
        <v>27.4814814814815</v>
      </c>
      <c r="C272" s="2" t="n">
        <f aca="false">MIN(E272:AE272)</f>
        <v>19</v>
      </c>
      <c r="D272" s="18" t="n">
        <f aca="false">MAX(E272:AE272)</f>
        <v>39</v>
      </c>
      <c r="E272" s="19" t="n">
        <v>20</v>
      </c>
      <c r="F272" s="19" t="n">
        <v>27</v>
      </c>
      <c r="G272" s="19" t="n">
        <v>22</v>
      </c>
      <c r="H272" s="19" t="n">
        <v>30</v>
      </c>
      <c r="I272" s="19" t="n">
        <v>29</v>
      </c>
      <c r="J272" s="19" t="n">
        <v>33</v>
      </c>
      <c r="K272" s="19" t="n">
        <v>27</v>
      </c>
      <c r="L272" s="19" t="n">
        <v>29</v>
      </c>
      <c r="M272" s="19" t="n">
        <v>32</v>
      </c>
      <c r="N272" s="19" t="n">
        <v>26</v>
      </c>
      <c r="O272" s="19" t="n">
        <v>29</v>
      </c>
      <c r="P272" s="19" t="n">
        <v>20</v>
      </c>
      <c r="Q272" s="19" t="n">
        <v>31</v>
      </c>
      <c r="R272" s="19" t="n">
        <v>33</v>
      </c>
      <c r="S272" s="19" t="n">
        <v>20</v>
      </c>
      <c r="T272" s="19" t="n">
        <v>39</v>
      </c>
      <c r="U272" s="19" t="n">
        <v>28</v>
      </c>
      <c r="V272" s="19" t="n">
        <v>33</v>
      </c>
      <c r="W272" s="19" t="n">
        <v>32</v>
      </c>
      <c r="X272" s="19" t="n">
        <v>29</v>
      </c>
      <c r="Y272" s="19" t="n">
        <v>25</v>
      </c>
      <c r="Z272" s="19" t="n">
        <v>22</v>
      </c>
      <c r="AA272" s="19" t="n">
        <v>27</v>
      </c>
      <c r="AB272" s="19" t="n">
        <v>24</v>
      </c>
      <c r="AC272" s="19" t="n">
        <v>26</v>
      </c>
      <c r="AD272" s="19" t="n">
        <v>30</v>
      </c>
      <c r="AE272" s="2" t="n">
        <v>19</v>
      </c>
      <c r="AF272" s="19"/>
      <c r="AG272" s="19"/>
      <c r="AH272" s="19"/>
      <c r="DK272" s="44"/>
    </row>
    <row r="273" customFormat="false" ht="12.75" hidden="false" customHeight="false" outlineLevel="0" collapsed="false">
      <c r="A273" s="16" t="s">
        <v>384</v>
      </c>
      <c r="B273" s="17" t="n">
        <f aca="false">AVERAGE(E273:AE273)</f>
        <v>27.5185185185185</v>
      </c>
      <c r="C273" s="2" t="n">
        <f aca="false">MIN(E273:AE273)</f>
        <v>19</v>
      </c>
      <c r="D273" s="18" t="n">
        <f aca="false">MAX(E273:AE273)</f>
        <v>39</v>
      </c>
      <c r="E273" s="19" t="n">
        <v>20</v>
      </c>
      <c r="F273" s="19" t="n">
        <v>27</v>
      </c>
      <c r="G273" s="19" t="n">
        <v>22</v>
      </c>
      <c r="H273" s="19" t="n">
        <v>30</v>
      </c>
      <c r="I273" s="19" t="n">
        <v>29</v>
      </c>
      <c r="J273" s="19" t="n">
        <v>33</v>
      </c>
      <c r="K273" s="19" t="n">
        <v>27</v>
      </c>
      <c r="L273" s="19" t="n">
        <v>29</v>
      </c>
      <c r="M273" s="19" t="n">
        <v>32</v>
      </c>
      <c r="N273" s="19" t="n">
        <v>26</v>
      </c>
      <c r="O273" s="19" t="n">
        <v>29</v>
      </c>
      <c r="P273" s="19" t="n">
        <v>20</v>
      </c>
      <c r="Q273" s="19" t="n">
        <v>31</v>
      </c>
      <c r="R273" s="19" t="n">
        <v>33</v>
      </c>
      <c r="S273" s="19" t="n">
        <v>20</v>
      </c>
      <c r="T273" s="19" t="n">
        <v>39</v>
      </c>
      <c r="U273" s="19" t="n">
        <v>28</v>
      </c>
      <c r="V273" s="19" t="n">
        <v>33</v>
      </c>
      <c r="W273" s="19" t="n">
        <v>32</v>
      </c>
      <c r="X273" s="19" t="n">
        <v>29</v>
      </c>
      <c r="Y273" s="19" t="n">
        <v>25</v>
      </c>
      <c r="Z273" s="19" t="n">
        <v>22</v>
      </c>
      <c r="AA273" s="19" t="n">
        <v>27</v>
      </c>
      <c r="AB273" s="19" t="n">
        <v>25</v>
      </c>
      <c r="AC273" s="19" t="n">
        <v>26</v>
      </c>
      <c r="AD273" s="19" t="n">
        <v>30</v>
      </c>
      <c r="AE273" s="2" t="n">
        <v>19</v>
      </c>
      <c r="AF273" s="19"/>
      <c r="AG273" s="19"/>
      <c r="AH273" s="19"/>
      <c r="DK273" s="44"/>
    </row>
    <row r="274" customFormat="false" ht="12.75" hidden="false" customHeight="false" outlineLevel="0" collapsed="false">
      <c r="A274" s="16" t="s">
        <v>385</v>
      </c>
      <c r="B274" s="17" t="n">
        <f aca="false">AVERAGE(E274:AE274)</f>
        <v>27.5185185185185</v>
      </c>
      <c r="C274" s="2" t="n">
        <f aca="false">MIN(E274:AE274)</f>
        <v>19</v>
      </c>
      <c r="D274" s="18" t="n">
        <f aca="false">MAX(E274:AE274)</f>
        <v>39</v>
      </c>
      <c r="E274" s="19" t="n">
        <v>20</v>
      </c>
      <c r="F274" s="19" t="n">
        <v>27</v>
      </c>
      <c r="G274" s="19" t="n">
        <v>22</v>
      </c>
      <c r="H274" s="19" t="n">
        <v>30</v>
      </c>
      <c r="I274" s="19" t="n">
        <v>29</v>
      </c>
      <c r="J274" s="19" t="n">
        <v>33</v>
      </c>
      <c r="K274" s="19" t="n">
        <v>27</v>
      </c>
      <c r="L274" s="19" t="n">
        <v>29</v>
      </c>
      <c r="M274" s="19" t="n">
        <v>32</v>
      </c>
      <c r="N274" s="19" t="n">
        <v>26</v>
      </c>
      <c r="O274" s="19" t="n">
        <v>29</v>
      </c>
      <c r="P274" s="19" t="n">
        <v>20</v>
      </c>
      <c r="Q274" s="19" t="n">
        <v>31</v>
      </c>
      <c r="R274" s="19" t="n">
        <v>33</v>
      </c>
      <c r="S274" s="19" t="n">
        <v>20</v>
      </c>
      <c r="T274" s="19" t="n">
        <v>39</v>
      </c>
      <c r="U274" s="19" t="n">
        <v>28</v>
      </c>
      <c r="V274" s="19" t="n">
        <v>33</v>
      </c>
      <c r="W274" s="19" t="n">
        <v>32</v>
      </c>
      <c r="X274" s="19" t="n">
        <v>29</v>
      </c>
      <c r="Y274" s="19" t="n">
        <v>25</v>
      </c>
      <c r="Z274" s="19" t="n">
        <v>22</v>
      </c>
      <c r="AA274" s="19" t="n">
        <v>27</v>
      </c>
      <c r="AB274" s="19" t="n">
        <v>25</v>
      </c>
      <c r="AC274" s="19" t="n">
        <v>26</v>
      </c>
      <c r="AD274" s="19" t="n">
        <v>30</v>
      </c>
      <c r="AE274" s="2" t="n">
        <v>19</v>
      </c>
      <c r="AF274" s="19"/>
      <c r="AG274" s="19"/>
      <c r="AH274" s="19"/>
    </row>
    <row r="275" customFormat="false" ht="12.75" hidden="false" customHeight="false" outlineLevel="0" collapsed="false">
      <c r="A275" s="16" t="s">
        <v>386</v>
      </c>
      <c r="B275" s="17" t="n">
        <f aca="false">AVERAGE(E275:AE275)</f>
        <v>27.5925925925926</v>
      </c>
      <c r="C275" s="2" t="n">
        <f aca="false">MIN(E275:AE275)</f>
        <v>19</v>
      </c>
      <c r="D275" s="18" t="n">
        <f aca="false">MAX(E275:AE275)</f>
        <v>39</v>
      </c>
      <c r="E275" s="19" t="n">
        <v>20</v>
      </c>
      <c r="F275" s="19" t="n">
        <v>27</v>
      </c>
      <c r="G275" s="19" t="n">
        <v>22</v>
      </c>
      <c r="H275" s="19" t="n">
        <v>30</v>
      </c>
      <c r="I275" s="19" t="n">
        <v>29</v>
      </c>
      <c r="J275" s="19" t="n">
        <v>33</v>
      </c>
      <c r="K275" s="19" t="n">
        <v>27</v>
      </c>
      <c r="L275" s="19" t="n">
        <v>29</v>
      </c>
      <c r="M275" s="19" t="n">
        <v>32</v>
      </c>
      <c r="N275" s="19" t="n">
        <v>26</v>
      </c>
      <c r="O275" s="19" t="n">
        <v>29</v>
      </c>
      <c r="P275" s="19" t="n">
        <v>20</v>
      </c>
      <c r="Q275" s="19" t="n">
        <v>32</v>
      </c>
      <c r="R275" s="19" t="n">
        <v>33</v>
      </c>
      <c r="S275" s="19" t="n">
        <v>20</v>
      </c>
      <c r="T275" s="19" t="n">
        <v>39</v>
      </c>
      <c r="U275" s="19" t="n">
        <v>28</v>
      </c>
      <c r="V275" s="19" t="n">
        <v>33</v>
      </c>
      <c r="W275" s="19" t="n">
        <v>32</v>
      </c>
      <c r="X275" s="19" t="n">
        <v>29</v>
      </c>
      <c r="Y275" s="19" t="n">
        <v>25</v>
      </c>
      <c r="Z275" s="19" t="n">
        <v>22</v>
      </c>
      <c r="AA275" s="30" t="n">
        <v>28</v>
      </c>
      <c r="AB275" s="19" t="n">
        <v>25</v>
      </c>
      <c r="AC275" s="19" t="n">
        <v>26</v>
      </c>
      <c r="AD275" s="19" t="n">
        <v>30</v>
      </c>
      <c r="AE275" s="2" t="n">
        <v>19</v>
      </c>
      <c r="AF275" s="19"/>
      <c r="AG275" s="19"/>
      <c r="AH275" s="19"/>
    </row>
    <row r="276" customFormat="false" ht="12.75" hidden="false" customHeight="false" outlineLevel="0" collapsed="false">
      <c r="A276" s="16" t="s">
        <v>387</v>
      </c>
      <c r="B276" s="17" t="n">
        <f aca="false">AVERAGE(E276:AE276)</f>
        <v>27.5925925925926</v>
      </c>
      <c r="C276" s="2" t="n">
        <f aca="false">MIN(E276:AE276)</f>
        <v>19</v>
      </c>
      <c r="D276" s="18" t="n">
        <f aca="false">MAX(E276:AE276)</f>
        <v>39</v>
      </c>
      <c r="E276" s="19" t="n">
        <v>20</v>
      </c>
      <c r="F276" s="19" t="n">
        <v>27</v>
      </c>
      <c r="G276" s="19" t="n">
        <v>22</v>
      </c>
      <c r="H276" s="19" t="n">
        <v>30</v>
      </c>
      <c r="I276" s="19" t="n">
        <v>29</v>
      </c>
      <c r="J276" s="19" t="n">
        <v>33</v>
      </c>
      <c r="K276" s="19" t="n">
        <v>27</v>
      </c>
      <c r="L276" s="19" t="n">
        <v>29</v>
      </c>
      <c r="M276" s="19" t="n">
        <v>32</v>
      </c>
      <c r="N276" s="19" t="n">
        <v>26</v>
      </c>
      <c r="O276" s="19" t="n">
        <v>29</v>
      </c>
      <c r="P276" s="19" t="n">
        <v>20</v>
      </c>
      <c r="Q276" s="19" t="n">
        <v>32</v>
      </c>
      <c r="R276" s="19" t="n">
        <v>33</v>
      </c>
      <c r="S276" s="19" t="n">
        <v>20</v>
      </c>
      <c r="T276" s="19" t="n">
        <v>39</v>
      </c>
      <c r="U276" s="19" t="n">
        <v>28</v>
      </c>
      <c r="V276" s="19" t="n">
        <v>33</v>
      </c>
      <c r="W276" s="19" t="n">
        <v>32</v>
      </c>
      <c r="X276" s="19" t="n">
        <v>29</v>
      </c>
      <c r="Y276" s="19" t="n">
        <v>25</v>
      </c>
      <c r="Z276" s="19" t="n">
        <v>22</v>
      </c>
      <c r="AA276" s="19" t="n">
        <v>28</v>
      </c>
      <c r="AB276" s="19" t="n">
        <v>25</v>
      </c>
      <c r="AC276" s="19" t="n">
        <v>26</v>
      </c>
      <c r="AD276" s="19" t="n">
        <v>30</v>
      </c>
      <c r="AE276" s="2" t="n">
        <v>19</v>
      </c>
      <c r="AF276" s="19"/>
      <c r="AG276" s="19"/>
      <c r="AH276" s="19"/>
    </row>
    <row r="277" customFormat="false" ht="12.75" hidden="false" customHeight="false" outlineLevel="0" collapsed="false">
      <c r="A277" s="16" t="s">
        <v>388</v>
      </c>
      <c r="B277" s="17" t="n">
        <f aca="false">AVERAGE(E277:AE277)</f>
        <v>27.5925925925926</v>
      </c>
      <c r="C277" s="2" t="n">
        <f aca="false">MIN(E277:AE277)</f>
        <v>19</v>
      </c>
      <c r="D277" s="18" t="n">
        <f aca="false">MAX(E277:AE277)</f>
        <v>39</v>
      </c>
      <c r="E277" s="19" t="n">
        <v>20</v>
      </c>
      <c r="F277" s="19" t="n">
        <v>27</v>
      </c>
      <c r="G277" s="19" t="n">
        <v>22</v>
      </c>
      <c r="H277" s="19" t="n">
        <v>30</v>
      </c>
      <c r="I277" s="19" t="n">
        <v>29</v>
      </c>
      <c r="J277" s="19" t="n">
        <v>33</v>
      </c>
      <c r="K277" s="19" t="n">
        <v>27</v>
      </c>
      <c r="L277" s="19" t="n">
        <v>29</v>
      </c>
      <c r="M277" s="19" t="n">
        <v>32</v>
      </c>
      <c r="N277" s="19" t="n">
        <v>26</v>
      </c>
      <c r="O277" s="19" t="n">
        <v>29</v>
      </c>
      <c r="P277" s="19" t="n">
        <v>20</v>
      </c>
      <c r="Q277" s="19" t="n">
        <v>32</v>
      </c>
      <c r="R277" s="19" t="n">
        <v>33</v>
      </c>
      <c r="S277" s="19" t="n">
        <v>20</v>
      </c>
      <c r="T277" s="19" t="n">
        <v>39</v>
      </c>
      <c r="U277" s="19" t="n">
        <v>28</v>
      </c>
      <c r="V277" s="19" t="n">
        <v>33</v>
      </c>
      <c r="W277" s="19" t="n">
        <v>32</v>
      </c>
      <c r="X277" s="19" t="n">
        <v>29</v>
      </c>
      <c r="Y277" s="19" t="n">
        <v>25</v>
      </c>
      <c r="Z277" s="19" t="n">
        <v>22</v>
      </c>
      <c r="AA277" s="19" t="n">
        <v>28</v>
      </c>
      <c r="AB277" s="19" t="n">
        <v>25</v>
      </c>
      <c r="AC277" s="19" t="n">
        <v>26</v>
      </c>
      <c r="AD277" s="19" t="n">
        <v>30</v>
      </c>
      <c r="AE277" s="2" t="n">
        <v>19</v>
      </c>
      <c r="AF277" s="19"/>
      <c r="AG277" s="19"/>
      <c r="AH277" s="19"/>
    </row>
    <row r="278" customFormat="false" ht="12.75" hidden="false" customHeight="false" outlineLevel="0" collapsed="false">
      <c r="A278" s="16" t="s">
        <v>389</v>
      </c>
      <c r="B278" s="17" t="n">
        <f aca="false">AVERAGE(E278:AE278)</f>
        <v>27.5925925925926</v>
      </c>
      <c r="C278" s="2" t="n">
        <f aca="false">MIN(E278:AE278)</f>
        <v>19</v>
      </c>
      <c r="D278" s="18" t="n">
        <f aca="false">MAX(E278:AE278)</f>
        <v>39</v>
      </c>
      <c r="E278" s="19" t="n">
        <v>20</v>
      </c>
      <c r="F278" s="19" t="n">
        <v>27</v>
      </c>
      <c r="G278" s="19" t="n">
        <v>22</v>
      </c>
      <c r="H278" s="19" t="n">
        <v>30</v>
      </c>
      <c r="I278" s="19" t="n">
        <v>29</v>
      </c>
      <c r="J278" s="19" t="n">
        <v>33</v>
      </c>
      <c r="K278" s="19" t="n">
        <v>27</v>
      </c>
      <c r="L278" s="19" t="n">
        <v>29</v>
      </c>
      <c r="M278" s="19" t="n">
        <v>32</v>
      </c>
      <c r="N278" s="19" t="n">
        <v>26</v>
      </c>
      <c r="O278" s="19" t="n">
        <v>29</v>
      </c>
      <c r="P278" s="19" t="n">
        <v>20</v>
      </c>
      <c r="Q278" s="19" t="n">
        <v>32</v>
      </c>
      <c r="R278" s="19" t="n">
        <v>33</v>
      </c>
      <c r="S278" s="19" t="n">
        <v>20</v>
      </c>
      <c r="T278" s="19" t="n">
        <v>39</v>
      </c>
      <c r="U278" s="19" t="n">
        <v>28</v>
      </c>
      <c r="V278" s="19" t="n">
        <v>33</v>
      </c>
      <c r="W278" s="19" t="n">
        <v>32</v>
      </c>
      <c r="X278" s="19" t="n">
        <v>29</v>
      </c>
      <c r="Y278" s="19" t="n">
        <v>25</v>
      </c>
      <c r="Z278" s="19" t="n">
        <v>22</v>
      </c>
      <c r="AA278" s="19" t="n">
        <v>28</v>
      </c>
      <c r="AB278" s="19" t="n">
        <v>25</v>
      </c>
      <c r="AC278" s="19" t="n">
        <v>26</v>
      </c>
      <c r="AD278" s="19" t="n">
        <v>30</v>
      </c>
      <c r="AE278" s="2" t="n">
        <v>19</v>
      </c>
      <c r="AF278" s="19"/>
      <c r="AG278" s="19"/>
      <c r="AH278" s="19"/>
    </row>
    <row r="279" customFormat="false" ht="12.75" hidden="false" customHeight="false" outlineLevel="0" collapsed="false">
      <c r="A279" s="16" t="s">
        <v>390</v>
      </c>
      <c r="B279" s="17" t="n">
        <f aca="false">AVERAGE(E279:AE279)</f>
        <v>27.6666666666667</v>
      </c>
      <c r="C279" s="2" t="n">
        <f aca="false">MIN(E279:AE279)</f>
        <v>19</v>
      </c>
      <c r="D279" s="18" t="n">
        <f aca="false">MAX(E279:AE279)</f>
        <v>40</v>
      </c>
      <c r="E279" s="19" t="n">
        <v>20</v>
      </c>
      <c r="F279" s="19" t="n">
        <v>27</v>
      </c>
      <c r="G279" s="19" t="n">
        <v>22</v>
      </c>
      <c r="H279" s="19" t="n">
        <v>30</v>
      </c>
      <c r="I279" s="19" t="n">
        <v>29</v>
      </c>
      <c r="J279" s="19" t="n">
        <v>33</v>
      </c>
      <c r="K279" s="19" t="n">
        <v>27</v>
      </c>
      <c r="L279" s="19" t="n">
        <v>30</v>
      </c>
      <c r="M279" s="19" t="n">
        <v>32</v>
      </c>
      <c r="N279" s="19" t="n">
        <v>26</v>
      </c>
      <c r="O279" s="19" t="n">
        <v>29</v>
      </c>
      <c r="P279" s="19" t="n">
        <v>20</v>
      </c>
      <c r="Q279" s="19" t="n">
        <v>32</v>
      </c>
      <c r="R279" s="19" t="n">
        <v>33</v>
      </c>
      <c r="S279" s="19" t="n">
        <v>20</v>
      </c>
      <c r="T279" s="19" t="n">
        <v>40</v>
      </c>
      <c r="U279" s="19" t="n">
        <v>28</v>
      </c>
      <c r="V279" s="19" t="n">
        <v>33</v>
      </c>
      <c r="W279" s="19" t="n">
        <v>32</v>
      </c>
      <c r="X279" s="19" t="n">
        <v>29</v>
      </c>
      <c r="Y279" s="19" t="n">
        <v>25</v>
      </c>
      <c r="Z279" s="19" t="n">
        <v>22</v>
      </c>
      <c r="AA279" s="19" t="n">
        <v>28</v>
      </c>
      <c r="AB279" s="19" t="n">
        <v>25</v>
      </c>
      <c r="AC279" s="19" t="n">
        <v>26</v>
      </c>
      <c r="AD279" s="19" t="n">
        <v>30</v>
      </c>
      <c r="AE279" s="2" t="n">
        <v>19</v>
      </c>
      <c r="AF279" s="19"/>
      <c r="AG279" s="19"/>
      <c r="AH279" s="19"/>
    </row>
    <row r="280" customFormat="false" ht="12.75" hidden="false" customHeight="false" outlineLevel="0" collapsed="false">
      <c r="A280" s="16" t="s">
        <v>391</v>
      </c>
      <c r="B280" s="17" t="n">
        <f aca="false">AVERAGE(E280:AE280)</f>
        <v>27.6666666666667</v>
      </c>
      <c r="C280" s="2" t="n">
        <f aca="false">MIN(E280:AE280)</f>
        <v>19</v>
      </c>
      <c r="D280" s="18" t="n">
        <f aca="false">MAX(E280:AE280)</f>
        <v>40</v>
      </c>
      <c r="E280" s="19" t="n">
        <v>20</v>
      </c>
      <c r="F280" s="19" t="n">
        <v>27</v>
      </c>
      <c r="G280" s="19" t="n">
        <v>22</v>
      </c>
      <c r="H280" s="19" t="n">
        <v>30</v>
      </c>
      <c r="I280" s="19" t="n">
        <v>29</v>
      </c>
      <c r="J280" s="19" t="n">
        <v>33</v>
      </c>
      <c r="K280" s="19" t="n">
        <v>27</v>
      </c>
      <c r="L280" s="19" t="n">
        <v>30</v>
      </c>
      <c r="M280" s="19" t="n">
        <v>32</v>
      </c>
      <c r="N280" s="19" t="n">
        <v>26</v>
      </c>
      <c r="O280" s="19" t="n">
        <v>29</v>
      </c>
      <c r="P280" s="19" t="n">
        <v>20</v>
      </c>
      <c r="Q280" s="19" t="n">
        <v>32</v>
      </c>
      <c r="R280" s="19" t="n">
        <v>33</v>
      </c>
      <c r="S280" s="19" t="n">
        <v>20</v>
      </c>
      <c r="T280" s="19" t="n">
        <v>40</v>
      </c>
      <c r="U280" s="19" t="n">
        <v>28</v>
      </c>
      <c r="V280" s="19" t="n">
        <v>33</v>
      </c>
      <c r="W280" s="19" t="n">
        <v>32</v>
      </c>
      <c r="X280" s="19" t="n">
        <v>29</v>
      </c>
      <c r="Y280" s="19" t="n">
        <v>25</v>
      </c>
      <c r="Z280" s="19" t="n">
        <v>22</v>
      </c>
      <c r="AA280" s="19" t="n">
        <v>28</v>
      </c>
      <c r="AB280" s="19" t="n">
        <v>25</v>
      </c>
      <c r="AC280" s="19" t="n">
        <v>26</v>
      </c>
      <c r="AD280" s="19" t="n">
        <v>30</v>
      </c>
      <c r="AE280" s="2" t="n">
        <v>19</v>
      </c>
      <c r="AF280" s="19"/>
      <c r="AG280" s="19"/>
      <c r="AH280" s="19"/>
    </row>
    <row r="281" customFormat="false" ht="12.75" hidden="false" customHeight="false" outlineLevel="0" collapsed="false">
      <c r="A281" s="16" t="s">
        <v>392</v>
      </c>
      <c r="B281" s="17" t="n">
        <f aca="false">AVERAGE(E281:AE281)</f>
        <v>27.7037037037037</v>
      </c>
      <c r="C281" s="2" t="n">
        <f aca="false">MIN(E281:AE281)</f>
        <v>19</v>
      </c>
      <c r="D281" s="18" t="n">
        <f aca="false">MAX(E281:AE281)</f>
        <v>40</v>
      </c>
      <c r="E281" s="19" t="n">
        <v>20</v>
      </c>
      <c r="F281" s="19" t="n">
        <v>27</v>
      </c>
      <c r="G281" s="19" t="n">
        <v>22</v>
      </c>
      <c r="H281" s="19" t="n">
        <v>30</v>
      </c>
      <c r="I281" s="19" t="n">
        <v>29</v>
      </c>
      <c r="J281" s="19" t="n">
        <v>33</v>
      </c>
      <c r="K281" s="19" t="n">
        <v>27</v>
      </c>
      <c r="L281" s="19" t="n">
        <v>30</v>
      </c>
      <c r="M281" s="19" t="n">
        <v>32</v>
      </c>
      <c r="N281" s="19" t="n">
        <v>26</v>
      </c>
      <c r="O281" s="19" t="n">
        <v>29</v>
      </c>
      <c r="P281" s="19" t="n">
        <v>20</v>
      </c>
      <c r="Q281" s="19" t="n">
        <v>32</v>
      </c>
      <c r="R281" s="19" t="n">
        <v>33</v>
      </c>
      <c r="S281" s="19" t="n">
        <v>20</v>
      </c>
      <c r="T281" s="19" t="n">
        <v>40</v>
      </c>
      <c r="U281" s="19" t="n">
        <v>28</v>
      </c>
      <c r="V281" s="19" t="n">
        <v>33</v>
      </c>
      <c r="W281" s="19" t="n">
        <v>32</v>
      </c>
      <c r="X281" s="19" t="n">
        <v>29</v>
      </c>
      <c r="Y281" s="19" t="n">
        <v>25</v>
      </c>
      <c r="Z281" s="19" t="n">
        <v>22</v>
      </c>
      <c r="AA281" s="19" t="n">
        <v>28</v>
      </c>
      <c r="AB281" s="19" t="n">
        <v>25</v>
      </c>
      <c r="AC281" s="30" t="n">
        <v>27</v>
      </c>
      <c r="AD281" s="19" t="n">
        <v>30</v>
      </c>
      <c r="AE281" s="2" t="n">
        <v>19</v>
      </c>
      <c r="AF281" s="19"/>
      <c r="AG281" s="19"/>
      <c r="AH281" s="19"/>
    </row>
    <row r="282" customFormat="false" ht="12.75" hidden="false" customHeight="false" outlineLevel="0" collapsed="false">
      <c r="A282" s="16" t="s">
        <v>393</v>
      </c>
      <c r="B282" s="17" t="n">
        <f aca="false">AVERAGE(E282:AE282)</f>
        <v>27.7037037037037</v>
      </c>
      <c r="C282" s="2" t="n">
        <f aca="false">MIN(E282:AE282)</f>
        <v>19</v>
      </c>
      <c r="D282" s="18" t="n">
        <f aca="false">MAX(E282:AE282)</f>
        <v>40</v>
      </c>
      <c r="E282" s="19" t="n">
        <v>20</v>
      </c>
      <c r="F282" s="19" t="n">
        <v>27</v>
      </c>
      <c r="G282" s="19" t="n">
        <v>22</v>
      </c>
      <c r="H282" s="19" t="n">
        <v>30</v>
      </c>
      <c r="I282" s="19" t="n">
        <v>29</v>
      </c>
      <c r="J282" s="19" t="n">
        <v>33</v>
      </c>
      <c r="K282" s="19" t="n">
        <v>27</v>
      </c>
      <c r="L282" s="19" t="n">
        <v>30</v>
      </c>
      <c r="M282" s="19" t="n">
        <v>32</v>
      </c>
      <c r="N282" s="19" t="n">
        <v>26</v>
      </c>
      <c r="O282" s="19" t="n">
        <v>29</v>
      </c>
      <c r="P282" s="19" t="n">
        <v>20</v>
      </c>
      <c r="Q282" s="19" t="n">
        <v>32</v>
      </c>
      <c r="R282" s="19" t="n">
        <v>33</v>
      </c>
      <c r="S282" s="19" t="n">
        <v>20</v>
      </c>
      <c r="T282" s="19" t="n">
        <v>40</v>
      </c>
      <c r="U282" s="19" t="n">
        <v>28</v>
      </c>
      <c r="V282" s="19" t="n">
        <v>33</v>
      </c>
      <c r="W282" s="19" t="n">
        <v>32</v>
      </c>
      <c r="X282" s="19" t="n">
        <v>29</v>
      </c>
      <c r="Y282" s="19" t="n">
        <v>25</v>
      </c>
      <c r="Z282" s="19" t="n">
        <v>22</v>
      </c>
      <c r="AA282" s="19" t="n">
        <v>28</v>
      </c>
      <c r="AB282" s="19" t="n">
        <v>25</v>
      </c>
      <c r="AC282" s="19" t="n">
        <v>27</v>
      </c>
      <c r="AD282" s="19" t="n">
        <v>30</v>
      </c>
      <c r="AE282" s="2" t="n">
        <v>19</v>
      </c>
      <c r="AF282" s="19"/>
      <c r="AG282" s="19"/>
      <c r="AH282" s="19"/>
    </row>
    <row r="283" customFormat="false" ht="12.75" hidden="false" customHeight="false" outlineLevel="0" collapsed="false">
      <c r="A283" s="16" t="s">
        <v>394</v>
      </c>
      <c r="B283" s="17" t="n">
        <f aca="false">AVERAGE(E283:AE283)</f>
        <v>27.7037037037037</v>
      </c>
      <c r="C283" s="2" t="n">
        <f aca="false">MIN(E283:AE283)</f>
        <v>19</v>
      </c>
      <c r="D283" s="18" t="n">
        <f aca="false">MAX(E283:AE283)</f>
        <v>40</v>
      </c>
      <c r="E283" s="19" t="n">
        <v>20</v>
      </c>
      <c r="F283" s="19" t="n">
        <v>27</v>
      </c>
      <c r="G283" s="19" t="n">
        <v>22</v>
      </c>
      <c r="H283" s="19" t="n">
        <v>30</v>
      </c>
      <c r="I283" s="19" t="n">
        <v>29</v>
      </c>
      <c r="J283" s="19" t="n">
        <v>33</v>
      </c>
      <c r="K283" s="19" t="n">
        <v>27</v>
      </c>
      <c r="L283" s="19" t="n">
        <v>30</v>
      </c>
      <c r="M283" s="19" t="n">
        <v>32</v>
      </c>
      <c r="N283" s="19" t="n">
        <v>26</v>
      </c>
      <c r="O283" s="19" t="n">
        <v>29</v>
      </c>
      <c r="P283" s="19" t="n">
        <v>20</v>
      </c>
      <c r="Q283" s="19" t="n">
        <v>32</v>
      </c>
      <c r="R283" s="19" t="n">
        <v>33</v>
      </c>
      <c r="S283" s="19" t="n">
        <v>20</v>
      </c>
      <c r="T283" s="19" t="n">
        <v>40</v>
      </c>
      <c r="U283" s="19" t="n">
        <v>28</v>
      </c>
      <c r="V283" s="19" t="n">
        <v>33</v>
      </c>
      <c r="W283" s="19" t="n">
        <v>32</v>
      </c>
      <c r="X283" s="19" t="n">
        <v>29</v>
      </c>
      <c r="Y283" s="19" t="n">
        <v>25</v>
      </c>
      <c r="Z283" s="19" t="n">
        <v>22</v>
      </c>
      <c r="AA283" s="19" t="n">
        <v>28</v>
      </c>
      <c r="AB283" s="19" t="n">
        <v>25</v>
      </c>
      <c r="AC283" s="19" t="n">
        <v>27</v>
      </c>
      <c r="AD283" s="19" t="n">
        <v>30</v>
      </c>
      <c r="AE283" s="2" t="n">
        <v>19</v>
      </c>
      <c r="AF283" s="19"/>
      <c r="AG283" s="19"/>
      <c r="AH283" s="19"/>
    </row>
    <row r="284" customFormat="false" ht="12.75" hidden="false" customHeight="false" outlineLevel="0" collapsed="false">
      <c r="A284" s="16" t="s">
        <v>395</v>
      </c>
      <c r="B284" s="17" t="n">
        <f aca="false">AVERAGE(E284:AE284)</f>
        <v>27.7037037037037</v>
      </c>
      <c r="C284" s="2" t="n">
        <f aca="false">MIN(E284:AE284)</f>
        <v>19</v>
      </c>
      <c r="D284" s="18" t="n">
        <f aca="false">MAX(E284:AE284)</f>
        <v>40</v>
      </c>
      <c r="E284" s="19" t="n">
        <v>20</v>
      </c>
      <c r="F284" s="19" t="n">
        <v>27</v>
      </c>
      <c r="G284" s="19" t="n">
        <v>22</v>
      </c>
      <c r="H284" s="19" t="n">
        <v>30</v>
      </c>
      <c r="I284" s="19" t="n">
        <v>29</v>
      </c>
      <c r="J284" s="19" t="n">
        <v>33</v>
      </c>
      <c r="K284" s="19" t="n">
        <v>27</v>
      </c>
      <c r="L284" s="19" t="n">
        <v>30</v>
      </c>
      <c r="M284" s="19" t="n">
        <v>32</v>
      </c>
      <c r="N284" s="19" t="n">
        <v>26</v>
      </c>
      <c r="O284" s="19" t="n">
        <v>29</v>
      </c>
      <c r="P284" s="19" t="n">
        <v>20</v>
      </c>
      <c r="Q284" s="19" t="n">
        <v>32</v>
      </c>
      <c r="R284" s="19" t="n">
        <v>33</v>
      </c>
      <c r="S284" s="19" t="n">
        <v>20</v>
      </c>
      <c r="T284" s="19" t="n">
        <v>40</v>
      </c>
      <c r="U284" s="19" t="n">
        <v>28</v>
      </c>
      <c r="V284" s="19" t="n">
        <v>33</v>
      </c>
      <c r="W284" s="19" t="n">
        <v>32</v>
      </c>
      <c r="X284" s="19" t="n">
        <v>29</v>
      </c>
      <c r="Y284" s="19" t="n">
        <v>25</v>
      </c>
      <c r="Z284" s="19" t="n">
        <v>22</v>
      </c>
      <c r="AA284" s="19" t="n">
        <v>28</v>
      </c>
      <c r="AB284" s="19" t="n">
        <v>25</v>
      </c>
      <c r="AC284" s="19" t="n">
        <v>27</v>
      </c>
      <c r="AD284" s="19" t="n">
        <v>30</v>
      </c>
      <c r="AE284" s="2" t="n">
        <v>19</v>
      </c>
      <c r="AF284" s="19"/>
      <c r="AG284" s="19"/>
      <c r="AH284" s="19"/>
    </row>
    <row r="285" customFormat="false" ht="12.75" hidden="false" customHeight="false" outlineLevel="0" collapsed="false">
      <c r="A285" s="16" t="s">
        <v>396</v>
      </c>
      <c r="B285" s="17" t="n">
        <f aca="false">AVERAGE(E285:AE285)</f>
        <v>27.7037037037037</v>
      </c>
      <c r="C285" s="2" t="n">
        <f aca="false">MIN(E285:AE285)</f>
        <v>19</v>
      </c>
      <c r="D285" s="18" t="n">
        <f aca="false">MAX(E285:AE285)</f>
        <v>40</v>
      </c>
      <c r="E285" s="19" t="n">
        <v>20</v>
      </c>
      <c r="F285" s="19" t="n">
        <v>27</v>
      </c>
      <c r="G285" s="19" t="n">
        <v>22</v>
      </c>
      <c r="H285" s="19" t="n">
        <v>30</v>
      </c>
      <c r="I285" s="19" t="n">
        <v>29</v>
      </c>
      <c r="J285" s="19" t="n">
        <v>33</v>
      </c>
      <c r="K285" s="19" t="n">
        <v>27</v>
      </c>
      <c r="L285" s="19" t="n">
        <v>30</v>
      </c>
      <c r="M285" s="19" t="n">
        <v>32</v>
      </c>
      <c r="N285" s="19" t="n">
        <v>26</v>
      </c>
      <c r="O285" s="19" t="n">
        <v>29</v>
      </c>
      <c r="P285" s="19" t="n">
        <v>20</v>
      </c>
      <c r="Q285" s="19" t="n">
        <v>32</v>
      </c>
      <c r="R285" s="19" t="n">
        <v>33</v>
      </c>
      <c r="S285" s="19" t="n">
        <v>20</v>
      </c>
      <c r="T285" s="19" t="n">
        <v>40</v>
      </c>
      <c r="U285" s="19" t="n">
        <v>28</v>
      </c>
      <c r="V285" s="19" t="n">
        <v>33</v>
      </c>
      <c r="W285" s="19" t="n">
        <v>32</v>
      </c>
      <c r="X285" s="19" t="n">
        <v>29</v>
      </c>
      <c r="Y285" s="19" t="n">
        <v>25</v>
      </c>
      <c r="Z285" s="19" t="n">
        <v>22</v>
      </c>
      <c r="AA285" s="19" t="n">
        <v>28</v>
      </c>
      <c r="AB285" s="19" t="n">
        <v>25</v>
      </c>
      <c r="AC285" s="19" t="n">
        <v>27</v>
      </c>
      <c r="AD285" s="19" t="n">
        <v>30</v>
      </c>
      <c r="AE285" s="2" t="n">
        <v>19</v>
      </c>
      <c r="AF285" s="19"/>
      <c r="AG285" s="19"/>
      <c r="AH285" s="19"/>
    </row>
    <row r="286" customFormat="false" ht="12.75" hidden="false" customHeight="false" outlineLevel="0" collapsed="false">
      <c r="A286" s="16" t="s">
        <v>397</v>
      </c>
      <c r="B286" s="17" t="n">
        <f aca="false">AVERAGE(E286:AE286)</f>
        <v>27.7037037037037</v>
      </c>
      <c r="C286" s="2" t="n">
        <f aca="false">MIN(E286:AE286)</f>
        <v>19</v>
      </c>
      <c r="D286" s="18" t="n">
        <f aca="false">MAX(E286:AE286)</f>
        <v>40</v>
      </c>
      <c r="E286" s="19" t="n">
        <v>20</v>
      </c>
      <c r="F286" s="19" t="n">
        <v>27</v>
      </c>
      <c r="G286" s="19" t="n">
        <v>22</v>
      </c>
      <c r="H286" s="19" t="n">
        <v>30</v>
      </c>
      <c r="I286" s="19" t="n">
        <v>29</v>
      </c>
      <c r="J286" s="19" t="n">
        <v>33</v>
      </c>
      <c r="K286" s="19" t="n">
        <v>27</v>
      </c>
      <c r="L286" s="19" t="n">
        <v>30</v>
      </c>
      <c r="M286" s="19" t="n">
        <v>32</v>
      </c>
      <c r="N286" s="19" t="n">
        <v>26</v>
      </c>
      <c r="O286" s="19" t="n">
        <v>29</v>
      </c>
      <c r="P286" s="19" t="n">
        <v>20</v>
      </c>
      <c r="Q286" s="19" t="n">
        <v>32</v>
      </c>
      <c r="R286" s="19" t="n">
        <v>33</v>
      </c>
      <c r="S286" s="19" t="n">
        <v>20</v>
      </c>
      <c r="T286" s="19" t="n">
        <v>40</v>
      </c>
      <c r="U286" s="19" t="n">
        <v>28</v>
      </c>
      <c r="V286" s="19" t="n">
        <v>33</v>
      </c>
      <c r="W286" s="19" t="n">
        <v>32</v>
      </c>
      <c r="X286" s="19" t="n">
        <v>29</v>
      </c>
      <c r="Y286" s="19" t="n">
        <v>25</v>
      </c>
      <c r="Z286" s="19" t="n">
        <v>22</v>
      </c>
      <c r="AA286" s="19" t="n">
        <v>28</v>
      </c>
      <c r="AB286" s="19" t="n">
        <v>25</v>
      </c>
      <c r="AC286" s="19" t="n">
        <v>27</v>
      </c>
      <c r="AD286" s="19" t="n">
        <v>30</v>
      </c>
      <c r="AE286" s="2" t="n">
        <v>19</v>
      </c>
      <c r="AF286" s="19"/>
      <c r="AG286" s="19"/>
      <c r="AH286" s="19"/>
    </row>
    <row r="287" customFormat="false" ht="12.75" hidden="false" customHeight="false" outlineLevel="0" collapsed="false">
      <c r="A287" s="16" t="s">
        <v>398</v>
      </c>
      <c r="B287" s="17" t="n">
        <f aca="false">AVERAGE(E287:AE287)</f>
        <v>27.7037037037037</v>
      </c>
      <c r="C287" s="2" t="n">
        <f aca="false">MIN(E287:AE287)</f>
        <v>19</v>
      </c>
      <c r="D287" s="18" t="n">
        <f aca="false">MAX(E287:AE287)</f>
        <v>40</v>
      </c>
      <c r="E287" s="19" t="n">
        <v>20</v>
      </c>
      <c r="F287" s="19" t="n">
        <v>27</v>
      </c>
      <c r="G287" s="19" t="n">
        <v>22</v>
      </c>
      <c r="H287" s="19" t="n">
        <v>30</v>
      </c>
      <c r="I287" s="19" t="n">
        <v>29</v>
      </c>
      <c r="J287" s="19" t="n">
        <v>33</v>
      </c>
      <c r="K287" s="19" t="n">
        <v>27</v>
      </c>
      <c r="L287" s="19" t="n">
        <v>30</v>
      </c>
      <c r="M287" s="19" t="n">
        <v>32</v>
      </c>
      <c r="N287" s="19" t="n">
        <v>26</v>
      </c>
      <c r="O287" s="19" t="n">
        <v>29</v>
      </c>
      <c r="P287" s="19" t="n">
        <v>20</v>
      </c>
      <c r="Q287" s="19" t="n">
        <v>32</v>
      </c>
      <c r="R287" s="19" t="n">
        <v>33</v>
      </c>
      <c r="S287" s="19" t="n">
        <v>20</v>
      </c>
      <c r="T287" s="19" t="n">
        <v>40</v>
      </c>
      <c r="U287" s="19" t="n">
        <v>28</v>
      </c>
      <c r="V287" s="19" t="n">
        <v>33</v>
      </c>
      <c r="W287" s="19" t="n">
        <v>32</v>
      </c>
      <c r="X287" s="19" t="n">
        <v>29</v>
      </c>
      <c r="Y287" s="19" t="n">
        <v>25</v>
      </c>
      <c r="Z287" s="19" t="n">
        <v>22</v>
      </c>
      <c r="AA287" s="19" t="n">
        <v>28</v>
      </c>
      <c r="AB287" s="19" t="n">
        <v>25</v>
      </c>
      <c r="AC287" s="19" t="n">
        <v>27</v>
      </c>
      <c r="AD287" s="19" t="n">
        <v>30</v>
      </c>
      <c r="AE287" s="2" t="n">
        <v>19</v>
      </c>
      <c r="AF287" s="19"/>
      <c r="AG287" s="19"/>
      <c r="AH287" s="19"/>
    </row>
    <row r="288" customFormat="false" ht="12.75" hidden="false" customHeight="false" outlineLevel="0" collapsed="false">
      <c r="A288" s="16" t="s">
        <v>399</v>
      </c>
      <c r="B288" s="17" t="n">
        <f aca="false">AVERAGE(E288:AE288)</f>
        <v>27.7037037037037</v>
      </c>
      <c r="C288" s="2" t="n">
        <f aca="false">MIN(E288:AE288)</f>
        <v>19</v>
      </c>
      <c r="D288" s="18" t="n">
        <f aca="false">MAX(E288:AE288)</f>
        <v>40</v>
      </c>
      <c r="E288" s="19" t="n">
        <v>20</v>
      </c>
      <c r="F288" s="19" t="n">
        <v>27</v>
      </c>
      <c r="G288" s="19" t="n">
        <v>22</v>
      </c>
      <c r="H288" s="19" t="n">
        <v>30</v>
      </c>
      <c r="I288" s="19" t="n">
        <v>29</v>
      </c>
      <c r="J288" s="19" t="n">
        <v>33</v>
      </c>
      <c r="K288" s="19" t="n">
        <v>27</v>
      </c>
      <c r="L288" s="19" t="n">
        <v>30</v>
      </c>
      <c r="M288" s="19" t="n">
        <v>32</v>
      </c>
      <c r="N288" s="19" t="n">
        <v>26</v>
      </c>
      <c r="O288" s="19" t="n">
        <v>29</v>
      </c>
      <c r="P288" s="19" t="n">
        <v>20</v>
      </c>
      <c r="Q288" s="19" t="n">
        <v>32</v>
      </c>
      <c r="R288" s="19" t="n">
        <v>33</v>
      </c>
      <c r="S288" s="19" t="n">
        <v>20</v>
      </c>
      <c r="T288" s="19" t="n">
        <v>40</v>
      </c>
      <c r="U288" s="19" t="n">
        <v>28</v>
      </c>
      <c r="V288" s="19" t="n">
        <v>33</v>
      </c>
      <c r="W288" s="19" t="n">
        <v>32</v>
      </c>
      <c r="X288" s="19" t="n">
        <v>29</v>
      </c>
      <c r="Y288" s="19" t="n">
        <v>25</v>
      </c>
      <c r="Z288" s="19" t="n">
        <v>22</v>
      </c>
      <c r="AA288" s="19" t="n">
        <v>28</v>
      </c>
      <c r="AB288" s="19" t="n">
        <v>25</v>
      </c>
      <c r="AC288" s="19" t="n">
        <v>27</v>
      </c>
      <c r="AD288" s="19" t="n">
        <v>30</v>
      </c>
      <c r="AE288" s="2" t="n">
        <v>19</v>
      </c>
      <c r="AF288" s="19"/>
      <c r="AG288" s="19"/>
      <c r="AH288" s="19"/>
    </row>
    <row r="289" customFormat="false" ht="12.75" hidden="false" customHeight="false" outlineLevel="0" collapsed="false">
      <c r="A289" s="16" t="s">
        <v>400</v>
      </c>
      <c r="B289" s="17" t="n">
        <f aca="false">AVERAGE(E289:AE289)</f>
        <v>27.7037037037037</v>
      </c>
      <c r="C289" s="2" t="n">
        <f aca="false">MIN(E289:AE289)</f>
        <v>19</v>
      </c>
      <c r="D289" s="18" t="n">
        <f aca="false">MAX(E289:AE289)</f>
        <v>40</v>
      </c>
      <c r="E289" s="19" t="n">
        <v>20</v>
      </c>
      <c r="F289" s="19" t="n">
        <v>27</v>
      </c>
      <c r="G289" s="19" t="n">
        <v>22</v>
      </c>
      <c r="H289" s="19" t="n">
        <v>30</v>
      </c>
      <c r="I289" s="19" t="n">
        <v>29</v>
      </c>
      <c r="J289" s="19" t="n">
        <v>33</v>
      </c>
      <c r="K289" s="19" t="n">
        <v>27</v>
      </c>
      <c r="L289" s="19" t="n">
        <v>30</v>
      </c>
      <c r="M289" s="19" t="n">
        <v>32</v>
      </c>
      <c r="N289" s="19" t="n">
        <v>26</v>
      </c>
      <c r="O289" s="19" t="n">
        <v>29</v>
      </c>
      <c r="P289" s="19" t="n">
        <v>20</v>
      </c>
      <c r="Q289" s="19" t="n">
        <v>32</v>
      </c>
      <c r="R289" s="19" t="n">
        <v>33</v>
      </c>
      <c r="S289" s="19" t="n">
        <v>20</v>
      </c>
      <c r="T289" s="19" t="n">
        <v>40</v>
      </c>
      <c r="U289" s="19" t="n">
        <v>28</v>
      </c>
      <c r="V289" s="19" t="n">
        <v>33</v>
      </c>
      <c r="W289" s="19" t="n">
        <v>32</v>
      </c>
      <c r="X289" s="19" t="n">
        <v>29</v>
      </c>
      <c r="Y289" s="19" t="n">
        <v>25</v>
      </c>
      <c r="Z289" s="19" t="n">
        <v>22</v>
      </c>
      <c r="AA289" s="19" t="n">
        <v>28</v>
      </c>
      <c r="AB289" s="19" t="n">
        <v>25</v>
      </c>
      <c r="AC289" s="19" t="n">
        <v>27</v>
      </c>
      <c r="AD289" s="19" t="n">
        <v>30</v>
      </c>
      <c r="AE289" s="2" t="n">
        <v>19</v>
      </c>
      <c r="AF289" s="19"/>
      <c r="AG289" s="19"/>
      <c r="AH289" s="19"/>
    </row>
    <row r="290" customFormat="false" ht="12.75" hidden="false" customHeight="false" outlineLevel="0" collapsed="false">
      <c r="A290" s="16" t="s">
        <v>401</v>
      </c>
      <c r="B290" s="17" t="n">
        <f aca="false">AVERAGE(E290:AE290)</f>
        <v>27.7037037037037</v>
      </c>
      <c r="C290" s="2" t="n">
        <f aca="false">MIN(E290:AE290)</f>
        <v>19</v>
      </c>
      <c r="D290" s="18" t="n">
        <f aca="false">MAX(E290:AE290)</f>
        <v>40</v>
      </c>
      <c r="E290" s="19" t="n">
        <v>20</v>
      </c>
      <c r="F290" s="19" t="n">
        <v>27</v>
      </c>
      <c r="G290" s="19" t="n">
        <v>22</v>
      </c>
      <c r="H290" s="19" t="n">
        <v>30</v>
      </c>
      <c r="I290" s="19" t="n">
        <v>29</v>
      </c>
      <c r="J290" s="19" t="n">
        <v>33</v>
      </c>
      <c r="K290" s="19" t="n">
        <v>27</v>
      </c>
      <c r="L290" s="19" t="n">
        <v>30</v>
      </c>
      <c r="M290" s="19" t="n">
        <v>32</v>
      </c>
      <c r="N290" s="19" t="n">
        <v>26</v>
      </c>
      <c r="O290" s="19" t="n">
        <v>29</v>
      </c>
      <c r="P290" s="19" t="n">
        <v>20</v>
      </c>
      <c r="Q290" s="19" t="n">
        <v>32</v>
      </c>
      <c r="R290" s="19" t="n">
        <v>33</v>
      </c>
      <c r="S290" s="19" t="n">
        <v>20</v>
      </c>
      <c r="T290" s="19" t="n">
        <v>40</v>
      </c>
      <c r="U290" s="19" t="n">
        <v>28</v>
      </c>
      <c r="V290" s="19" t="n">
        <v>33</v>
      </c>
      <c r="W290" s="19" t="n">
        <v>32</v>
      </c>
      <c r="X290" s="19" t="n">
        <v>29</v>
      </c>
      <c r="Y290" s="19" t="n">
        <v>25</v>
      </c>
      <c r="Z290" s="19" t="n">
        <v>22</v>
      </c>
      <c r="AA290" s="19" t="n">
        <v>28</v>
      </c>
      <c r="AB290" s="19" t="n">
        <v>25</v>
      </c>
      <c r="AC290" s="19" t="n">
        <v>27</v>
      </c>
      <c r="AD290" s="19" t="n">
        <v>30</v>
      </c>
      <c r="AE290" s="2" t="n">
        <v>19</v>
      </c>
      <c r="AF290" s="19"/>
      <c r="AG290" s="19"/>
      <c r="AH290" s="19"/>
    </row>
    <row r="291" customFormat="false" ht="12.75" hidden="false" customHeight="false" outlineLevel="0" collapsed="false">
      <c r="A291" s="16" t="s">
        <v>402</v>
      </c>
      <c r="B291" s="17" t="n">
        <f aca="false">AVERAGE(E291:AE291)</f>
        <v>27.7037037037037</v>
      </c>
      <c r="C291" s="2" t="n">
        <f aca="false">MIN(E291:AE291)</f>
        <v>19</v>
      </c>
      <c r="D291" s="18" t="n">
        <f aca="false">MAX(E291:AE291)</f>
        <v>40</v>
      </c>
      <c r="E291" s="19" t="n">
        <v>20</v>
      </c>
      <c r="F291" s="19" t="n">
        <v>27</v>
      </c>
      <c r="G291" s="19" t="n">
        <v>22</v>
      </c>
      <c r="H291" s="19" t="n">
        <v>30</v>
      </c>
      <c r="I291" s="19" t="n">
        <v>29</v>
      </c>
      <c r="J291" s="19" t="n">
        <v>33</v>
      </c>
      <c r="K291" s="19" t="n">
        <v>27</v>
      </c>
      <c r="L291" s="19" t="n">
        <v>30</v>
      </c>
      <c r="M291" s="19" t="n">
        <v>32</v>
      </c>
      <c r="N291" s="19" t="n">
        <v>26</v>
      </c>
      <c r="O291" s="19" t="n">
        <v>29</v>
      </c>
      <c r="P291" s="19" t="n">
        <v>20</v>
      </c>
      <c r="Q291" s="19" t="n">
        <v>32</v>
      </c>
      <c r="R291" s="19" t="n">
        <v>33</v>
      </c>
      <c r="S291" s="19" t="n">
        <v>20</v>
      </c>
      <c r="T291" s="19" t="n">
        <v>40</v>
      </c>
      <c r="U291" s="19" t="n">
        <v>28</v>
      </c>
      <c r="V291" s="19" t="n">
        <v>33</v>
      </c>
      <c r="W291" s="19" t="n">
        <v>32</v>
      </c>
      <c r="X291" s="19" t="n">
        <v>29</v>
      </c>
      <c r="Y291" s="19" t="n">
        <v>25</v>
      </c>
      <c r="Z291" s="19" t="n">
        <v>22</v>
      </c>
      <c r="AA291" s="19" t="n">
        <v>28</v>
      </c>
      <c r="AB291" s="19" t="n">
        <v>25</v>
      </c>
      <c r="AC291" s="19" t="n">
        <v>27</v>
      </c>
      <c r="AD291" s="19" t="n">
        <v>30</v>
      </c>
      <c r="AE291" s="2" t="n">
        <v>19</v>
      </c>
      <c r="AF291" s="19"/>
      <c r="AG291" s="19"/>
      <c r="AH291" s="19"/>
    </row>
    <row r="292" customFormat="false" ht="12.75" hidden="false" customHeight="false" outlineLevel="0" collapsed="false">
      <c r="A292" s="16" t="s">
        <v>403</v>
      </c>
      <c r="B292" s="17" t="n">
        <f aca="false">AVERAGE(E292:AE292)</f>
        <v>27.7037037037037</v>
      </c>
      <c r="C292" s="2" t="n">
        <f aca="false">MIN(E292:AE292)</f>
        <v>19</v>
      </c>
      <c r="D292" s="18" t="n">
        <f aca="false">MAX(E292:AE292)</f>
        <v>40</v>
      </c>
      <c r="E292" s="19" t="n">
        <v>20</v>
      </c>
      <c r="F292" s="19" t="n">
        <v>27</v>
      </c>
      <c r="G292" s="19" t="n">
        <v>22</v>
      </c>
      <c r="H292" s="19" t="n">
        <v>30</v>
      </c>
      <c r="I292" s="19" t="n">
        <v>29</v>
      </c>
      <c r="J292" s="19" t="n">
        <v>33</v>
      </c>
      <c r="K292" s="19" t="n">
        <v>27</v>
      </c>
      <c r="L292" s="19" t="n">
        <v>30</v>
      </c>
      <c r="M292" s="19" t="n">
        <v>32</v>
      </c>
      <c r="N292" s="19" t="n">
        <v>26</v>
      </c>
      <c r="O292" s="19" t="n">
        <v>29</v>
      </c>
      <c r="P292" s="19" t="n">
        <v>20</v>
      </c>
      <c r="Q292" s="19" t="n">
        <v>32</v>
      </c>
      <c r="R292" s="19" t="n">
        <v>33</v>
      </c>
      <c r="S292" s="19" t="n">
        <v>20</v>
      </c>
      <c r="T292" s="19" t="n">
        <v>40</v>
      </c>
      <c r="U292" s="19" t="n">
        <v>28</v>
      </c>
      <c r="V292" s="19" t="n">
        <v>33</v>
      </c>
      <c r="W292" s="19" t="n">
        <v>32</v>
      </c>
      <c r="X292" s="19" t="n">
        <v>29</v>
      </c>
      <c r="Y292" s="19" t="n">
        <v>25</v>
      </c>
      <c r="Z292" s="19" t="n">
        <v>22</v>
      </c>
      <c r="AA292" s="19" t="n">
        <v>28</v>
      </c>
      <c r="AB292" s="19" t="n">
        <v>25</v>
      </c>
      <c r="AC292" s="19" t="n">
        <v>27</v>
      </c>
      <c r="AD292" s="19" t="n">
        <v>30</v>
      </c>
      <c r="AE292" s="2" t="n">
        <v>19</v>
      </c>
      <c r="AF292" s="19"/>
      <c r="AG292" s="19"/>
      <c r="AH292" s="19"/>
    </row>
    <row r="293" customFormat="false" ht="12.75" hidden="false" customHeight="false" outlineLevel="0" collapsed="false">
      <c r="A293" s="16" t="s">
        <v>404</v>
      </c>
      <c r="B293" s="17" t="n">
        <f aca="false">AVERAGE(E293:AE293)</f>
        <v>27.7037037037037</v>
      </c>
      <c r="C293" s="2" t="n">
        <f aca="false">MIN(E293:AE293)</f>
        <v>19</v>
      </c>
      <c r="D293" s="18" t="n">
        <f aca="false">MAX(E293:AE293)</f>
        <v>40</v>
      </c>
      <c r="E293" s="19" t="n">
        <v>20</v>
      </c>
      <c r="F293" s="19" t="n">
        <v>27</v>
      </c>
      <c r="G293" s="19" t="n">
        <v>22</v>
      </c>
      <c r="H293" s="19" t="n">
        <v>30</v>
      </c>
      <c r="I293" s="19" t="n">
        <v>29</v>
      </c>
      <c r="J293" s="19" t="n">
        <v>33</v>
      </c>
      <c r="K293" s="19" t="n">
        <v>27</v>
      </c>
      <c r="L293" s="19" t="n">
        <v>30</v>
      </c>
      <c r="M293" s="19" t="n">
        <v>32</v>
      </c>
      <c r="N293" s="19" t="n">
        <v>26</v>
      </c>
      <c r="O293" s="19" t="n">
        <v>29</v>
      </c>
      <c r="P293" s="19" t="n">
        <v>20</v>
      </c>
      <c r="Q293" s="19" t="n">
        <v>32</v>
      </c>
      <c r="R293" s="19" t="n">
        <v>33</v>
      </c>
      <c r="S293" s="19" t="n">
        <v>20</v>
      </c>
      <c r="T293" s="19" t="n">
        <v>40</v>
      </c>
      <c r="U293" s="19" t="n">
        <v>28</v>
      </c>
      <c r="V293" s="19" t="n">
        <v>33</v>
      </c>
      <c r="W293" s="19" t="n">
        <v>32</v>
      </c>
      <c r="X293" s="19" t="n">
        <v>29</v>
      </c>
      <c r="Y293" s="19" t="n">
        <v>25</v>
      </c>
      <c r="Z293" s="19" t="n">
        <v>22</v>
      </c>
      <c r="AA293" s="19" t="n">
        <v>28</v>
      </c>
      <c r="AB293" s="19" t="n">
        <v>25</v>
      </c>
      <c r="AC293" s="19" t="n">
        <v>27</v>
      </c>
      <c r="AD293" s="19" t="n">
        <v>30</v>
      </c>
      <c r="AE293" s="2" t="n">
        <v>19</v>
      </c>
      <c r="AF293" s="19"/>
      <c r="AG293" s="19"/>
      <c r="AH293" s="19"/>
    </row>
    <row r="294" customFormat="false" ht="12.75" hidden="false" customHeight="false" outlineLevel="0" collapsed="false">
      <c r="A294" s="16" t="s">
        <v>405</v>
      </c>
      <c r="B294" s="17" t="n">
        <f aca="false">AVERAGE(E294:AE294)</f>
        <v>27.7037037037037</v>
      </c>
      <c r="C294" s="2" t="n">
        <f aca="false">MIN(E294:AE294)</f>
        <v>19</v>
      </c>
      <c r="D294" s="18" t="n">
        <f aca="false">MAX(E294:AE294)</f>
        <v>40</v>
      </c>
      <c r="E294" s="19" t="n">
        <v>20</v>
      </c>
      <c r="F294" s="19" t="n">
        <v>27</v>
      </c>
      <c r="G294" s="19" t="n">
        <v>22</v>
      </c>
      <c r="H294" s="19" t="n">
        <v>30</v>
      </c>
      <c r="I294" s="19" t="n">
        <v>29</v>
      </c>
      <c r="J294" s="19" t="n">
        <v>33</v>
      </c>
      <c r="K294" s="19" t="n">
        <v>27</v>
      </c>
      <c r="L294" s="19" t="n">
        <v>30</v>
      </c>
      <c r="M294" s="19" t="n">
        <v>32</v>
      </c>
      <c r="N294" s="19" t="n">
        <v>26</v>
      </c>
      <c r="O294" s="19" t="n">
        <v>29</v>
      </c>
      <c r="P294" s="19" t="n">
        <v>20</v>
      </c>
      <c r="Q294" s="19" t="n">
        <v>32</v>
      </c>
      <c r="R294" s="19" t="n">
        <v>33</v>
      </c>
      <c r="S294" s="19" t="n">
        <v>20</v>
      </c>
      <c r="T294" s="19" t="n">
        <v>40</v>
      </c>
      <c r="U294" s="19" t="n">
        <v>28</v>
      </c>
      <c r="V294" s="19" t="n">
        <v>33</v>
      </c>
      <c r="W294" s="19" t="n">
        <v>32</v>
      </c>
      <c r="X294" s="19" t="n">
        <v>29</v>
      </c>
      <c r="Y294" s="19" t="n">
        <v>25</v>
      </c>
      <c r="Z294" s="19" t="n">
        <v>22</v>
      </c>
      <c r="AA294" s="19" t="n">
        <v>28</v>
      </c>
      <c r="AB294" s="19" t="n">
        <v>25</v>
      </c>
      <c r="AC294" s="19" t="n">
        <v>27</v>
      </c>
      <c r="AD294" s="19" t="n">
        <v>30</v>
      </c>
      <c r="AE294" s="2" t="n">
        <v>19</v>
      </c>
      <c r="AF294" s="19"/>
      <c r="AG294" s="19"/>
      <c r="AH294" s="19"/>
    </row>
    <row r="295" customFormat="false" ht="12.75" hidden="false" customHeight="false" outlineLevel="0" collapsed="false">
      <c r="A295" s="16" t="s">
        <v>406</v>
      </c>
      <c r="B295" s="17" t="n">
        <f aca="false">AVERAGE(E295:AE295)</f>
        <v>27.7037037037037</v>
      </c>
      <c r="C295" s="2" t="n">
        <f aca="false">MIN(E295:AE295)</f>
        <v>19</v>
      </c>
      <c r="D295" s="18" t="n">
        <f aca="false">MAX(E295:AE295)</f>
        <v>40</v>
      </c>
      <c r="E295" s="19" t="n">
        <v>20</v>
      </c>
      <c r="F295" s="19" t="n">
        <v>27</v>
      </c>
      <c r="G295" s="19" t="n">
        <v>22</v>
      </c>
      <c r="H295" s="19" t="n">
        <v>30</v>
      </c>
      <c r="I295" s="19" t="n">
        <v>29</v>
      </c>
      <c r="J295" s="19" t="n">
        <v>33</v>
      </c>
      <c r="K295" s="19" t="n">
        <v>27</v>
      </c>
      <c r="L295" s="19" t="n">
        <v>30</v>
      </c>
      <c r="M295" s="19" t="n">
        <v>32</v>
      </c>
      <c r="N295" s="19" t="n">
        <v>26</v>
      </c>
      <c r="O295" s="19" t="n">
        <v>29</v>
      </c>
      <c r="P295" s="19" t="n">
        <v>20</v>
      </c>
      <c r="Q295" s="19" t="n">
        <v>32</v>
      </c>
      <c r="R295" s="19" t="n">
        <v>33</v>
      </c>
      <c r="S295" s="19" t="n">
        <v>20</v>
      </c>
      <c r="T295" s="19" t="n">
        <v>40</v>
      </c>
      <c r="U295" s="19" t="n">
        <v>28</v>
      </c>
      <c r="V295" s="19" t="n">
        <v>33</v>
      </c>
      <c r="W295" s="19" t="n">
        <v>32</v>
      </c>
      <c r="X295" s="19" t="n">
        <v>29</v>
      </c>
      <c r="Y295" s="19" t="n">
        <v>25</v>
      </c>
      <c r="Z295" s="19" t="n">
        <v>22</v>
      </c>
      <c r="AA295" s="19" t="n">
        <v>28</v>
      </c>
      <c r="AB295" s="19" t="n">
        <v>25</v>
      </c>
      <c r="AC295" s="19" t="n">
        <v>27</v>
      </c>
      <c r="AD295" s="19" t="n">
        <v>30</v>
      </c>
      <c r="AE295" s="2" t="n">
        <v>19</v>
      </c>
      <c r="AF295" s="19"/>
      <c r="AG295" s="19"/>
      <c r="AH295" s="19"/>
    </row>
    <row r="296" customFormat="false" ht="12.75" hidden="false" customHeight="false" outlineLevel="0" collapsed="false">
      <c r="A296" s="16" t="s">
        <v>407</v>
      </c>
      <c r="B296" s="17" t="n">
        <f aca="false">AVERAGE(E296:AE296)</f>
        <v>27.7037037037037</v>
      </c>
      <c r="C296" s="2" t="n">
        <f aca="false">MIN(E296:AE296)</f>
        <v>19</v>
      </c>
      <c r="D296" s="18" t="n">
        <f aca="false">MAX(E296:AE296)</f>
        <v>40</v>
      </c>
      <c r="E296" s="19" t="n">
        <v>20</v>
      </c>
      <c r="F296" s="19" t="n">
        <v>27</v>
      </c>
      <c r="G296" s="19" t="n">
        <v>22</v>
      </c>
      <c r="H296" s="19" t="n">
        <v>30</v>
      </c>
      <c r="I296" s="19" t="n">
        <v>29</v>
      </c>
      <c r="J296" s="19" t="n">
        <v>33</v>
      </c>
      <c r="K296" s="19" t="n">
        <v>27</v>
      </c>
      <c r="L296" s="19" t="n">
        <v>30</v>
      </c>
      <c r="M296" s="19" t="n">
        <v>32</v>
      </c>
      <c r="N296" s="19" t="n">
        <v>26</v>
      </c>
      <c r="O296" s="19" t="n">
        <v>29</v>
      </c>
      <c r="P296" s="19" t="n">
        <v>20</v>
      </c>
      <c r="Q296" s="19" t="n">
        <v>32</v>
      </c>
      <c r="R296" s="19" t="n">
        <v>33</v>
      </c>
      <c r="S296" s="19" t="n">
        <v>20</v>
      </c>
      <c r="T296" s="19" t="n">
        <v>40</v>
      </c>
      <c r="U296" s="19" t="n">
        <v>28</v>
      </c>
      <c r="V296" s="19" t="n">
        <v>33</v>
      </c>
      <c r="W296" s="19" t="n">
        <v>32</v>
      </c>
      <c r="X296" s="19" t="n">
        <v>29</v>
      </c>
      <c r="Y296" s="19" t="n">
        <v>25</v>
      </c>
      <c r="Z296" s="19" t="n">
        <v>22</v>
      </c>
      <c r="AA296" s="19" t="n">
        <v>28</v>
      </c>
      <c r="AB296" s="19" t="n">
        <v>25</v>
      </c>
      <c r="AC296" s="19" t="n">
        <v>27</v>
      </c>
      <c r="AD296" s="19" t="n">
        <v>30</v>
      </c>
      <c r="AE296" s="2" t="n">
        <v>19</v>
      </c>
      <c r="AF296" s="19"/>
      <c r="AG296" s="19"/>
      <c r="AH296" s="19"/>
    </row>
    <row r="297" customFormat="false" ht="12.75" hidden="false" customHeight="false" outlineLevel="0" collapsed="false">
      <c r="A297" s="16" t="s">
        <v>408</v>
      </c>
      <c r="B297" s="17" t="n">
        <f aca="false">AVERAGE(E297:AE297)</f>
        <v>27.7037037037037</v>
      </c>
      <c r="C297" s="2" t="n">
        <f aca="false">MIN(E297:AE297)</f>
        <v>19</v>
      </c>
      <c r="D297" s="18" t="n">
        <f aca="false">MAX(E297:AE297)</f>
        <v>40</v>
      </c>
      <c r="E297" s="19" t="n">
        <v>20</v>
      </c>
      <c r="F297" s="19" t="n">
        <v>27</v>
      </c>
      <c r="G297" s="19" t="n">
        <v>22</v>
      </c>
      <c r="H297" s="19" t="n">
        <v>30</v>
      </c>
      <c r="I297" s="19" t="n">
        <v>29</v>
      </c>
      <c r="J297" s="19" t="n">
        <v>33</v>
      </c>
      <c r="K297" s="19" t="n">
        <v>27</v>
      </c>
      <c r="L297" s="19" t="n">
        <v>30</v>
      </c>
      <c r="M297" s="19" t="n">
        <v>32</v>
      </c>
      <c r="N297" s="19" t="n">
        <v>26</v>
      </c>
      <c r="O297" s="19" t="n">
        <v>29</v>
      </c>
      <c r="P297" s="19" t="n">
        <v>20</v>
      </c>
      <c r="Q297" s="19" t="n">
        <v>32</v>
      </c>
      <c r="R297" s="19" t="n">
        <v>33</v>
      </c>
      <c r="S297" s="19" t="n">
        <v>20</v>
      </c>
      <c r="T297" s="19" t="n">
        <v>40</v>
      </c>
      <c r="U297" s="19" t="n">
        <v>28</v>
      </c>
      <c r="V297" s="19" t="n">
        <v>33</v>
      </c>
      <c r="W297" s="19" t="n">
        <v>32</v>
      </c>
      <c r="X297" s="19" t="n">
        <v>29</v>
      </c>
      <c r="Y297" s="19" t="n">
        <v>25</v>
      </c>
      <c r="Z297" s="19" t="n">
        <v>22</v>
      </c>
      <c r="AA297" s="19" t="n">
        <v>28</v>
      </c>
      <c r="AB297" s="19" t="n">
        <v>25</v>
      </c>
      <c r="AC297" s="19" t="n">
        <v>27</v>
      </c>
      <c r="AD297" s="19" t="n">
        <v>30</v>
      </c>
      <c r="AE297" s="2" t="n">
        <v>19</v>
      </c>
      <c r="AF297" s="19"/>
      <c r="AG297" s="19"/>
      <c r="AH297" s="19"/>
    </row>
    <row r="298" customFormat="false" ht="12.75" hidden="false" customHeight="false" outlineLevel="0" collapsed="false">
      <c r="A298" s="16" t="s">
        <v>409</v>
      </c>
      <c r="B298" s="17" t="n">
        <f aca="false">AVERAGE(E298:AE298)</f>
        <v>27.7037037037037</v>
      </c>
      <c r="C298" s="2" t="n">
        <f aca="false">MIN(E298:AE298)</f>
        <v>19</v>
      </c>
      <c r="D298" s="18" t="n">
        <f aca="false">MAX(E298:AE298)</f>
        <v>40</v>
      </c>
      <c r="E298" s="19" t="n">
        <v>20</v>
      </c>
      <c r="F298" s="19" t="n">
        <v>27</v>
      </c>
      <c r="G298" s="19" t="n">
        <v>22</v>
      </c>
      <c r="H298" s="19" t="n">
        <v>30</v>
      </c>
      <c r="I298" s="19" t="n">
        <v>29</v>
      </c>
      <c r="J298" s="19" t="n">
        <v>33</v>
      </c>
      <c r="K298" s="19" t="n">
        <v>27</v>
      </c>
      <c r="L298" s="19" t="n">
        <v>30</v>
      </c>
      <c r="M298" s="19" t="n">
        <v>32</v>
      </c>
      <c r="N298" s="19" t="n">
        <v>26</v>
      </c>
      <c r="O298" s="19" t="n">
        <v>29</v>
      </c>
      <c r="P298" s="19" t="n">
        <v>20</v>
      </c>
      <c r="Q298" s="19" t="n">
        <v>32</v>
      </c>
      <c r="R298" s="19" t="n">
        <v>33</v>
      </c>
      <c r="S298" s="19" t="n">
        <v>20</v>
      </c>
      <c r="T298" s="19" t="n">
        <v>40</v>
      </c>
      <c r="U298" s="19" t="n">
        <v>28</v>
      </c>
      <c r="V298" s="19" t="n">
        <v>33</v>
      </c>
      <c r="W298" s="19" t="n">
        <v>32</v>
      </c>
      <c r="X298" s="19" t="n">
        <v>29</v>
      </c>
      <c r="Y298" s="19" t="n">
        <v>25</v>
      </c>
      <c r="Z298" s="19" t="n">
        <v>22</v>
      </c>
      <c r="AA298" s="19" t="n">
        <v>28</v>
      </c>
      <c r="AB298" s="19" t="n">
        <v>25</v>
      </c>
      <c r="AC298" s="19" t="n">
        <v>27</v>
      </c>
      <c r="AD298" s="19" t="n">
        <v>30</v>
      </c>
      <c r="AE298" s="2" t="n">
        <v>19</v>
      </c>
      <c r="AF298" s="19"/>
      <c r="AG298" s="19"/>
      <c r="AH298" s="19"/>
    </row>
    <row r="299" customFormat="false" ht="12.75" hidden="false" customHeight="false" outlineLevel="0" collapsed="false">
      <c r="A299" s="16" t="s">
        <v>410</v>
      </c>
      <c r="B299" s="17" t="n">
        <f aca="false">AVERAGE(E299:AE299)</f>
        <v>27.7037037037037</v>
      </c>
      <c r="C299" s="2" t="n">
        <f aca="false">MIN(E299:AE299)</f>
        <v>19</v>
      </c>
      <c r="D299" s="18" t="n">
        <f aca="false">MAX(E299:AE299)</f>
        <v>40</v>
      </c>
      <c r="E299" s="19" t="n">
        <v>20</v>
      </c>
      <c r="F299" s="19" t="n">
        <v>27</v>
      </c>
      <c r="G299" s="19" t="n">
        <v>22</v>
      </c>
      <c r="H299" s="19" t="n">
        <v>30</v>
      </c>
      <c r="I299" s="19" t="n">
        <v>29</v>
      </c>
      <c r="J299" s="19" t="n">
        <v>33</v>
      </c>
      <c r="K299" s="19" t="n">
        <v>27</v>
      </c>
      <c r="L299" s="19" t="n">
        <v>30</v>
      </c>
      <c r="M299" s="19" t="n">
        <v>32</v>
      </c>
      <c r="N299" s="19" t="n">
        <v>26</v>
      </c>
      <c r="O299" s="19" t="n">
        <v>29</v>
      </c>
      <c r="P299" s="19" t="n">
        <v>20</v>
      </c>
      <c r="Q299" s="19" t="n">
        <v>32</v>
      </c>
      <c r="R299" s="19" t="n">
        <v>33</v>
      </c>
      <c r="S299" s="19" t="n">
        <v>20</v>
      </c>
      <c r="T299" s="19" t="n">
        <v>40</v>
      </c>
      <c r="U299" s="19" t="n">
        <v>28</v>
      </c>
      <c r="V299" s="19" t="n">
        <v>33</v>
      </c>
      <c r="W299" s="19" t="n">
        <v>32</v>
      </c>
      <c r="X299" s="19" t="n">
        <v>29</v>
      </c>
      <c r="Y299" s="19" t="n">
        <v>25</v>
      </c>
      <c r="Z299" s="19" t="n">
        <v>22</v>
      </c>
      <c r="AA299" s="19" t="n">
        <v>28</v>
      </c>
      <c r="AB299" s="19" t="n">
        <v>25</v>
      </c>
      <c r="AC299" s="19" t="n">
        <v>27</v>
      </c>
      <c r="AD299" s="19" t="n">
        <v>30</v>
      </c>
      <c r="AE299" s="2" t="n">
        <v>19</v>
      </c>
      <c r="AF299" s="19"/>
      <c r="AG299" s="19"/>
      <c r="AH299" s="19"/>
    </row>
    <row r="300" customFormat="false" ht="12.75" hidden="false" customHeight="false" outlineLevel="0" collapsed="false">
      <c r="A300" s="16" t="s">
        <v>411</v>
      </c>
      <c r="B300" s="17" t="n">
        <f aca="false">AVERAGE(E300:AE300)</f>
        <v>27.7037037037037</v>
      </c>
      <c r="C300" s="2" t="n">
        <f aca="false">MIN(E300:AE300)</f>
        <v>19</v>
      </c>
      <c r="D300" s="18" t="n">
        <f aca="false">MAX(E300:AE300)</f>
        <v>40</v>
      </c>
      <c r="E300" s="19" t="n">
        <v>20</v>
      </c>
      <c r="F300" s="19" t="n">
        <v>27</v>
      </c>
      <c r="G300" s="19" t="n">
        <v>22</v>
      </c>
      <c r="H300" s="19" t="n">
        <v>30</v>
      </c>
      <c r="I300" s="19" t="n">
        <v>29</v>
      </c>
      <c r="J300" s="19" t="n">
        <v>33</v>
      </c>
      <c r="K300" s="19" t="n">
        <v>27</v>
      </c>
      <c r="L300" s="19" t="n">
        <v>30</v>
      </c>
      <c r="M300" s="19" t="n">
        <v>32</v>
      </c>
      <c r="N300" s="19" t="n">
        <v>26</v>
      </c>
      <c r="O300" s="19" t="n">
        <v>29</v>
      </c>
      <c r="P300" s="19" t="n">
        <v>20</v>
      </c>
      <c r="Q300" s="19" t="n">
        <v>32</v>
      </c>
      <c r="R300" s="19" t="n">
        <v>33</v>
      </c>
      <c r="S300" s="19" t="n">
        <v>20</v>
      </c>
      <c r="T300" s="19" t="n">
        <v>40</v>
      </c>
      <c r="U300" s="19" t="n">
        <v>28</v>
      </c>
      <c r="V300" s="19" t="n">
        <v>33</v>
      </c>
      <c r="W300" s="19" t="n">
        <v>32</v>
      </c>
      <c r="X300" s="19" t="n">
        <v>29</v>
      </c>
      <c r="Y300" s="19" t="n">
        <v>25</v>
      </c>
      <c r="Z300" s="19" t="n">
        <v>22</v>
      </c>
      <c r="AA300" s="19" t="n">
        <v>28</v>
      </c>
      <c r="AB300" s="19" t="n">
        <v>25</v>
      </c>
      <c r="AC300" s="19" t="n">
        <v>27</v>
      </c>
      <c r="AD300" s="19" t="n">
        <v>30</v>
      </c>
      <c r="AE300" s="2" t="n">
        <v>19</v>
      </c>
      <c r="AF300" s="19"/>
      <c r="AG300" s="19"/>
      <c r="AH300" s="19"/>
    </row>
    <row r="301" customFormat="false" ht="12.75" hidden="false" customHeight="false" outlineLevel="0" collapsed="false">
      <c r="A301" s="16" t="s">
        <v>412</v>
      </c>
      <c r="B301" s="17" t="n">
        <f aca="false">AVERAGE(E301:AE301)</f>
        <v>27.7037037037037</v>
      </c>
      <c r="C301" s="2" t="n">
        <f aca="false">MIN(E301:AE301)</f>
        <v>19</v>
      </c>
      <c r="D301" s="18" t="n">
        <f aca="false">MAX(E301:AE301)</f>
        <v>40</v>
      </c>
      <c r="E301" s="19" t="n">
        <v>20</v>
      </c>
      <c r="F301" s="19" t="n">
        <v>27</v>
      </c>
      <c r="G301" s="19" t="n">
        <v>22</v>
      </c>
      <c r="H301" s="19" t="n">
        <v>30</v>
      </c>
      <c r="I301" s="19" t="n">
        <v>29</v>
      </c>
      <c r="J301" s="19" t="n">
        <v>33</v>
      </c>
      <c r="K301" s="19" t="n">
        <v>27</v>
      </c>
      <c r="L301" s="19" t="n">
        <v>30</v>
      </c>
      <c r="M301" s="19" t="n">
        <v>32</v>
      </c>
      <c r="N301" s="19" t="n">
        <v>26</v>
      </c>
      <c r="O301" s="19" t="n">
        <v>29</v>
      </c>
      <c r="P301" s="19" t="n">
        <v>20</v>
      </c>
      <c r="Q301" s="19" t="n">
        <v>32</v>
      </c>
      <c r="R301" s="19" t="n">
        <v>33</v>
      </c>
      <c r="S301" s="19" t="n">
        <v>20</v>
      </c>
      <c r="T301" s="19" t="n">
        <v>40</v>
      </c>
      <c r="U301" s="19" t="n">
        <v>28</v>
      </c>
      <c r="V301" s="19" t="n">
        <v>33</v>
      </c>
      <c r="W301" s="19" t="n">
        <v>32</v>
      </c>
      <c r="X301" s="19" t="n">
        <v>29</v>
      </c>
      <c r="Y301" s="19" t="n">
        <v>25</v>
      </c>
      <c r="Z301" s="19" t="n">
        <v>22</v>
      </c>
      <c r="AA301" s="19" t="n">
        <v>28</v>
      </c>
      <c r="AB301" s="19" t="n">
        <v>25</v>
      </c>
      <c r="AC301" s="19" t="n">
        <v>27</v>
      </c>
      <c r="AD301" s="19" t="n">
        <v>30</v>
      </c>
      <c r="AE301" s="2" t="n">
        <v>19</v>
      </c>
      <c r="AF301" s="19"/>
      <c r="AG301" s="19"/>
      <c r="AH301" s="19"/>
    </row>
    <row r="302" customFormat="false" ht="12.75" hidden="false" customHeight="false" outlineLevel="0" collapsed="false">
      <c r="A302" s="16" t="s">
        <v>413</v>
      </c>
      <c r="B302" s="17" t="n">
        <f aca="false">AVERAGE(E302:AE302)</f>
        <v>27.7407407407407</v>
      </c>
      <c r="C302" s="2" t="n">
        <f aca="false">MIN(E302:AE302)</f>
        <v>19</v>
      </c>
      <c r="D302" s="18" t="n">
        <f aca="false">MAX(E302:AE302)</f>
        <v>40</v>
      </c>
      <c r="E302" s="19" t="n">
        <v>20</v>
      </c>
      <c r="F302" s="19" t="n">
        <v>27</v>
      </c>
      <c r="G302" s="19" t="n">
        <v>22</v>
      </c>
      <c r="H302" s="19" t="n">
        <v>30</v>
      </c>
      <c r="I302" s="19" t="n">
        <v>29</v>
      </c>
      <c r="J302" s="19" t="n">
        <v>33</v>
      </c>
      <c r="K302" s="19" t="n">
        <v>27</v>
      </c>
      <c r="L302" s="19" t="n">
        <v>30</v>
      </c>
      <c r="M302" s="19" t="n">
        <v>32</v>
      </c>
      <c r="N302" s="19" t="n">
        <v>26</v>
      </c>
      <c r="O302" s="19" t="n">
        <v>29</v>
      </c>
      <c r="P302" s="19" t="n">
        <v>20</v>
      </c>
      <c r="Q302" s="19" t="n">
        <v>32</v>
      </c>
      <c r="R302" s="19" t="n">
        <v>33</v>
      </c>
      <c r="S302" s="19" t="n">
        <v>20</v>
      </c>
      <c r="T302" s="19" t="n">
        <v>40</v>
      </c>
      <c r="U302" s="19" t="n">
        <v>28</v>
      </c>
      <c r="V302" s="19" t="n">
        <v>33</v>
      </c>
      <c r="W302" s="19" t="n">
        <v>32</v>
      </c>
      <c r="X302" s="19" t="n">
        <v>29</v>
      </c>
      <c r="Y302" s="19" t="n">
        <v>25</v>
      </c>
      <c r="Z302" s="19" t="n">
        <v>22</v>
      </c>
      <c r="AA302" s="19" t="n">
        <v>28</v>
      </c>
      <c r="AB302" s="30" t="n">
        <v>26</v>
      </c>
      <c r="AC302" s="19" t="n">
        <v>27</v>
      </c>
      <c r="AD302" s="19" t="n">
        <v>30</v>
      </c>
      <c r="AE302" s="2" t="n">
        <v>19</v>
      </c>
      <c r="AF302" s="19"/>
      <c r="AG302" s="19"/>
      <c r="AH302" s="19"/>
    </row>
    <row r="303" customFormat="false" ht="12.75" hidden="false" customHeight="false" outlineLevel="0" collapsed="false">
      <c r="A303" s="16" t="s">
        <v>414</v>
      </c>
      <c r="B303" s="17" t="n">
        <f aca="false">AVERAGE(E303:AE303)</f>
        <v>27.7407407407407</v>
      </c>
      <c r="C303" s="2" t="n">
        <f aca="false">MIN(E303:AE303)</f>
        <v>19</v>
      </c>
      <c r="D303" s="18" t="n">
        <f aca="false">MAX(E303:AE303)</f>
        <v>40</v>
      </c>
      <c r="E303" s="19" t="n">
        <v>20</v>
      </c>
      <c r="F303" s="19" t="n">
        <v>27</v>
      </c>
      <c r="G303" s="19" t="n">
        <v>22</v>
      </c>
      <c r="H303" s="19" t="n">
        <v>30</v>
      </c>
      <c r="I303" s="19" t="n">
        <v>29</v>
      </c>
      <c r="J303" s="19" t="n">
        <v>33</v>
      </c>
      <c r="K303" s="19" t="n">
        <v>27</v>
      </c>
      <c r="L303" s="19" t="n">
        <v>30</v>
      </c>
      <c r="M303" s="19" t="n">
        <v>32</v>
      </c>
      <c r="N303" s="19" t="n">
        <v>26</v>
      </c>
      <c r="O303" s="19" t="n">
        <v>29</v>
      </c>
      <c r="P303" s="19" t="n">
        <v>20</v>
      </c>
      <c r="Q303" s="19" t="n">
        <v>32</v>
      </c>
      <c r="R303" s="19" t="n">
        <v>33</v>
      </c>
      <c r="S303" s="19" t="n">
        <v>20</v>
      </c>
      <c r="T303" s="19" t="n">
        <v>40</v>
      </c>
      <c r="U303" s="19" t="n">
        <v>28</v>
      </c>
      <c r="V303" s="19" t="n">
        <v>33</v>
      </c>
      <c r="W303" s="19" t="n">
        <v>32</v>
      </c>
      <c r="X303" s="19" t="n">
        <v>29</v>
      </c>
      <c r="Y303" s="19" t="n">
        <v>25</v>
      </c>
      <c r="Z303" s="19" t="n">
        <v>22</v>
      </c>
      <c r="AA303" s="19" t="n">
        <v>28</v>
      </c>
      <c r="AB303" s="19" t="n">
        <v>26</v>
      </c>
      <c r="AC303" s="19" t="n">
        <v>27</v>
      </c>
      <c r="AD303" s="19" t="n">
        <v>30</v>
      </c>
      <c r="AE303" s="2" t="n">
        <v>19</v>
      </c>
      <c r="AF303" s="19"/>
      <c r="AG303" s="19"/>
      <c r="AH303" s="19"/>
    </row>
    <row r="304" customFormat="false" ht="12.75" hidden="false" customHeight="false" outlineLevel="0" collapsed="false">
      <c r="A304" s="16" t="s">
        <v>415</v>
      </c>
      <c r="B304" s="17" t="n">
        <f aca="false">AVERAGE(E304:AE304)</f>
        <v>27.7407407407407</v>
      </c>
      <c r="C304" s="2" t="n">
        <f aca="false">MIN(E304:AE304)</f>
        <v>19</v>
      </c>
      <c r="D304" s="18" t="n">
        <f aca="false">MAX(E304:AE304)</f>
        <v>40</v>
      </c>
      <c r="E304" s="19" t="n">
        <v>20</v>
      </c>
      <c r="F304" s="19" t="n">
        <v>27</v>
      </c>
      <c r="G304" s="19" t="n">
        <v>22</v>
      </c>
      <c r="H304" s="19" t="n">
        <v>30</v>
      </c>
      <c r="I304" s="19" t="n">
        <v>29</v>
      </c>
      <c r="J304" s="19" t="n">
        <v>33</v>
      </c>
      <c r="K304" s="19" t="n">
        <v>27</v>
      </c>
      <c r="L304" s="19" t="n">
        <v>30</v>
      </c>
      <c r="M304" s="19" t="n">
        <v>32</v>
      </c>
      <c r="N304" s="19" t="n">
        <v>26</v>
      </c>
      <c r="O304" s="19" t="n">
        <v>29</v>
      </c>
      <c r="P304" s="19" t="n">
        <v>20</v>
      </c>
      <c r="Q304" s="19" t="n">
        <v>32</v>
      </c>
      <c r="R304" s="19" t="n">
        <v>33</v>
      </c>
      <c r="S304" s="19" t="n">
        <v>20</v>
      </c>
      <c r="T304" s="19" t="n">
        <v>40</v>
      </c>
      <c r="U304" s="19" t="n">
        <v>28</v>
      </c>
      <c r="V304" s="19" t="n">
        <v>33</v>
      </c>
      <c r="W304" s="19" t="n">
        <v>32</v>
      </c>
      <c r="X304" s="19" t="n">
        <v>29</v>
      </c>
      <c r="Y304" s="19" t="n">
        <v>25</v>
      </c>
      <c r="Z304" s="19" t="n">
        <v>22</v>
      </c>
      <c r="AA304" s="19" t="n">
        <v>28</v>
      </c>
      <c r="AB304" s="19" t="n">
        <v>26</v>
      </c>
      <c r="AC304" s="19" t="n">
        <v>27</v>
      </c>
      <c r="AD304" s="19" t="n">
        <v>30</v>
      </c>
      <c r="AE304" s="2" t="n">
        <v>19</v>
      </c>
      <c r="AF304" s="19"/>
      <c r="AG304" s="19"/>
      <c r="AH304" s="19"/>
    </row>
    <row r="305" customFormat="false" ht="12.75" hidden="false" customHeight="false" outlineLevel="0" collapsed="false">
      <c r="A305" s="16" t="s">
        <v>416</v>
      </c>
      <c r="B305" s="17" t="n">
        <f aca="false">AVERAGE(E305:AE305)</f>
        <v>27.7407407407407</v>
      </c>
      <c r="C305" s="2" t="n">
        <f aca="false">MIN(E305:AE305)</f>
        <v>19</v>
      </c>
      <c r="D305" s="18" t="n">
        <f aca="false">MAX(E305:AE305)</f>
        <v>40</v>
      </c>
      <c r="E305" s="19" t="n">
        <v>20</v>
      </c>
      <c r="F305" s="19" t="n">
        <v>27</v>
      </c>
      <c r="G305" s="19" t="n">
        <v>22</v>
      </c>
      <c r="H305" s="19" t="n">
        <v>30</v>
      </c>
      <c r="I305" s="19" t="n">
        <v>29</v>
      </c>
      <c r="J305" s="19" t="n">
        <v>33</v>
      </c>
      <c r="K305" s="19" t="n">
        <v>27</v>
      </c>
      <c r="L305" s="19" t="n">
        <v>30</v>
      </c>
      <c r="M305" s="19" t="n">
        <v>32</v>
      </c>
      <c r="N305" s="19" t="n">
        <v>26</v>
      </c>
      <c r="O305" s="19" t="n">
        <v>29</v>
      </c>
      <c r="P305" s="19" t="n">
        <v>20</v>
      </c>
      <c r="Q305" s="19" t="n">
        <v>32</v>
      </c>
      <c r="R305" s="19" t="n">
        <v>33</v>
      </c>
      <c r="S305" s="19" t="n">
        <v>20</v>
      </c>
      <c r="T305" s="19" t="n">
        <v>40</v>
      </c>
      <c r="U305" s="19" t="n">
        <v>28</v>
      </c>
      <c r="V305" s="19" t="n">
        <v>33</v>
      </c>
      <c r="W305" s="19" t="n">
        <v>32</v>
      </c>
      <c r="X305" s="19" t="n">
        <v>29</v>
      </c>
      <c r="Y305" s="19" t="n">
        <v>25</v>
      </c>
      <c r="Z305" s="19" t="n">
        <v>22</v>
      </c>
      <c r="AA305" s="19" t="n">
        <v>28</v>
      </c>
      <c r="AB305" s="19" t="n">
        <v>26</v>
      </c>
      <c r="AC305" s="19" t="n">
        <v>27</v>
      </c>
      <c r="AD305" s="19" t="n">
        <v>30</v>
      </c>
      <c r="AE305" s="2" t="n">
        <v>19</v>
      </c>
      <c r="AF305" s="19"/>
      <c r="AG305" s="19"/>
      <c r="AH305" s="19"/>
    </row>
    <row r="306" customFormat="false" ht="12.75" hidden="false" customHeight="false" outlineLevel="0" collapsed="false">
      <c r="A306" s="16" t="s">
        <v>417</v>
      </c>
      <c r="B306" s="17" t="n">
        <f aca="false">AVERAGE(E306:AE306)</f>
        <v>27.7407407407407</v>
      </c>
      <c r="C306" s="2" t="n">
        <f aca="false">MIN(E306:AE306)</f>
        <v>19</v>
      </c>
      <c r="D306" s="18" t="n">
        <f aca="false">MAX(E306:AE306)</f>
        <v>40</v>
      </c>
      <c r="E306" s="19" t="n">
        <v>20</v>
      </c>
      <c r="F306" s="19" t="n">
        <v>27</v>
      </c>
      <c r="G306" s="19" t="n">
        <v>22</v>
      </c>
      <c r="H306" s="19" t="n">
        <v>30</v>
      </c>
      <c r="I306" s="19" t="n">
        <v>29</v>
      </c>
      <c r="J306" s="19" t="n">
        <v>33</v>
      </c>
      <c r="K306" s="19" t="n">
        <v>27</v>
      </c>
      <c r="L306" s="19" t="n">
        <v>30</v>
      </c>
      <c r="M306" s="19" t="n">
        <v>32</v>
      </c>
      <c r="N306" s="19" t="n">
        <v>26</v>
      </c>
      <c r="O306" s="19" t="n">
        <v>29</v>
      </c>
      <c r="P306" s="19" t="n">
        <v>20</v>
      </c>
      <c r="Q306" s="19" t="n">
        <v>32</v>
      </c>
      <c r="R306" s="19" t="n">
        <v>33</v>
      </c>
      <c r="S306" s="19" t="n">
        <v>20</v>
      </c>
      <c r="T306" s="19" t="n">
        <v>40</v>
      </c>
      <c r="U306" s="19" t="n">
        <v>28</v>
      </c>
      <c r="V306" s="19" t="n">
        <v>33</v>
      </c>
      <c r="W306" s="19" t="n">
        <v>32</v>
      </c>
      <c r="X306" s="19" t="n">
        <v>29</v>
      </c>
      <c r="Y306" s="19" t="n">
        <v>25</v>
      </c>
      <c r="Z306" s="19" t="n">
        <v>22</v>
      </c>
      <c r="AA306" s="19" t="n">
        <v>28</v>
      </c>
      <c r="AB306" s="19" t="n">
        <v>26</v>
      </c>
      <c r="AC306" s="19" t="n">
        <v>27</v>
      </c>
      <c r="AD306" s="19" t="n">
        <v>30</v>
      </c>
      <c r="AE306" s="2" t="n">
        <v>19</v>
      </c>
      <c r="AF306" s="19"/>
      <c r="AG306" s="19"/>
      <c r="AH306" s="19"/>
    </row>
    <row r="307" customFormat="false" ht="12.75" hidden="false" customHeight="false" outlineLevel="0" collapsed="false">
      <c r="A307" s="16" t="s">
        <v>418</v>
      </c>
      <c r="B307" s="17" t="n">
        <f aca="false">AVERAGE(E307:AE307)</f>
        <v>27.8148148148148</v>
      </c>
      <c r="C307" s="2" t="n">
        <f aca="false">MIN(E307:AE307)</f>
        <v>19</v>
      </c>
      <c r="D307" s="18" t="n">
        <f aca="false">MAX(E307:AE307)</f>
        <v>40</v>
      </c>
      <c r="E307" s="19" t="n">
        <v>20</v>
      </c>
      <c r="F307" s="19" t="n">
        <v>27</v>
      </c>
      <c r="G307" s="19" t="n">
        <v>22</v>
      </c>
      <c r="H307" s="19" t="n">
        <v>30</v>
      </c>
      <c r="I307" s="19" t="n">
        <v>29</v>
      </c>
      <c r="J307" s="19" t="n">
        <v>33</v>
      </c>
      <c r="K307" s="19" t="n">
        <v>27</v>
      </c>
      <c r="L307" s="30" t="n">
        <v>31</v>
      </c>
      <c r="M307" s="19" t="n">
        <v>32</v>
      </c>
      <c r="N307" s="19" t="n">
        <v>26</v>
      </c>
      <c r="O307" s="19" t="n">
        <v>29</v>
      </c>
      <c r="P307" s="19" t="n">
        <v>20</v>
      </c>
      <c r="Q307" s="19" t="n">
        <v>32</v>
      </c>
      <c r="R307" s="19" t="n">
        <v>33</v>
      </c>
      <c r="S307" s="19" t="n">
        <v>20</v>
      </c>
      <c r="T307" s="19" t="n">
        <v>40</v>
      </c>
      <c r="U307" s="19" t="n">
        <v>28</v>
      </c>
      <c r="V307" s="19" t="n">
        <v>33</v>
      </c>
      <c r="W307" s="19" t="n">
        <v>33</v>
      </c>
      <c r="X307" s="19" t="n">
        <v>29</v>
      </c>
      <c r="Y307" s="19" t="n">
        <v>25</v>
      </c>
      <c r="Z307" s="19" t="n">
        <v>22</v>
      </c>
      <c r="AA307" s="19" t="n">
        <v>28</v>
      </c>
      <c r="AB307" s="19" t="n">
        <v>26</v>
      </c>
      <c r="AC307" s="19" t="n">
        <v>27</v>
      </c>
      <c r="AD307" s="19" t="n">
        <v>30</v>
      </c>
      <c r="AE307" s="2" t="n">
        <v>19</v>
      </c>
      <c r="AF307" s="19"/>
      <c r="AG307" s="19"/>
      <c r="AH307" s="19"/>
    </row>
    <row r="308" customFormat="false" ht="12.75" hidden="false" customHeight="false" outlineLevel="0" collapsed="false">
      <c r="A308" s="16" t="s">
        <v>419</v>
      </c>
      <c r="B308" s="17" t="n">
        <f aca="false">AVERAGE(E308:AE308)</f>
        <v>27.8518518518519</v>
      </c>
      <c r="C308" s="2" t="n">
        <f aca="false">MIN(E308:AE308)</f>
        <v>19</v>
      </c>
      <c r="D308" s="18" t="n">
        <f aca="false">MAX(E308:AE308)</f>
        <v>40</v>
      </c>
      <c r="E308" s="19" t="n">
        <v>20</v>
      </c>
      <c r="F308" s="19" t="n">
        <v>27</v>
      </c>
      <c r="G308" s="19" t="n">
        <v>22</v>
      </c>
      <c r="H308" s="19" t="n">
        <v>30</v>
      </c>
      <c r="I308" s="19" t="n">
        <v>29</v>
      </c>
      <c r="J308" s="19" t="n">
        <v>34</v>
      </c>
      <c r="K308" s="19" t="n">
        <v>27</v>
      </c>
      <c r="L308" s="19" t="n">
        <v>31</v>
      </c>
      <c r="M308" s="19" t="n">
        <v>32</v>
      </c>
      <c r="N308" s="19" t="n">
        <v>26</v>
      </c>
      <c r="O308" s="19" t="n">
        <v>29</v>
      </c>
      <c r="P308" s="19" t="n">
        <v>20</v>
      </c>
      <c r="Q308" s="19" t="n">
        <v>32</v>
      </c>
      <c r="R308" s="19" t="n">
        <v>33</v>
      </c>
      <c r="S308" s="19" t="n">
        <v>20</v>
      </c>
      <c r="T308" s="19" t="n">
        <v>40</v>
      </c>
      <c r="U308" s="19" t="n">
        <v>28</v>
      </c>
      <c r="V308" s="19" t="n">
        <v>33</v>
      </c>
      <c r="W308" s="19" t="n">
        <v>33</v>
      </c>
      <c r="X308" s="19" t="n">
        <v>29</v>
      </c>
      <c r="Y308" s="19" t="n">
        <v>25</v>
      </c>
      <c r="Z308" s="19" t="n">
        <v>22</v>
      </c>
      <c r="AA308" s="19" t="n">
        <v>28</v>
      </c>
      <c r="AB308" s="19" t="n">
        <v>26</v>
      </c>
      <c r="AC308" s="19" t="n">
        <v>27</v>
      </c>
      <c r="AD308" s="19" t="n">
        <v>30</v>
      </c>
      <c r="AE308" s="2" t="n">
        <v>19</v>
      </c>
      <c r="AF308" s="19"/>
      <c r="AG308" s="19"/>
      <c r="AH308" s="19"/>
    </row>
    <row r="309" customFormat="false" ht="12.75" hidden="false" customHeight="false" outlineLevel="0" collapsed="false">
      <c r="A309" s="16" t="s">
        <v>420</v>
      </c>
      <c r="B309" s="17" t="n">
        <f aca="false">AVERAGE(E309:AE309)</f>
        <v>27.8518518518519</v>
      </c>
      <c r="C309" s="2" t="n">
        <f aca="false">MIN(E309:AE309)</f>
        <v>19</v>
      </c>
      <c r="D309" s="18" t="n">
        <f aca="false">MAX(E309:AE309)</f>
        <v>40</v>
      </c>
      <c r="E309" s="19" t="n">
        <v>20</v>
      </c>
      <c r="F309" s="19" t="n">
        <v>27</v>
      </c>
      <c r="G309" s="19" t="n">
        <v>22</v>
      </c>
      <c r="H309" s="19" t="n">
        <v>30</v>
      </c>
      <c r="I309" s="19" t="n">
        <v>29</v>
      </c>
      <c r="J309" s="19" t="n">
        <v>34</v>
      </c>
      <c r="K309" s="19" t="n">
        <v>27</v>
      </c>
      <c r="L309" s="19" t="n">
        <v>31</v>
      </c>
      <c r="M309" s="19" t="n">
        <v>32</v>
      </c>
      <c r="N309" s="19" t="n">
        <v>26</v>
      </c>
      <c r="O309" s="19" t="n">
        <v>29</v>
      </c>
      <c r="P309" s="19" t="n">
        <v>20</v>
      </c>
      <c r="Q309" s="19" t="n">
        <v>32</v>
      </c>
      <c r="R309" s="19" t="n">
        <v>33</v>
      </c>
      <c r="S309" s="19" t="n">
        <v>20</v>
      </c>
      <c r="T309" s="19" t="n">
        <v>40</v>
      </c>
      <c r="U309" s="19" t="n">
        <v>28</v>
      </c>
      <c r="V309" s="19" t="n">
        <v>33</v>
      </c>
      <c r="W309" s="19" t="n">
        <v>33</v>
      </c>
      <c r="X309" s="19" t="n">
        <v>29</v>
      </c>
      <c r="Y309" s="19" t="n">
        <v>25</v>
      </c>
      <c r="Z309" s="19" t="n">
        <v>22</v>
      </c>
      <c r="AA309" s="19" t="n">
        <v>28</v>
      </c>
      <c r="AB309" s="19" t="n">
        <v>26</v>
      </c>
      <c r="AC309" s="19" t="n">
        <v>27</v>
      </c>
      <c r="AD309" s="19" t="n">
        <v>30</v>
      </c>
      <c r="AE309" s="2" t="n">
        <v>19</v>
      </c>
      <c r="AF309" s="19"/>
      <c r="AG309" s="19"/>
      <c r="AH309" s="19"/>
    </row>
    <row r="310" customFormat="false" ht="12.75" hidden="false" customHeight="false" outlineLevel="0" collapsed="false">
      <c r="A310" s="16" t="s">
        <v>421</v>
      </c>
      <c r="B310" s="17" t="n">
        <f aca="false">AVERAGE(E310:AE310)</f>
        <v>27.8518518518519</v>
      </c>
      <c r="C310" s="2" t="n">
        <f aca="false">MIN(E310:AE310)</f>
        <v>19</v>
      </c>
      <c r="D310" s="18" t="n">
        <f aca="false">MAX(E310:AE310)</f>
        <v>40</v>
      </c>
      <c r="E310" s="19" t="n">
        <v>20</v>
      </c>
      <c r="F310" s="19" t="n">
        <v>27</v>
      </c>
      <c r="G310" s="19" t="n">
        <v>22</v>
      </c>
      <c r="H310" s="19" t="n">
        <v>30</v>
      </c>
      <c r="I310" s="19" t="n">
        <v>29</v>
      </c>
      <c r="J310" s="19" t="n">
        <v>34</v>
      </c>
      <c r="K310" s="19" t="n">
        <v>27</v>
      </c>
      <c r="L310" s="19" t="n">
        <v>31</v>
      </c>
      <c r="M310" s="19" t="n">
        <v>32</v>
      </c>
      <c r="N310" s="19" t="n">
        <v>26</v>
      </c>
      <c r="O310" s="19" t="n">
        <v>29</v>
      </c>
      <c r="P310" s="19" t="n">
        <v>20</v>
      </c>
      <c r="Q310" s="19" t="n">
        <v>32</v>
      </c>
      <c r="R310" s="19" t="n">
        <v>33</v>
      </c>
      <c r="S310" s="19" t="n">
        <v>20</v>
      </c>
      <c r="T310" s="19" t="n">
        <v>40</v>
      </c>
      <c r="U310" s="19" t="n">
        <v>28</v>
      </c>
      <c r="V310" s="19" t="n">
        <v>33</v>
      </c>
      <c r="W310" s="19" t="n">
        <v>33</v>
      </c>
      <c r="X310" s="19" t="n">
        <v>29</v>
      </c>
      <c r="Y310" s="19" t="n">
        <v>25</v>
      </c>
      <c r="Z310" s="19" t="n">
        <v>22</v>
      </c>
      <c r="AA310" s="19" t="n">
        <v>28</v>
      </c>
      <c r="AB310" s="19" t="n">
        <v>26</v>
      </c>
      <c r="AC310" s="19" t="n">
        <v>27</v>
      </c>
      <c r="AD310" s="19" t="n">
        <v>30</v>
      </c>
      <c r="AE310" s="2" t="n">
        <v>19</v>
      </c>
      <c r="AF310" s="19"/>
      <c r="AG310" s="19"/>
      <c r="AH310" s="19"/>
    </row>
    <row r="311" customFormat="false" ht="12.75" hidden="false" customHeight="false" outlineLevel="0" collapsed="false">
      <c r="A311" s="16" t="s">
        <v>422</v>
      </c>
      <c r="B311" s="17" t="n">
        <f aca="false">AVERAGE(E311:AE311)</f>
        <v>27.8518518518519</v>
      </c>
      <c r="C311" s="2" t="n">
        <f aca="false">MIN(E311:AE311)</f>
        <v>19</v>
      </c>
      <c r="D311" s="18" t="n">
        <f aca="false">MAX(E311:AE311)</f>
        <v>40</v>
      </c>
      <c r="E311" s="19" t="n">
        <v>20</v>
      </c>
      <c r="F311" s="19" t="n">
        <v>27</v>
      </c>
      <c r="G311" s="19" t="n">
        <v>22</v>
      </c>
      <c r="H311" s="19" t="n">
        <v>30</v>
      </c>
      <c r="I311" s="19" t="n">
        <v>29</v>
      </c>
      <c r="J311" s="19" t="n">
        <v>34</v>
      </c>
      <c r="K311" s="19" t="n">
        <v>27</v>
      </c>
      <c r="L311" s="19" t="n">
        <v>31</v>
      </c>
      <c r="M311" s="19" t="n">
        <v>32</v>
      </c>
      <c r="N311" s="19" t="n">
        <v>26</v>
      </c>
      <c r="O311" s="19" t="n">
        <v>29</v>
      </c>
      <c r="P311" s="19" t="n">
        <v>20</v>
      </c>
      <c r="Q311" s="19" t="n">
        <v>32</v>
      </c>
      <c r="R311" s="19" t="n">
        <v>33</v>
      </c>
      <c r="S311" s="19" t="n">
        <v>20</v>
      </c>
      <c r="T311" s="19" t="n">
        <v>40</v>
      </c>
      <c r="U311" s="19" t="n">
        <v>28</v>
      </c>
      <c r="V311" s="19" t="n">
        <v>33</v>
      </c>
      <c r="W311" s="19" t="n">
        <v>33</v>
      </c>
      <c r="X311" s="19" t="n">
        <v>29</v>
      </c>
      <c r="Y311" s="19" t="n">
        <v>25</v>
      </c>
      <c r="Z311" s="19" t="n">
        <v>22</v>
      </c>
      <c r="AA311" s="19" t="n">
        <v>28</v>
      </c>
      <c r="AB311" s="19" t="n">
        <v>26</v>
      </c>
      <c r="AC311" s="19" t="n">
        <v>27</v>
      </c>
      <c r="AD311" s="19" t="n">
        <v>30</v>
      </c>
      <c r="AE311" s="2" t="n">
        <v>19</v>
      </c>
      <c r="AF311" s="19"/>
      <c r="AG311" s="19"/>
      <c r="AH311" s="19"/>
    </row>
    <row r="312" customFormat="false" ht="12.75" hidden="false" customHeight="false" outlineLevel="0" collapsed="false">
      <c r="A312" s="16" t="s">
        <v>423</v>
      </c>
      <c r="B312" s="17" t="n">
        <f aca="false">AVERAGE(E312:AE312)</f>
        <v>27.8518518518519</v>
      </c>
      <c r="C312" s="2" t="n">
        <f aca="false">MIN(E312:AE312)</f>
        <v>19</v>
      </c>
      <c r="D312" s="18" t="n">
        <f aca="false">MAX(E312:AE312)</f>
        <v>40</v>
      </c>
      <c r="E312" s="19" t="n">
        <v>20</v>
      </c>
      <c r="F312" s="19" t="n">
        <v>27</v>
      </c>
      <c r="G312" s="19" t="n">
        <v>22</v>
      </c>
      <c r="H312" s="19" t="n">
        <v>30</v>
      </c>
      <c r="I312" s="19" t="n">
        <v>29</v>
      </c>
      <c r="J312" s="19" t="n">
        <v>34</v>
      </c>
      <c r="K312" s="19" t="n">
        <v>27</v>
      </c>
      <c r="L312" s="19" t="n">
        <v>31</v>
      </c>
      <c r="M312" s="19" t="n">
        <v>32</v>
      </c>
      <c r="N312" s="19" t="n">
        <v>26</v>
      </c>
      <c r="O312" s="19" t="n">
        <v>29</v>
      </c>
      <c r="P312" s="19" t="n">
        <v>20</v>
      </c>
      <c r="Q312" s="19" t="n">
        <v>32</v>
      </c>
      <c r="R312" s="19" t="n">
        <v>33</v>
      </c>
      <c r="S312" s="19" t="n">
        <v>20</v>
      </c>
      <c r="T312" s="19" t="n">
        <v>40</v>
      </c>
      <c r="U312" s="19" t="n">
        <v>28</v>
      </c>
      <c r="V312" s="19" t="n">
        <v>33</v>
      </c>
      <c r="W312" s="19" t="n">
        <v>33</v>
      </c>
      <c r="X312" s="19" t="n">
        <v>29</v>
      </c>
      <c r="Y312" s="19" t="n">
        <v>25</v>
      </c>
      <c r="Z312" s="19" t="n">
        <v>22</v>
      </c>
      <c r="AA312" s="19" t="n">
        <v>28</v>
      </c>
      <c r="AB312" s="19" t="n">
        <v>26</v>
      </c>
      <c r="AC312" s="19" t="n">
        <v>27</v>
      </c>
      <c r="AD312" s="19" t="n">
        <v>30</v>
      </c>
      <c r="AE312" s="2" t="n">
        <v>19</v>
      </c>
      <c r="AF312" s="19"/>
      <c r="AG312" s="19"/>
      <c r="AH312" s="19"/>
    </row>
    <row r="313" customFormat="false" ht="12.75" hidden="false" customHeight="false" outlineLevel="0" collapsed="false">
      <c r="A313" s="16" t="s">
        <v>424</v>
      </c>
      <c r="B313" s="17" t="n">
        <f aca="false">AVERAGE(E313:AE313)</f>
        <v>27.8518518518519</v>
      </c>
      <c r="C313" s="2" t="n">
        <f aca="false">MIN(E313:AE313)</f>
        <v>19</v>
      </c>
      <c r="D313" s="18" t="n">
        <f aca="false">MAX(E313:AE313)</f>
        <v>40</v>
      </c>
      <c r="E313" s="19" t="n">
        <v>20</v>
      </c>
      <c r="F313" s="19" t="n">
        <v>27</v>
      </c>
      <c r="G313" s="19" t="n">
        <v>22</v>
      </c>
      <c r="H313" s="19" t="n">
        <v>30</v>
      </c>
      <c r="I313" s="19" t="n">
        <v>29</v>
      </c>
      <c r="J313" s="19" t="n">
        <v>34</v>
      </c>
      <c r="K313" s="19" t="n">
        <v>27</v>
      </c>
      <c r="L313" s="19" t="n">
        <v>31</v>
      </c>
      <c r="M313" s="19" t="n">
        <v>32</v>
      </c>
      <c r="N313" s="19" t="n">
        <v>26</v>
      </c>
      <c r="O313" s="19" t="n">
        <v>29</v>
      </c>
      <c r="P313" s="19" t="n">
        <v>20</v>
      </c>
      <c r="Q313" s="19" t="n">
        <v>32</v>
      </c>
      <c r="R313" s="19" t="n">
        <v>33</v>
      </c>
      <c r="S313" s="19" t="n">
        <v>20</v>
      </c>
      <c r="T313" s="19" t="n">
        <v>40</v>
      </c>
      <c r="U313" s="19" t="n">
        <v>28</v>
      </c>
      <c r="V313" s="19" t="n">
        <v>33</v>
      </c>
      <c r="W313" s="19" t="n">
        <v>33</v>
      </c>
      <c r="X313" s="19" t="n">
        <v>29</v>
      </c>
      <c r="Y313" s="19" t="n">
        <v>25</v>
      </c>
      <c r="Z313" s="19" t="n">
        <v>22</v>
      </c>
      <c r="AA313" s="19" t="n">
        <v>28</v>
      </c>
      <c r="AB313" s="19" t="n">
        <v>26</v>
      </c>
      <c r="AC313" s="19" t="n">
        <v>27</v>
      </c>
      <c r="AD313" s="19" t="n">
        <v>30</v>
      </c>
      <c r="AE313" s="2" t="n">
        <v>19</v>
      </c>
      <c r="AF313" s="19"/>
      <c r="AG313" s="19"/>
      <c r="AH313" s="19"/>
    </row>
    <row r="314" customFormat="false" ht="12.75" hidden="false" customHeight="false" outlineLevel="0" collapsed="false">
      <c r="A314" s="16" t="s">
        <v>425</v>
      </c>
      <c r="B314" s="17" t="n">
        <f aca="false">AVERAGE(E314:AE314)</f>
        <v>27.8518518518519</v>
      </c>
      <c r="C314" s="2" t="n">
        <f aca="false">MIN(E314:AE314)</f>
        <v>19</v>
      </c>
      <c r="D314" s="18" t="n">
        <f aca="false">MAX(E314:AE314)</f>
        <v>40</v>
      </c>
      <c r="E314" s="19" t="n">
        <v>20</v>
      </c>
      <c r="F314" s="19" t="n">
        <v>27</v>
      </c>
      <c r="G314" s="19" t="n">
        <v>22</v>
      </c>
      <c r="H314" s="19" t="n">
        <v>30</v>
      </c>
      <c r="I314" s="19" t="n">
        <v>29</v>
      </c>
      <c r="J314" s="19" t="n">
        <v>34</v>
      </c>
      <c r="K314" s="19" t="n">
        <v>27</v>
      </c>
      <c r="L314" s="19" t="n">
        <v>31</v>
      </c>
      <c r="M314" s="19" t="n">
        <v>32</v>
      </c>
      <c r="N314" s="19" t="n">
        <v>26</v>
      </c>
      <c r="O314" s="19" t="n">
        <v>29</v>
      </c>
      <c r="P314" s="19" t="n">
        <v>20</v>
      </c>
      <c r="Q314" s="19" t="n">
        <v>32</v>
      </c>
      <c r="R314" s="19" t="n">
        <v>33</v>
      </c>
      <c r="S314" s="19" t="n">
        <v>20</v>
      </c>
      <c r="T314" s="19" t="n">
        <v>40</v>
      </c>
      <c r="U314" s="19" t="n">
        <v>28</v>
      </c>
      <c r="V314" s="19" t="n">
        <v>33</v>
      </c>
      <c r="W314" s="19" t="n">
        <v>33</v>
      </c>
      <c r="X314" s="19" t="n">
        <v>29</v>
      </c>
      <c r="Y314" s="19" t="n">
        <v>25</v>
      </c>
      <c r="Z314" s="19" t="n">
        <v>22</v>
      </c>
      <c r="AA314" s="19" t="n">
        <v>28</v>
      </c>
      <c r="AB314" s="19" t="n">
        <v>26</v>
      </c>
      <c r="AC314" s="19" t="n">
        <v>27</v>
      </c>
      <c r="AD314" s="19" t="n">
        <v>30</v>
      </c>
      <c r="AE314" s="2" t="n">
        <v>19</v>
      </c>
      <c r="AF314" s="19"/>
      <c r="AG314" s="19"/>
      <c r="AH314" s="19"/>
    </row>
    <row r="315" customFormat="false" ht="12.75" hidden="false" customHeight="false" outlineLevel="0" collapsed="false">
      <c r="A315" s="16" t="s">
        <v>426</v>
      </c>
      <c r="B315" s="17" t="n">
        <f aca="false">AVERAGE(E315:AE315)</f>
        <v>27.8518518518519</v>
      </c>
      <c r="C315" s="2" t="n">
        <f aca="false">MIN(E315:AE315)</f>
        <v>19</v>
      </c>
      <c r="D315" s="18" t="n">
        <f aca="false">MAX(E315:AE315)</f>
        <v>40</v>
      </c>
      <c r="E315" s="19" t="n">
        <v>20</v>
      </c>
      <c r="F315" s="19" t="n">
        <v>27</v>
      </c>
      <c r="G315" s="19" t="n">
        <v>22</v>
      </c>
      <c r="H315" s="19" t="n">
        <v>30</v>
      </c>
      <c r="I315" s="19" t="n">
        <v>29</v>
      </c>
      <c r="J315" s="19" t="n">
        <v>34</v>
      </c>
      <c r="K315" s="19" t="n">
        <v>27</v>
      </c>
      <c r="L315" s="19" t="n">
        <v>31</v>
      </c>
      <c r="M315" s="19" t="n">
        <v>32</v>
      </c>
      <c r="N315" s="19" t="n">
        <v>26</v>
      </c>
      <c r="O315" s="19" t="n">
        <v>29</v>
      </c>
      <c r="P315" s="19" t="n">
        <v>20</v>
      </c>
      <c r="Q315" s="19" t="n">
        <v>32</v>
      </c>
      <c r="R315" s="19" t="n">
        <v>33</v>
      </c>
      <c r="S315" s="19" t="n">
        <v>20</v>
      </c>
      <c r="T315" s="19" t="n">
        <v>40</v>
      </c>
      <c r="U315" s="19" t="n">
        <v>28</v>
      </c>
      <c r="V315" s="19" t="n">
        <v>33</v>
      </c>
      <c r="W315" s="19" t="n">
        <v>33</v>
      </c>
      <c r="X315" s="19" t="n">
        <v>29</v>
      </c>
      <c r="Y315" s="19" t="n">
        <v>25</v>
      </c>
      <c r="Z315" s="19" t="n">
        <v>22</v>
      </c>
      <c r="AA315" s="19" t="n">
        <v>28</v>
      </c>
      <c r="AB315" s="19" t="n">
        <v>26</v>
      </c>
      <c r="AC315" s="19" t="n">
        <v>27</v>
      </c>
      <c r="AD315" s="19" t="n">
        <v>30</v>
      </c>
      <c r="AE315" s="2" t="n">
        <v>19</v>
      </c>
      <c r="AF315" s="19"/>
      <c r="AG315" s="19"/>
      <c r="AH315" s="19"/>
    </row>
    <row r="316" customFormat="false" ht="12.75" hidden="false" customHeight="false" outlineLevel="0" collapsed="false">
      <c r="A316" s="16" t="s">
        <v>427</v>
      </c>
      <c r="B316" s="17" t="n">
        <f aca="false">AVERAGE(E316:AE316)</f>
        <v>27.8518518518519</v>
      </c>
      <c r="C316" s="2" t="n">
        <f aca="false">MIN(E316:AE316)</f>
        <v>19</v>
      </c>
      <c r="D316" s="18" t="n">
        <f aca="false">MAX(E316:AE316)</f>
        <v>40</v>
      </c>
      <c r="E316" s="19" t="n">
        <v>20</v>
      </c>
      <c r="F316" s="19" t="n">
        <v>27</v>
      </c>
      <c r="G316" s="19" t="n">
        <v>22</v>
      </c>
      <c r="H316" s="19" t="n">
        <v>30</v>
      </c>
      <c r="I316" s="19" t="n">
        <v>29</v>
      </c>
      <c r="J316" s="19" t="n">
        <v>34</v>
      </c>
      <c r="K316" s="19" t="n">
        <v>27</v>
      </c>
      <c r="L316" s="19" t="n">
        <v>31</v>
      </c>
      <c r="M316" s="19" t="n">
        <v>32</v>
      </c>
      <c r="N316" s="19" t="n">
        <v>26</v>
      </c>
      <c r="O316" s="19" t="n">
        <v>29</v>
      </c>
      <c r="P316" s="19" t="n">
        <v>20</v>
      </c>
      <c r="Q316" s="19" t="n">
        <v>32</v>
      </c>
      <c r="R316" s="19" t="n">
        <v>33</v>
      </c>
      <c r="S316" s="19" t="n">
        <v>20</v>
      </c>
      <c r="T316" s="19" t="n">
        <v>40</v>
      </c>
      <c r="U316" s="19" t="n">
        <v>28</v>
      </c>
      <c r="V316" s="19" t="n">
        <v>33</v>
      </c>
      <c r="W316" s="19" t="n">
        <v>33</v>
      </c>
      <c r="X316" s="19" t="n">
        <v>29</v>
      </c>
      <c r="Y316" s="19" t="n">
        <v>25</v>
      </c>
      <c r="Z316" s="19" t="n">
        <v>22</v>
      </c>
      <c r="AA316" s="19" t="n">
        <v>28</v>
      </c>
      <c r="AB316" s="19" t="n">
        <v>26</v>
      </c>
      <c r="AC316" s="19" t="n">
        <v>27</v>
      </c>
      <c r="AD316" s="19" t="n">
        <v>30</v>
      </c>
      <c r="AE316" s="2" t="n">
        <v>19</v>
      </c>
      <c r="AF316" s="19"/>
      <c r="AG316" s="19"/>
      <c r="AH316" s="19"/>
    </row>
    <row r="317" customFormat="false" ht="12.75" hidden="false" customHeight="false" outlineLevel="0" collapsed="false">
      <c r="A317" s="16" t="s">
        <v>428</v>
      </c>
      <c r="B317" s="17" t="n">
        <f aca="false">AVERAGE(E317:AE317)</f>
        <v>27.8888888888889</v>
      </c>
      <c r="C317" s="2" t="n">
        <f aca="false">MIN(E317:AE317)</f>
        <v>19</v>
      </c>
      <c r="D317" s="18" t="n">
        <f aca="false">MAX(E317:AE317)</f>
        <v>40</v>
      </c>
      <c r="E317" s="19" t="n">
        <v>20</v>
      </c>
      <c r="F317" s="19" t="n">
        <v>28</v>
      </c>
      <c r="G317" s="19" t="n">
        <v>22</v>
      </c>
      <c r="H317" s="19" t="n">
        <v>30</v>
      </c>
      <c r="I317" s="19" t="n">
        <v>29</v>
      </c>
      <c r="J317" s="19" t="n">
        <v>34</v>
      </c>
      <c r="K317" s="19" t="n">
        <v>27</v>
      </c>
      <c r="L317" s="19" t="n">
        <v>31</v>
      </c>
      <c r="M317" s="19" t="n">
        <v>32</v>
      </c>
      <c r="N317" s="19" t="n">
        <v>26</v>
      </c>
      <c r="O317" s="19" t="n">
        <v>29</v>
      </c>
      <c r="P317" s="19" t="n">
        <v>20</v>
      </c>
      <c r="Q317" s="19" t="n">
        <v>32</v>
      </c>
      <c r="R317" s="19" t="n">
        <v>33</v>
      </c>
      <c r="S317" s="19" t="n">
        <v>20</v>
      </c>
      <c r="T317" s="19" t="n">
        <v>40</v>
      </c>
      <c r="U317" s="19" t="n">
        <v>28</v>
      </c>
      <c r="V317" s="19" t="n">
        <v>33</v>
      </c>
      <c r="W317" s="19" t="n">
        <v>33</v>
      </c>
      <c r="X317" s="19" t="n">
        <v>29</v>
      </c>
      <c r="Y317" s="19" t="n">
        <v>25</v>
      </c>
      <c r="Z317" s="19" t="n">
        <v>22</v>
      </c>
      <c r="AA317" s="19" t="n">
        <v>28</v>
      </c>
      <c r="AB317" s="19" t="n">
        <v>26</v>
      </c>
      <c r="AC317" s="19" t="n">
        <v>27</v>
      </c>
      <c r="AD317" s="19" t="n">
        <v>30</v>
      </c>
      <c r="AE317" s="2" t="n">
        <v>19</v>
      </c>
      <c r="AF317" s="19"/>
      <c r="AG317" s="19"/>
      <c r="AH317" s="19"/>
    </row>
    <row r="318" customFormat="false" ht="12.75" hidden="false" customHeight="false" outlineLevel="0" collapsed="false">
      <c r="A318" s="16" t="s">
        <v>429</v>
      </c>
      <c r="B318" s="17" t="n">
        <f aca="false">AVERAGE(E318:AE318)</f>
        <v>27.8888888888889</v>
      </c>
      <c r="C318" s="2" t="n">
        <f aca="false">MIN(E318:AE318)</f>
        <v>19</v>
      </c>
      <c r="D318" s="18" t="n">
        <f aca="false">MAX(E318:AE318)</f>
        <v>40</v>
      </c>
      <c r="E318" s="19" t="n">
        <v>20</v>
      </c>
      <c r="F318" s="19" t="n">
        <v>28</v>
      </c>
      <c r="G318" s="19" t="n">
        <v>22</v>
      </c>
      <c r="H318" s="19" t="n">
        <v>30</v>
      </c>
      <c r="I318" s="19" t="n">
        <v>29</v>
      </c>
      <c r="J318" s="19" t="n">
        <v>34</v>
      </c>
      <c r="K318" s="19" t="n">
        <v>27</v>
      </c>
      <c r="L318" s="19" t="n">
        <v>31</v>
      </c>
      <c r="M318" s="19" t="n">
        <v>32</v>
      </c>
      <c r="N318" s="19" t="n">
        <v>26</v>
      </c>
      <c r="O318" s="19" t="n">
        <v>29</v>
      </c>
      <c r="P318" s="19" t="n">
        <v>20</v>
      </c>
      <c r="Q318" s="19" t="n">
        <v>32</v>
      </c>
      <c r="R318" s="19" t="n">
        <v>33</v>
      </c>
      <c r="S318" s="19" t="n">
        <v>20</v>
      </c>
      <c r="T318" s="19" t="n">
        <v>40</v>
      </c>
      <c r="U318" s="19" t="n">
        <v>28</v>
      </c>
      <c r="V318" s="19" t="n">
        <v>33</v>
      </c>
      <c r="W318" s="19" t="n">
        <v>33</v>
      </c>
      <c r="X318" s="19" t="n">
        <v>29</v>
      </c>
      <c r="Y318" s="19" t="n">
        <v>25</v>
      </c>
      <c r="Z318" s="19" t="n">
        <v>22</v>
      </c>
      <c r="AA318" s="19" t="n">
        <v>28</v>
      </c>
      <c r="AB318" s="19" t="n">
        <v>26</v>
      </c>
      <c r="AC318" s="19" t="n">
        <v>27</v>
      </c>
      <c r="AD318" s="19" t="n">
        <v>30</v>
      </c>
      <c r="AE318" s="2" t="n">
        <v>19</v>
      </c>
      <c r="AF318" s="19"/>
      <c r="AG318" s="19"/>
      <c r="AH318" s="19"/>
    </row>
    <row r="319" customFormat="false" ht="12.75" hidden="false" customHeight="false" outlineLevel="0" collapsed="false">
      <c r="A319" s="16" t="s">
        <v>430</v>
      </c>
      <c r="B319" s="17" t="n">
        <f aca="false">AVERAGE(E319:AE319)</f>
        <v>27.8888888888889</v>
      </c>
      <c r="C319" s="2" t="n">
        <f aca="false">MIN(E319:AE319)</f>
        <v>19</v>
      </c>
      <c r="D319" s="18" t="n">
        <f aca="false">MAX(E319:AE319)</f>
        <v>40</v>
      </c>
      <c r="E319" s="19" t="n">
        <v>20</v>
      </c>
      <c r="F319" s="19" t="n">
        <v>28</v>
      </c>
      <c r="G319" s="19" t="n">
        <v>22</v>
      </c>
      <c r="H319" s="19" t="n">
        <v>30</v>
      </c>
      <c r="I319" s="19" t="n">
        <v>29</v>
      </c>
      <c r="J319" s="19" t="n">
        <v>34</v>
      </c>
      <c r="K319" s="19" t="n">
        <v>27</v>
      </c>
      <c r="L319" s="19" t="n">
        <v>31</v>
      </c>
      <c r="M319" s="19" t="n">
        <v>32</v>
      </c>
      <c r="N319" s="19" t="n">
        <v>26</v>
      </c>
      <c r="O319" s="19" t="n">
        <v>29</v>
      </c>
      <c r="P319" s="19" t="n">
        <v>20</v>
      </c>
      <c r="Q319" s="19" t="n">
        <v>32</v>
      </c>
      <c r="R319" s="19" t="n">
        <v>33</v>
      </c>
      <c r="S319" s="19" t="n">
        <v>20</v>
      </c>
      <c r="T319" s="19" t="n">
        <v>40</v>
      </c>
      <c r="U319" s="19" t="n">
        <v>28</v>
      </c>
      <c r="V319" s="19" t="n">
        <v>33</v>
      </c>
      <c r="W319" s="19" t="n">
        <v>33</v>
      </c>
      <c r="X319" s="19" t="n">
        <v>29</v>
      </c>
      <c r="Y319" s="19" t="n">
        <v>25</v>
      </c>
      <c r="Z319" s="19" t="n">
        <v>22</v>
      </c>
      <c r="AA319" s="19" t="n">
        <v>28</v>
      </c>
      <c r="AB319" s="19" t="n">
        <v>26</v>
      </c>
      <c r="AC319" s="19" t="n">
        <v>27</v>
      </c>
      <c r="AD319" s="19" t="n">
        <v>30</v>
      </c>
      <c r="AE319" s="2" t="n">
        <v>19</v>
      </c>
      <c r="AF319" s="19"/>
      <c r="AG319" s="19"/>
      <c r="AH319" s="19"/>
    </row>
    <row r="320" customFormat="false" ht="12.75" hidden="false" customHeight="false" outlineLevel="0" collapsed="false">
      <c r="A320" s="16" t="s">
        <v>431</v>
      </c>
      <c r="B320" s="17" t="n">
        <f aca="false">AVERAGE(E320:AE320)</f>
        <v>27.8888888888889</v>
      </c>
      <c r="C320" s="2" t="n">
        <f aca="false">MIN(E320:AE320)</f>
        <v>19</v>
      </c>
      <c r="D320" s="18" t="n">
        <f aca="false">MAX(E320:AE320)</f>
        <v>40</v>
      </c>
      <c r="E320" s="19" t="n">
        <v>20</v>
      </c>
      <c r="F320" s="19" t="n">
        <v>28</v>
      </c>
      <c r="G320" s="19" t="n">
        <v>22</v>
      </c>
      <c r="H320" s="19" t="n">
        <v>30</v>
      </c>
      <c r="I320" s="19" t="n">
        <v>29</v>
      </c>
      <c r="J320" s="19" t="n">
        <v>34</v>
      </c>
      <c r="K320" s="19" t="n">
        <v>27</v>
      </c>
      <c r="L320" s="19" t="n">
        <v>31</v>
      </c>
      <c r="M320" s="19" t="n">
        <v>32</v>
      </c>
      <c r="N320" s="19" t="n">
        <v>26</v>
      </c>
      <c r="O320" s="19" t="n">
        <v>29</v>
      </c>
      <c r="P320" s="19" t="n">
        <v>20</v>
      </c>
      <c r="Q320" s="19" t="n">
        <v>32</v>
      </c>
      <c r="R320" s="19" t="n">
        <v>33</v>
      </c>
      <c r="S320" s="19" t="n">
        <v>20</v>
      </c>
      <c r="T320" s="19" t="n">
        <v>40</v>
      </c>
      <c r="U320" s="19" t="n">
        <v>28</v>
      </c>
      <c r="V320" s="19" t="n">
        <v>33</v>
      </c>
      <c r="W320" s="19" t="n">
        <v>33</v>
      </c>
      <c r="X320" s="19" t="n">
        <v>29</v>
      </c>
      <c r="Y320" s="19" t="n">
        <v>25</v>
      </c>
      <c r="Z320" s="19" t="n">
        <v>22</v>
      </c>
      <c r="AA320" s="19" t="n">
        <v>28</v>
      </c>
      <c r="AB320" s="19" t="n">
        <v>26</v>
      </c>
      <c r="AC320" s="19" t="n">
        <v>27</v>
      </c>
      <c r="AD320" s="19" t="n">
        <v>30</v>
      </c>
      <c r="AE320" s="2" t="n">
        <v>19</v>
      </c>
      <c r="AF320" s="19"/>
      <c r="AG320" s="19"/>
      <c r="AH320" s="19"/>
    </row>
    <row r="321" customFormat="false" ht="12.75" hidden="false" customHeight="false" outlineLevel="0" collapsed="false">
      <c r="A321" s="16" t="s">
        <v>432</v>
      </c>
      <c r="B321" s="17" t="n">
        <f aca="false">AVERAGE(E321:AE321)</f>
        <v>27.8888888888889</v>
      </c>
      <c r="C321" s="2" t="n">
        <f aca="false">MIN(E321:AE321)</f>
        <v>19</v>
      </c>
      <c r="D321" s="18" t="n">
        <f aca="false">MAX(E321:AE321)</f>
        <v>40</v>
      </c>
      <c r="E321" s="19" t="n">
        <v>20</v>
      </c>
      <c r="F321" s="19" t="n">
        <v>28</v>
      </c>
      <c r="G321" s="19" t="n">
        <v>22</v>
      </c>
      <c r="H321" s="19" t="n">
        <v>30</v>
      </c>
      <c r="I321" s="19" t="n">
        <v>29</v>
      </c>
      <c r="J321" s="19" t="n">
        <v>34</v>
      </c>
      <c r="K321" s="19" t="n">
        <v>27</v>
      </c>
      <c r="L321" s="19" t="n">
        <v>31</v>
      </c>
      <c r="M321" s="19" t="n">
        <v>32</v>
      </c>
      <c r="N321" s="19" t="n">
        <v>26</v>
      </c>
      <c r="O321" s="19" t="n">
        <v>29</v>
      </c>
      <c r="P321" s="19" t="n">
        <v>20</v>
      </c>
      <c r="Q321" s="19" t="n">
        <v>32</v>
      </c>
      <c r="R321" s="19" t="n">
        <v>33</v>
      </c>
      <c r="S321" s="19" t="n">
        <v>20</v>
      </c>
      <c r="T321" s="19" t="n">
        <v>40</v>
      </c>
      <c r="U321" s="19" t="n">
        <v>28</v>
      </c>
      <c r="V321" s="19" t="n">
        <v>33</v>
      </c>
      <c r="W321" s="19" t="n">
        <v>33</v>
      </c>
      <c r="X321" s="19" t="n">
        <v>29</v>
      </c>
      <c r="Y321" s="19" t="n">
        <v>25</v>
      </c>
      <c r="Z321" s="19" t="n">
        <v>22</v>
      </c>
      <c r="AA321" s="19" t="n">
        <v>28</v>
      </c>
      <c r="AB321" s="19" t="n">
        <v>26</v>
      </c>
      <c r="AC321" s="19" t="n">
        <v>27</v>
      </c>
      <c r="AD321" s="19" t="n">
        <v>30</v>
      </c>
      <c r="AE321" s="2" t="n">
        <v>19</v>
      </c>
      <c r="AF321" s="19"/>
      <c r="AG321" s="19"/>
      <c r="AH321" s="19"/>
    </row>
    <row r="322" customFormat="false" ht="12.75" hidden="false" customHeight="false" outlineLevel="0" collapsed="false">
      <c r="A322" s="16" t="s">
        <v>433</v>
      </c>
      <c r="B322" s="17" t="n">
        <f aca="false">AVERAGE(E322:AE322)</f>
        <v>27.8888888888889</v>
      </c>
      <c r="C322" s="2" t="n">
        <f aca="false">MIN(E322:AE322)</f>
        <v>19</v>
      </c>
      <c r="D322" s="18" t="n">
        <f aca="false">MAX(E322:AE322)</f>
        <v>40</v>
      </c>
      <c r="E322" s="19" t="n">
        <v>20</v>
      </c>
      <c r="F322" s="19" t="n">
        <v>28</v>
      </c>
      <c r="G322" s="19" t="n">
        <v>22</v>
      </c>
      <c r="H322" s="19" t="n">
        <v>30</v>
      </c>
      <c r="I322" s="19" t="n">
        <v>29</v>
      </c>
      <c r="J322" s="19" t="n">
        <v>34</v>
      </c>
      <c r="K322" s="19" t="n">
        <v>27</v>
      </c>
      <c r="L322" s="19" t="n">
        <v>31</v>
      </c>
      <c r="M322" s="19" t="n">
        <v>32</v>
      </c>
      <c r="N322" s="19" t="n">
        <v>26</v>
      </c>
      <c r="O322" s="19" t="n">
        <v>29</v>
      </c>
      <c r="P322" s="19" t="n">
        <v>20</v>
      </c>
      <c r="Q322" s="19" t="n">
        <v>32</v>
      </c>
      <c r="R322" s="19" t="n">
        <v>33</v>
      </c>
      <c r="S322" s="19" t="n">
        <v>20</v>
      </c>
      <c r="T322" s="19" t="n">
        <v>40</v>
      </c>
      <c r="U322" s="19" t="n">
        <v>28</v>
      </c>
      <c r="V322" s="19" t="n">
        <v>33</v>
      </c>
      <c r="W322" s="19" t="n">
        <v>33</v>
      </c>
      <c r="X322" s="19" t="n">
        <v>29</v>
      </c>
      <c r="Y322" s="19" t="n">
        <v>25</v>
      </c>
      <c r="Z322" s="19" t="n">
        <v>22</v>
      </c>
      <c r="AA322" s="19" t="n">
        <v>28</v>
      </c>
      <c r="AB322" s="19" t="n">
        <v>26</v>
      </c>
      <c r="AC322" s="19" t="n">
        <v>27</v>
      </c>
      <c r="AD322" s="19" t="n">
        <v>30</v>
      </c>
      <c r="AE322" s="2" t="n">
        <v>19</v>
      </c>
      <c r="AF322" s="19"/>
      <c r="AG322" s="19"/>
      <c r="AH322" s="19"/>
    </row>
    <row r="323" customFormat="false" ht="12.75" hidden="false" customHeight="false" outlineLevel="0" collapsed="false">
      <c r="A323" s="16" t="s">
        <v>434</v>
      </c>
      <c r="B323" s="17" t="n">
        <f aca="false">AVERAGE(E323:AE323)</f>
        <v>27.8888888888889</v>
      </c>
      <c r="C323" s="2" t="n">
        <f aca="false">MIN(E323:AE323)</f>
        <v>19</v>
      </c>
      <c r="D323" s="18" t="n">
        <f aca="false">MAX(E323:AE323)</f>
        <v>40</v>
      </c>
      <c r="E323" s="19" t="n">
        <v>20</v>
      </c>
      <c r="F323" s="19" t="n">
        <v>28</v>
      </c>
      <c r="G323" s="19" t="n">
        <v>22</v>
      </c>
      <c r="H323" s="19" t="n">
        <v>30</v>
      </c>
      <c r="I323" s="19" t="n">
        <v>29</v>
      </c>
      <c r="J323" s="19" t="n">
        <v>34</v>
      </c>
      <c r="K323" s="19" t="n">
        <v>27</v>
      </c>
      <c r="L323" s="19" t="n">
        <v>31</v>
      </c>
      <c r="M323" s="19" t="n">
        <v>32</v>
      </c>
      <c r="N323" s="19" t="n">
        <v>26</v>
      </c>
      <c r="O323" s="19" t="n">
        <v>29</v>
      </c>
      <c r="P323" s="19" t="n">
        <v>20</v>
      </c>
      <c r="Q323" s="19" t="n">
        <v>32</v>
      </c>
      <c r="R323" s="19" t="n">
        <v>33</v>
      </c>
      <c r="S323" s="19" t="n">
        <v>20</v>
      </c>
      <c r="T323" s="19" t="n">
        <v>40</v>
      </c>
      <c r="U323" s="19" t="n">
        <v>28</v>
      </c>
      <c r="V323" s="19" t="n">
        <v>33</v>
      </c>
      <c r="W323" s="19" t="n">
        <v>33</v>
      </c>
      <c r="X323" s="19" t="n">
        <v>29</v>
      </c>
      <c r="Y323" s="19" t="n">
        <v>25</v>
      </c>
      <c r="Z323" s="19" t="n">
        <v>22</v>
      </c>
      <c r="AA323" s="19" t="n">
        <v>28</v>
      </c>
      <c r="AB323" s="19" t="n">
        <v>26</v>
      </c>
      <c r="AC323" s="19" t="n">
        <v>27</v>
      </c>
      <c r="AD323" s="19" t="n">
        <v>30</v>
      </c>
      <c r="AE323" s="2" t="n">
        <v>19</v>
      </c>
      <c r="AF323" s="19"/>
      <c r="AG323" s="19"/>
      <c r="AH323" s="19"/>
    </row>
    <row r="324" customFormat="false" ht="12.75" hidden="false" customHeight="false" outlineLevel="0" collapsed="false">
      <c r="A324" s="16" t="s">
        <v>435</v>
      </c>
      <c r="B324" s="17" t="n">
        <f aca="false">AVERAGE(E324:AE324)</f>
        <v>27.8888888888889</v>
      </c>
      <c r="C324" s="2" t="n">
        <f aca="false">MIN(E324:AE324)</f>
        <v>19</v>
      </c>
      <c r="D324" s="18" t="n">
        <f aca="false">MAX(E324:AE324)</f>
        <v>40</v>
      </c>
      <c r="E324" s="19" t="n">
        <v>20</v>
      </c>
      <c r="F324" s="19" t="n">
        <v>28</v>
      </c>
      <c r="G324" s="19" t="n">
        <v>22</v>
      </c>
      <c r="H324" s="19" t="n">
        <v>30</v>
      </c>
      <c r="I324" s="19" t="n">
        <v>29</v>
      </c>
      <c r="J324" s="19" t="n">
        <v>34</v>
      </c>
      <c r="K324" s="19" t="n">
        <v>27</v>
      </c>
      <c r="L324" s="19" t="n">
        <v>31</v>
      </c>
      <c r="M324" s="19" t="n">
        <v>32</v>
      </c>
      <c r="N324" s="19" t="n">
        <v>26</v>
      </c>
      <c r="O324" s="19" t="n">
        <v>29</v>
      </c>
      <c r="P324" s="19" t="n">
        <v>20</v>
      </c>
      <c r="Q324" s="19" t="n">
        <v>32</v>
      </c>
      <c r="R324" s="19" t="n">
        <v>33</v>
      </c>
      <c r="S324" s="19" t="n">
        <v>20</v>
      </c>
      <c r="T324" s="19" t="n">
        <v>40</v>
      </c>
      <c r="U324" s="19" t="n">
        <v>28</v>
      </c>
      <c r="V324" s="19" t="n">
        <v>33</v>
      </c>
      <c r="W324" s="19" t="n">
        <v>33</v>
      </c>
      <c r="X324" s="19" t="n">
        <v>29</v>
      </c>
      <c r="Y324" s="19" t="n">
        <v>25</v>
      </c>
      <c r="Z324" s="19" t="n">
        <v>22</v>
      </c>
      <c r="AA324" s="19" t="n">
        <v>28</v>
      </c>
      <c r="AB324" s="19" t="n">
        <v>26</v>
      </c>
      <c r="AC324" s="19" t="n">
        <v>27</v>
      </c>
      <c r="AD324" s="19" t="n">
        <v>30</v>
      </c>
      <c r="AE324" s="2" t="n">
        <v>19</v>
      </c>
      <c r="AF324" s="19"/>
      <c r="AG324" s="19"/>
      <c r="AH324" s="19"/>
    </row>
    <row r="325" customFormat="false" ht="12.75" hidden="false" customHeight="false" outlineLevel="0" collapsed="false">
      <c r="A325" s="16" t="s">
        <v>436</v>
      </c>
      <c r="B325" s="17" t="n">
        <f aca="false">AVERAGE(E325:AE325)</f>
        <v>27.8888888888889</v>
      </c>
      <c r="C325" s="2" t="n">
        <f aca="false">MIN(E325:AE325)</f>
        <v>19</v>
      </c>
      <c r="D325" s="18" t="n">
        <f aca="false">MAX(E325:AE325)</f>
        <v>40</v>
      </c>
      <c r="E325" s="19" t="n">
        <v>20</v>
      </c>
      <c r="F325" s="19" t="n">
        <v>28</v>
      </c>
      <c r="G325" s="19" t="n">
        <v>22</v>
      </c>
      <c r="H325" s="19" t="n">
        <v>30</v>
      </c>
      <c r="I325" s="19" t="n">
        <v>29</v>
      </c>
      <c r="J325" s="19" t="n">
        <v>34</v>
      </c>
      <c r="K325" s="19" t="n">
        <v>27</v>
      </c>
      <c r="L325" s="19" t="n">
        <v>31</v>
      </c>
      <c r="M325" s="19" t="n">
        <v>32</v>
      </c>
      <c r="N325" s="19" t="n">
        <v>26</v>
      </c>
      <c r="O325" s="19" t="n">
        <v>29</v>
      </c>
      <c r="P325" s="19" t="n">
        <v>20</v>
      </c>
      <c r="Q325" s="19" t="n">
        <v>32</v>
      </c>
      <c r="R325" s="19" t="n">
        <v>33</v>
      </c>
      <c r="S325" s="19" t="n">
        <v>20</v>
      </c>
      <c r="T325" s="19" t="n">
        <v>40</v>
      </c>
      <c r="U325" s="19" t="n">
        <v>28</v>
      </c>
      <c r="V325" s="19" t="n">
        <v>33</v>
      </c>
      <c r="W325" s="19" t="n">
        <v>33</v>
      </c>
      <c r="X325" s="19" t="n">
        <v>29</v>
      </c>
      <c r="Y325" s="19" t="n">
        <v>25</v>
      </c>
      <c r="Z325" s="19" t="n">
        <v>22</v>
      </c>
      <c r="AA325" s="19" t="n">
        <v>28</v>
      </c>
      <c r="AB325" s="19" t="n">
        <v>26</v>
      </c>
      <c r="AC325" s="19" t="n">
        <v>27</v>
      </c>
      <c r="AD325" s="19" t="n">
        <v>30</v>
      </c>
      <c r="AE325" s="2" t="n">
        <v>19</v>
      </c>
      <c r="AF325" s="19"/>
      <c r="AG325" s="19"/>
      <c r="AH325" s="19"/>
    </row>
    <row r="326" customFormat="false" ht="12.75" hidden="false" customHeight="false" outlineLevel="0" collapsed="false">
      <c r="A326" s="16" t="s">
        <v>437</v>
      </c>
      <c r="B326" s="17" t="n">
        <f aca="false">AVERAGE(E326:AE326)</f>
        <v>27.8888888888889</v>
      </c>
      <c r="C326" s="2" t="n">
        <f aca="false">MIN(E326:AE326)</f>
        <v>19</v>
      </c>
      <c r="D326" s="18" t="n">
        <f aca="false">MAX(E326:AE326)</f>
        <v>40</v>
      </c>
      <c r="E326" s="19" t="n">
        <v>20</v>
      </c>
      <c r="F326" s="19" t="n">
        <v>28</v>
      </c>
      <c r="G326" s="19" t="n">
        <v>22</v>
      </c>
      <c r="H326" s="19" t="n">
        <v>30</v>
      </c>
      <c r="I326" s="19" t="n">
        <v>29</v>
      </c>
      <c r="J326" s="19" t="n">
        <v>34</v>
      </c>
      <c r="K326" s="19" t="n">
        <v>27</v>
      </c>
      <c r="L326" s="19" t="n">
        <v>31</v>
      </c>
      <c r="M326" s="19" t="n">
        <v>32</v>
      </c>
      <c r="N326" s="19" t="n">
        <v>26</v>
      </c>
      <c r="O326" s="19" t="n">
        <v>29</v>
      </c>
      <c r="P326" s="19" t="n">
        <v>20</v>
      </c>
      <c r="Q326" s="19" t="n">
        <v>32</v>
      </c>
      <c r="R326" s="19" t="n">
        <v>33</v>
      </c>
      <c r="S326" s="19" t="n">
        <v>20</v>
      </c>
      <c r="T326" s="19" t="n">
        <v>40</v>
      </c>
      <c r="U326" s="19" t="n">
        <v>28</v>
      </c>
      <c r="V326" s="19" t="n">
        <v>33</v>
      </c>
      <c r="W326" s="19" t="n">
        <v>33</v>
      </c>
      <c r="X326" s="19" t="n">
        <v>29</v>
      </c>
      <c r="Y326" s="19" t="n">
        <v>25</v>
      </c>
      <c r="Z326" s="19" t="n">
        <v>22</v>
      </c>
      <c r="AA326" s="19" t="n">
        <v>28</v>
      </c>
      <c r="AB326" s="19" t="n">
        <v>26</v>
      </c>
      <c r="AC326" s="19" t="n">
        <v>27</v>
      </c>
      <c r="AD326" s="19" t="n">
        <v>30</v>
      </c>
      <c r="AE326" s="2" t="n">
        <v>19</v>
      </c>
      <c r="AF326" s="19"/>
      <c r="AG326" s="19"/>
      <c r="AH326" s="19"/>
    </row>
    <row r="327" customFormat="false" ht="12.75" hidden="false" customHeight="false" outlineLevel="0" collapsed="false">
      <c r="A327" s="16" t="s">
        <v>438</v>
      </c>
      <c r="B327" s="17" t="n">
        <f aca="false">AVERAGE(E327:AE327)</f>
        <v>27.8888888888889</v>
      </c>
      <c r="C327" s="2" t="n">
        <f aca="false">MIN(E327:AE327)</f>
        <v>19</v>
      </c>
      <c r="D327" s="18" t="n">
        <f aca="false">MAX(E327:AE327)</f>
        <v>40</v>
      </c>
      <c r="E327" s="19" t="n">
        <v>20</v>
      </c>
      <c r="F327" s="19" t="n">
        <v>28</v>
      </c>
      <c r="G327" s="19" t="n">
        <v>22</v>
      </c>
      <c r="H327" s="19" t="n">
        <v>30</v>
      </c>
      <c r="I327" s="19" t="n">
        <v>29</v>
      </c>
      <c r="J327" s="19" t="n">
        <v>34</v>
      </c>
      <c r="K327" s="19" t="n">
        <v>27</v>
      </c>
      <c r="L327" s="19" t="n">
        <v>31</v>
      </c>
      <c r="M327" s="19" t="n">
        <v>32</v>
      </c>
      <c r="N327" s="19" t="n">
        <v>26</v>
      </c>
      <c r="O327" s="19" t="n">
        <v>29</v>
      </c>
      <c r="P327" s="19" t="n">
        <v>20</v>
      </c>
      <c r="Q327" s="19" t="n">
        <v>32</v>
      </c>
      <c r="R327" s="19" t="n">
        <v>33</v>
      </c>
      <c r="S327" s="19" t="n">
        <v>20</v>
      </c>
      <c r="T327" s="19" t="n">
        <v>40</v>
      </c>
      <c r="U327" s="19" t="n">
        <v>28</v>
      </c>
      <c r="V327" s="19" t="n">
        <v>33</v>
      </c>
      <c r="W327" s="19" t="n">
        <v>33</v>
      </c>
      <c r="X327" s="19" t="n">
        <v>29</v>
      </c>
      <c r="Y327" s="19" t="n">
        <v>25</v>
      </c>
      <c r="Z327" s="19" t="n">
        <v>22</v>
      </c>
      <c r="AA327" s="19" t="n">
        <v>28</v>
      </c>
      <c r="AB327" s="19" t="n">
        <v>26</v>
      </c>
      <c r="AC327" s="19" t="n">
        <v>27</v>
      </c>
      <c r="AD327" s="19" t="n">
        <v>30</v>
      </c>
      <c r="AE327" s="2" t="n">
        <v>19</v>
      </c>
      <c r="AF327" s="19"/>
      <c r="AG327" s="19"/>
      <c r="AH327" s="19"/>
    </row>
    <row r="328" customFormat="false" ht="12.75" hidden="false" customHeight="false" outlineLevel="0" collapsed="false">
      <c r="A328" s="16" t="s">
        <v>439</v>
      </c>
      <c r="B328" s="17" t="n">
        <f aca="false">AVERAGE(E328:AE328)</f>
        <v>27.8888888888889</v>
      </c>
      <c r="C328" s="2" t="n">
        <f aca="false">MIN(E328:AE328)</f>
        <v>19</v>
      </c>
      <c r="D328" s="18" t="n">
        <f aca="false">MAX(E328:AE328)</f>
        <v>40</v>
      </c>
      <c r="E328" s="19" t="n">
        <v>20</v>
      </c>
      <c r="F328" s="19" t="n">
        <v>28</v>
      </c>
      <c r="G328" s="19" t="n">
        <v>22</v>
      </c>
      <c r="H328" s="19" t="n">
        <v>30</v>
      </c>
      <c r="I328" s="19" t="n">
        <v>29</v>
      </c>
      <c r="J328" s="19" t="n">
        <v>34</v>
      </c>
      <c r="K328" s="19" t="n">
        <v>27</v>
      </c>
      <c r="L328" s="19" t="n">
        <v>31</v>
      </c>
      <c r="M328" s="19" t="n">
        <v>32</v>
      </c>
      <c r="N328" s="19" t="n">
        <v>26</v>
      </c>
      <c r="O328" s="19" t="n">
        <v>29</v>
      </c>
      <c r="P328" s="19" t="n">
        <v>20</v>
      </c>
      <c r="Q328" s="19" t="n">
        <v>32</v>
      </c>
      <c r="R328" s="19" t="n">
        <v>33</v>
      </c>
      <c r="S328" s="19" t="n">
        <v>20</v>
      </c>
      <c r="T328" s="19" t="n">
        <v>40</v>
      </c>
      <c r="U328" s="19" t="n">
        <v>28</v>
      </c>
      <c r="V328" s="19" t="n">
        <v>33</v>
      </c>
      <c r="W328" s="19" t="n">
        <v>33</v>
      </c>
      <c r="X328" s="19" t="n">
        <v>29</v>
      </c>
      <c r="Y328" s="19" t="n">
        <v>25</v>
      </c>
      <c r="Z328" s="19" t="n">
        <v>22</v>
      </c>
      <c r="AA328" s="19" t="n">
        <v>28</v>
      </c>
      <c r="AB328" s="19" t="n">
        <v>26</v>
      </c>
      <c r="AC328" s="19" t="n">
        <v>27</v>
      </c>
      <c r="AD328" s="19" t="n">
        <v>30</v>
      </c>
      <c r="AE328" s="2" t="n">
        <v>19</v>
      </c>
      <c r="AF328" s="19"/>
      <c r="AG328" s="19"/>
      <c r="AH328" s="19"/>
    </row>
    <row r="329" customFormat="false" ht="12.75" hidden="false" customHeight="false" outlineLevel="0" collapsed="false">
      <c r="A329" s="16" t="s">
        <v>440</v>
      </c>
      <c r="B329" s="17" t="n">
        <f aca="false">AVERAGE(E329:AE329)</f>
        <v>27.8888888888889</v>
      </c>
      <c r="C329" s="2" t="n">
        <f aca="false">MIN(E329:AE329)</f>
        <v>19</v>
      </c>
      <c r="D329" s="18" t="n">
        <f aca="false">MAX(E329:AE329)</f>
        <v>40</v>
      </c>
      <c r="E329" s="19" t="n">
        <v>20</v>
      </c>
      <c r="F329" s="19" t="n">
        <v>28</v>
      </c>
      <c r="G329" s="19" t="n">
        <v>22</v>
      </c>
      <c r="H329" s="19" t="n">
        <v>30</v>
      </c>
      <c r="I329" s="19" t="n">
        <v>29</v>
      </c>
      <c r="J329" s="19" t="n">
        <v>34</v>
      </c>
      <c r="K329" s="19" t="n">
        <v>27</v>
      </c>
      <c r="L329" s="19" t="n">
        <v>31</v>
      </c>
      <c r="M329" s="19" t="n">
        <v>32</v>
      </c>
      <c r="N329" s="19" t="n">
        <v>26</v>
      </c>
      <c r="O329" s="19" t="n">
        <v>29</v>
      </c>
      <c r="P329" s="19" t="n">
        <v>20</v>
      </c>
      <c r="Q329" s="19" t="n">
        <v>32</v>
      </c>
      <c r="R329" s="19" t="n">
        <v>33</v>
      </c>
      <c r="S329" s="19" t="n">
        <v>20</v>
      </c>
      <c r="T329" s="19" t="n">
        <v>40</v>
      </c>
      <c r="U329" s="19" t="n">
        <v>28</v>
      </c>
      <c r="V329" s="19" t="n">
        <v>33</v>
      </c>
      <c r="W329" s="19" t="n">
        <v>33</v>
      </c>
      <c r="X329" s="19" t="n">
        <v>29</v>
      </c>
      <c r="Y329" s="19" t="n">
        <v>25</v>
      </c>
      <c r="Z329" s="19" t="n">
        <v>22</v>
      </c>
      <c r="AA329" s="19" t="n">
        <v>28</v>
      </c>
      <c r="AB329" s="19" t="n">
        <v>26</v>
      </c>
      <c r="AC329" s="19" t="n">
        <v>27</v>
      </c>
      <c r="AD329" s="19" t="n">
        <v>30</v>
      </c>
      <c r="AE329" s="2" t="n">
        <v>19</v>
      </c>
      <c r="AF329" s="19"/>
      <c r="AG329" s="19"/>
      <c r="AH329" s="19"/>
    </row>
    <row r="330" customFormat="false" ht="12.75" hidden="false" customHeight="false" outlineLevel="0" collapsed="false">
      <c r="A330" s="16" t="s">
        <v>441</v>
      </c>
      <c r="B330" s="17" t="n">
        <f aca="false">AVERAGE(E330:AE330)</f>
        <v>27.8888888888889</v>
      </c>
      <c r="C330" s="2" t="n">
        <f aca="false">MIN(E330:AE330)</f>
        <v>19</v>
      </c>
      <c r="D330" s="18" t="n">
        <f aca="false">MAX(E330:AE330)</f>
        <v>40</v>
      </c>
      <c r="E330" s="19" t="n">
        <v>20</v>
      </c>
      <c r="F330" s="19" t="n">
        <v>28</v>
      </c>
      <c r="G330" s="19" t="n">
        <v>22</v>
      </c>
      <c r="H330" s="19" t="n">
        <v>30</v>
      </c>
      <c r="I330" s="19" t="n">
        <v>29</v>
      </c>
      <c r="J330" s="19" t="n">
        <v>34</v>
      </c>
      <c r="K330" s="19" t="n">
        <v>27</v>
      </c>
      <c r="L330" s="19" t="n">
        <v>31</v>
      </c>
      <c r="M330" s="19" t="n">
        <v>32</v>
      </c>
      <c r="N330" s="19" t="n">
        <v>26</v>
      </c>
      <c r="O330" s="19" t="n">
        <v>29</v>
      </c>
      <c r="P330" s="19" t="n">
        <v>20</v>
      </c>
      <c r="Q330" s="19" t="n">
        <v>32</v>
      </c>
      <c r="R330" s="19" t="n">
        <v>33</v>
      </c>
      <c r="S330" s="19" t="n">
        <v>20</v>
      </c>
      <c r="T330" s="19" t="n">
        <v>40</v>
      </c>
      <c r="U330" s="19" t="n">
        <v>28</v>
      </c>
      <c r="V330" s="19" t="n">
        <v>33</v>
      </c>
      <c r="W330" s="19" t="n">
        <v>33</v>
      </c>
      <c r="X330" s="19" t="n">
        <v>29</v>
      </c>
      <c r="Y330" s="19" t="n">
        <v>25</v>
      </c>
      <c r="Z330" s="19" t="n">
        <v>22</v>
      </c>
      <c r="AA330" s="19" t="n">
        <v>28</v>
      </c>
      <c r="AB330" s="19" t="n">
        <v>26</v>
      </c>
      <c r="AC330" s="19" t="n">
        <v>27</v>
      </c>
      <c r="AD330" s="19" t="n">
        <v>30</v>
      </c>
      <c r="AE330" s="2" t="n">
        <v>19</v>
      </c>
      <c r="AF330" s="19"/>
      <c r="AG330" s="19"/>
      <c r="AH330" s="19"/>
    </row>
    <row r="331" customFormat="false" ht="12.75" hidden="false" customHeight="false" outlineLevel="0" collapsed="false">
      <c r="A331" s="16" t="s">
        <v>442</v>
      </c>
      <c r="B331" s="17" t="n">
        <f aca="false">AVERAGE(E331:AE331)</f>
        <v>27.8888888888889</v>
      </c>
      <c r="C331" s="2" t="n">
        <f aca="false">MIN(E331:AE331)</f>
        <v>19</v>
      </c>
      <c r="D331" s="18" t="n">
        <f aca="false">MAX(E331:AE331)</f>
        <v>40</v>
      </c>
      <c r="E331" s="19" t="n">
        <v>20</v>
      </c>
      <c r="F331" s="19" t="n">
        <v>28</v>
      </c>
      <c r="G331" s="19" t="n">
        <v>22</v>
      </c>
      <c r="H331" s="19" t="n">
        <v>30</v>
      </c>
      <c r="I331" s="19" t="n">
        <v>29</v>
      </c>
      <c r="J331" s="19" t="n">
        <v>34</v>
      </c>
      <c r="K331" s="19" t="n">
        <v>27</v>
      </c>
      <c r="L331" s="19" t="n">
        <v>31</v>
      </c>
      <c r="M331" s="19" t="n">
        <v>32</v>
      </c>
      <c r="N331" s="19" t="n">
        <v>26</v>
      </c>
      <c r="O331" s="19" t="n">
        <v>29</v>
      </c>
      <c r="P331" s="19" t="n">
        <v>20</v>
      </c>
      <c r="Q331" s="19" t="n">
        <v>32</v>
      </c>
      <c r="R331" s="19" t="n">
        <v>33</v>
      </c>
      <c r="S331" s="19" t="n">
        <v>20</v>
      </c>
      <c r="T331" s="19" t="n">
        <v>40</v>
      </c>
      <c r="U331" s="19" t="n">
        <v>28</v>
      </c>
      <c r="V331" s="19" t="n">
        <v>33</v>
      </c>
      <c r="W331" s="19" t="n">
        <v>33</v>
      </c>
      <c r="X331" s="19" t="n">
        <v>29</v>
      </c>
      <c r="Y331" s="19" t="n">
        <v>25</v>
      </c>
      <c r="Z331" s="19" t="n">
        <v>22</v>
      </c>
      <c r="AA331" s="19" t="n">
        <v>28</v>
      </c>
      <c r="AB331" s="19" t="n">
        <v>26</v>
      </c>
      <c r="AC331" s="19" t="n">
        <v>27</v>
      </c>
      <c r="AD331" s="19" t="n">
        <v>30</v>
      </c>
      <c r="AE331" s="2" t="n">
        <v>19</v>
      </c>
      <c r="AF331" s="19"/>
      <c r="AG331" s="19"/>
      <c r="AH331" s="19"/>
    </row>
    <row r="332" customFormat="false" ht="12.75" hidden="false" customHeight="false" outlineLevel="0" collapsed="false">
      <c r="A332" s="16" t="s">
        <v>443</v>
      </c>
      <c r="B332" s="17" t="n">
        <f aca="false">AVERAGE(E332:AE332)</f>
        <v>27.8888888888889</v>
      </c>
      <c r="C332" s="2" t="n">
        <f aca="false">MIN(E332:AE332)</f>
        <v>19</v>
      </c>
      <c r="D332" s="18" t="n">
        <f aca="false">MAX(E332:AE332)</f>
        <v>40</v>
      </c>
      <c r="E332" s="19" t="n">
        <v>20</v>
      </c>
      <c r="F332" s="19" t="n">
        <v>28</v>
      </c>
      <c r="G332" s="19" t="n">
        <v>22</v>
      </c>
      <c r="H332" s="19" t="n">
        <v>30</v>
      </c>
      <c r="I332" s="19" t="n">
        <v>29</v>
      </c>
      <c r="J332" s="19" t="n">
        <v>34</v>
      </c>
      <c r="K332" s="19" t="n">
        <v>27</v>
      </c>
      <c r="L332" s="19" t="n">
        <v>31</v>
      </c>
      <c r="M332" s="19" t="n">
        <v>32</v>
      </c>
      <c r="N332" s="19" t="n">
        <v>26</v>
      </c>
      <c r="O332" s="19" t="n">
        <v>29</v>
      </c>
      <c r="P332" s="19" t="n">
        <v>20</v>
      </c>
      <c r="Q332" s="19" t="n">
        <v>32</v>
      </c>
      <c r="R332" s="19" t="n">
        <v>33</v>
      </c>
      <c r="S332" s="19" t="n">
        <v>20</v>
      </c>
      <c r="T332" s="19" t="n">
        <v>40</v>
      </c>
      <c r="U332" s="19" t="n">
        <v>28</v>
      </c>
      <c r="V332" s="19" t="n">
        <v>33</v>
      </c>
      <c r="W332" s="19" t="n">
        <v>33</v>
      </c>
      <c r="X332" s="19" t="n">
        <v>29</v>
      </c>
      <c r="Y332" s="19" t="n">
        <v>25</v>
      </c>
      <c r="Z332" s="19" t="n">
        <v>22</v>
      </c>
      <c r="AA332" s="19" t="n">
        <v>28</v>
      </c>
      <c r="AB332" s="19" t="n">
        <v>26</v>
      </c>
      <c r="AC332" s="19" t="n">
        <v>27</v>
      </c>
      <c r="AD332" s="19" t="n">
        <v>30</v>
      </c>
      <c r="AE332" s="2" t="n">
        <v>19</v>
      </c>
      <c r="AF332" s="19"/>
      <c r="AG332" s="19"/>
      <c r="AH332" s="19"/>
    </row>
    <row r="333" customFormat="false" ht="12.75" hidden="false" customHeight="false" outlineLevel="0" collapsed="false">
      <c r="A333" s="16" t="s">
        <v>444</v>
      </c>
      <c r="B333" s="17" t="n">
        <f aca="false">AVERAGE(E333:AE333)</f>
        <v>27.8888888888889</v>
      </c>
      <c r="C333" s="2" t="n">
        <f aca="false">MIN(E333:AE333)</f>
        <v>19</v>
      </c>
      <c r="D333" s="18" t="n">
        <f aca="false">MAX(E333:AE333)</f>
        <v>40</v>
      </c>
      <c r="E333" s="19" t="n">
        <v>20</v>
      </c>
      <c r="F333" s="19" t="n">
        <v>28</v>
      </c>
      <c r="G333" s="19" t="n">
        <v>22</v>
      </c>
      <c r="H333" s="19" t="n">
        <v>30</v>
      </c>
      <c r="I333" s="19" t="n">
        <v>29</v>
      </c>
      <c r="J333" s="19" t="n">
        <v>34</v>
      </c>
      <c r="K333" s="19" t="n">
        <v>27</v>
      </c>
      <c r="L333" s="19" t="n">
        <v>31</v>
      </c>
      <c r="M333" s="19" t="n">
        <v>32</v>
      </c>
      <c r="N333" s="19" t="n">
        <v>26</v>
      </c>
      <c r="O333" s="19" t="n">
        <v>29</v>
      </c>
      <c r="P333" s="19" t="n">
        <v>20</v>
      </c>
      <c r="Q333" s="19" t="n">
        <v>32</v>
      </c>
      <c r="R333" s="19" t="n">
        <v>33</v>
      </c>
      <c r="S333" s="19" t="n">
        <v>20</v>
      </c>
      <c r="T333" s="19" t="n">
        <v>40</v>
      </c>
      <c r="U333" s="19" t="n">
        <v>28</v>
      </c>
      <c r="V333" s="19" t="n">
        <v>33</v>
      </c>
      <c r="W333" s="19" t="n">
        <v>33</v>
      </c>
      <c r="X333" s="19" t="n">
        <v>29</v>
      </c>
      <c r="Y333" s="19" t="n">
        <v>25</v>
      </c>
      <c r="Z333" s="19" t="n">
        <v>22</v>
      </c>
      <c r="AA333" s="19" t="n">
        <v>28</v>
      </c>
      <c r="AB333" s="19" t="n">
        <v>26</v>
      </c>
      <c r="AC333" s="19" t="n">
        <v>27</v>
      </c>
      <c r="AD333" s="19" t="n">
        <v>30</v>
      </c>
      <c r="AE333" s="2" t="n">
        <v>19</v>
      </c>
      <c r="AF333" s="19"/>
      <c r="AG333" s="19"/>
      <c r="AH333" s="19"/>
    </row>
    <row r="334" customFormat="false" ht="12.75" hidden="false" customHeight="false" outlineLevel="0" collapsed="false">
      <c r="A334" s="16" t="s">
        <v>445</v>
      </c>
      <c r="B334" s="17" t="n">
        <f aca="false">AVERAGE(E334:AE334)</f>
        <v>27.8888888888889</v>
      </c>
      <c r="C334" s="2" t="n">
        <f aca="false">MIN(E334:AE334)</f>
        <v>19</v>
      </c>
      <c r="D334" s="18" t="n">
        <f aca="false">MAX(E334:AE334)</f>
        <v>40</v>
      </c>
      <c r="E334" s="19" t="n">
        <v>20</v>
      </c>
      <c r="F334" s="19" t="n">
        <v>28</v>
      </c>
      <c r="G334" s="19" t="n">
        <v>22</v>
      </c>
      <c r="H334" s="19" t="n">
        <v>30</v>
      </c>
      <c r="I334" s="19" t="n">
        <v>29</v>
      </c>
      <c r="J334" s="19" t="n">
        <v>34</v>
      </c>
      <c r="K334" s="19" t="n">
        <v>27</v>
      </c>
      <c r="L334" s="19" t="n">
        <v>31</v>
      </c>
      <c r="M334" s="19" t="n">
        <v>32</v>
      </c>
      <c r="N334" s="19" t="n">
        <v>26</v>
      </c>
      <c r="O334" s="19" t="n">
        <v>29</v>
      </c>
      <c r="P334" s="19" t="n">
        <v>20</v>
      </c>
      <c r="Q334" s="19" t="n">
        <v>32</v>
      </c>
      <c r="R334" s="19" t="n">
        <v>33</v>
      </c>
      <c r="S334" s="19" t="n">
        <v>20</v>
      </c>
      <c r="T334" s="19" t="n">
        <v>40</v>
      </c>
      <c r="U334" s="19" t="n">
        <v>28</v>
      </c>
      <c r="V334" s="19" t="n">
        <v>33</v>
      </c>
      <c r="W334" s="19" t="n">
        <v>33</v>
      </c>
      <c r="X334" s="19" t="n">
        <v>29</v>
      </c>
      <c r="Y334" s="19" t="n">
        <v>25</v>
      </c>
      <c r="Z334" s="19" t="n">
        <v>22</v>
      </c>
      <c r="AA334" s="19" t="n">
        <v>28</v>
      </c>
      <c r="AB334" s="19" t="n">
        <v>26</v>
      </c>
      <c r="AC334" s="19" t="n">
        <v>27</v>
      </c>
      <c r="AD334" s="19" t="n">
        <v>30</v>
      </c>
      <c r="AE334" s="2" t="n">
        <v>19</v>
      </c>
      <c r="AF334" s="19"/>
      <c r="AG334" s="19"/>
      <c r="AH334" s="19"/>
    </row>
    <row r="335" customFormat="false" ht="12.75" hidden="false" customHeight="false" outlineLevel="0" collapsed="false">
      <c r="A335" s="16" t="s">
        <v>446</v>
      </c>
      <c r="B335" s="17" t="n">
        <f aca="false">AVERAGE(E335:AE335)</f>
        <v>27.8888888888889</v>
      </c>
      <c r="C335" s="2" t="n">
        <f aca="false">MIN(E335:AE335)</f>
        <v>19</v>
      </c>
      <c r="D335" s="18" t="n">
        <f aca="false">MAX(E335:AE335)</f>
        <v>40</v>
      </c>
      <c r="E335" s="19" t="n">
        <v>20</v>
      </c>
      <c r="F335" s="19" t="n">
        <v>28</v>
      </c>
      <c r="G335" s="19" t="n">
        <v>22</v>
      </c>
      <c r="H335" s="19" t="n">
        <v>30</v>
      </c>
      <c r="I335" s="19" t="n">
        <v>29</v>
      </c>
      <c r="J335" s="19" t="n">
        <v>34</v>
      </c>
      <c r="K335" s="19" t="n">
        <v>27</v>
      </c>
      <c r="L335" s="19" t="n">
        <v>31</v>
      </c>
      <c r="M335" s="19" t="n">
        <v>32</v>
      </c>
      <c r="N335" s="19" t="n">
        <v>26</v>
      </c>
      <c r="O335" s="19" t="n">
        <v>29</v>
      </c>
      <c r="P335" s="19" t="n">
        <v>20</v>
      </c>
      <c r="Q335" s="19" t="n">
        <v>32</v>
      </c>
      <c r="R335" s="19" t="n">
        <v>33</v>
      </c>
      <c r="S335" s="19" t="n">
        <v>20</v>
      </c>
      <c r="T335" s="19" t="n">
        <v>40</v>
      </c>
      <c r="U335" s="19" t="n">
        <v>28</v>
      </c>
      <c r="V335" s="19" t="n">
        <v>33</v>
      </c>
      <c r="W335" s="19" t="n">
        <v>33</v>
      </c>
      <c r="X335" s="19" t="n">
        <v>29</v>
      </c>
      <c r="Y335" s="19" t="n">
        <v>25</v>
      </c>
      <c r="Z335" s="19" t="n">
        <v>22</v>
      </c>
      <c r="AA335" s="19" t="n">
        <v>28</v>
      </c>
      <c r="AB335" s="19" t="n">
        <v>26</v>
      </c>
      <c r="AC335" s="19" t="n">
        <v>27</v>
      </c>
      <c r="AD335" s="19" t="n">
        <v>30</v>
      </c>
      <c r="AE335" s="2" t="n">
        <v>19</v>
      </c>
      <c r="AF335" s="19"/>
      <c r="AG335" s="19"/>
      <c r="AH335" s="19"/>
    </row>
    <row r="336" customFormat="false" ht="12.75" hidden="false" customHeight="false" outlineLevel="0" collapsed="false">
      <c r="A336" s="16" t="s">
        <v>447</v>
      </c>
      <c r="B336" s="17" t="n">
        <f aca="false">AVERAGE(E336:AE336)</f>
        <v>27.8888888888889</v>
      </c>
      <c r="C336" s="2" t="n">
        <f aca="false">MIN(E336:AE336)</f>
        <v>19</v>
      </c>
      <c r="D336" s="18" t="n">
        <f aca="false">MAX(E336:AE336)</f>
        <v>40</v>
      </c>
      <c r="E336" s="19" t="n">
        <v>20</v>
      </c>
      <c r="F336" s="19" t="n">
        <v>28</v>
      </c>
      <c r="G336" s="19" t="n">
        <v>22</v>
      </c>
      <c r="H336" s="19" t="n">
        <v>30</v>
      </c>
      <c r="I336" s="19" t="n">
        <v>29</v>
      </c>
      <c r="J336" s="19" t="n">
        <v>34</v>
      </c>
      <c r="K336" s="19" t="n">
        <v>27</v>
      </c>
      <c r="L336" s="19" t="n">
        <v>31</v>
      </c>
      <c r="M336" s="19" t="n">
        <v>32</v>
      </c>
      <c r="N336" s="19" t="n">
        <v>26</v>
      </c>
      <c r="O336" s="19" t="n">
        <v>29</v>
      </c>
      <c r="P336" s="19" t="n">
        <v>20</v>
      </c>
      <c r="Q336" s="19" t="n">
        <v>32</v>
      </c>
      <c r="R336" s="19" t="n">
        <v>33</v>
      </c>
      <c r="S336" s="19" t="n">
        <v>20</v>
      </c>
      <c r="T336" s="19" t="n">
        <v>40</v>
      </c>
      <c r="U336" s="19" t="n">
        <v>28</v>
      </c>
      <c r="V336" s="19" t="n">
        <v>33</v>
      </c>
      <c r="W336" s="19" t="n">
        <v>33</v>
      </c>
      <c r="X336" s="19" t="n">
        <v>29</v>
      </c>
      <c r="Y336" s="19" t="n">
        <v>25</v>
      </c>
      <c r="Z336" s="19" t="n">
        <v>22</v>
      </c>
      <c r="AA336" s="19" t="n">
        <v>28</v>
      </c>
      <c r="AB336" s="19" t="n">
        <v>26</v>
      </c>
      <c r="AC336" s="19" t="n">
        <v>27</v>
      </c>
      <c r="AD336" s="19" t="n">
        <v>30</v>
      </c>
      <c r="AE336" s="2" t="n">
        <v>19</v>
      </c>
      <c r="AF336" s="19"/>
      <c r="AG336" s="19"/>
      <c r="AH336" s="19"/>
    </row>
    <row r="337" customFormat="false" ht="12.75" hidden="false" customHeight="false" outlineLevel="0" collapsed="false">
      <c r="A337" s="16" t="s">
        <v>448</v>
      </c>
      <c r="B337" s="17" t="n">
        <f aca="false">AVERAGE(E337:AE337)</f>
        <v>27.8888888888889</v>
      </c>
      <c r="C337" s="2" t="n">
        <f aca="false">MIN(E337:AE337)</f>
        <v>19</v>
      </c>
      <c r="D337" s="18" t="n">
        <f aca="false">MAX(E337:AE337)</f>
        <v>40</v>
      </c>
      <c r="E337" s="19" t="n">
        <v>20</v>
      </c>
      <c r="F337" s="19" t="n">
        <v>28</v>
      </c>
      <c r="G337" s="19" t="n">
        <v>22</v>
      </c>
      <c r="H337" s="19" t="n">
        <v>30</v>
      </c>
      <c r="I337" s="19" t="n">
        <v>29</v>
      </c>
      <c r="J337" s="19" t="n">
        <v>34</v>
      </c>
      <c r="K337" s="19" t="n">
        <v>27</v>
      </c>
      <c r="L337" s="19" t="n">
        <v>31</v>
      </c>
      <c r="M337" s="19" t="n">
        <v>32</v>
      </c>
      <c r="N337" s="19" t="n">
        <v>26</v>
      </c>
      <c r="O337" s="19" t="n">
        <v>29</v>
      </c>
      <c r="P337" s="19" t="n">
        <v>20</v>
      </c>
      <c r="Q337" s="19" t="n">
        <v>32</v>
      </c>
      <c r="R337" s="19" t="n">
        <v>33</v>
      </c>
      <c r="S337" s="19" t="n">
        <v>20</v>
      </c>
      <c r="T337" s="19" t="n">
        <v>40</v>
      </c>
      <c r="U337" s="19" t="n">
        <v>28</v>
      </c>
      <c r="V337" s="19" t="n">
        <v>33</v>
      </c>
      <c r="W337" s="19" t="n">
        <v>33</v>
      </c>
      <c r="X337" s="19" t="n">
        <v>29</v>
      </c>
      <c r="Y337" s="19" t="n">
        <v>25</v>
      </c>
      <c r="Z337" s="19" t="n">
        <v>22</v>
      </c>
      <c r="AA337" s="19" t="n">
        <v>28</v>
      </c>
      <c r="AB337" s="19" t="n">
        <v>26</v>
      </c>
      <c r="AC337" s="19" t="n">
        <v>27</v>
      </c>
      <c r="AD337" s="19" t="n">
        <v>30</v>
      </c>
      <c r="AE337" s="2" t="n">
        <v>19</v>
      </c>
      <c r="AF337" s="19"/>
      <c r="AG337" s="19"/>
      <c r="AH337" s="19"/>
    </row>
    <row r="338" customFormat="false" ht="12.75" hidden="false" customHeight="false" outlineLevel="0" collapsed="false">
      <c r="A338" s="16" t="s">
        <v>449</v>
      </c>
      <c r="B338" s="17" t="n">
        <f aca="false">AVERAGE(E338:AE338)</f>
        <v>27.8888888888889</v>
      </c>
      <c r="C338" s="2" t="n">
        <f aca="false">MIN(E338:AE338)</f>
        <v>19</v>
      </c>
      <c r="D338" s="18" t="n">
        <f aca="false">MAX(E338:AE338)</f>
        <v>40</v>
      </c>
      <c r="E338" s="19" t="n">
        <v>20</v>
      </c>
      <c r="F338" s="19" t="n">
        <v>28</v>
      </c>
      <c r="G338" s="19" t="n">
        <v>22</v>
      </c>
      <c r="H338" s="19" t="n">
        <v>30</v>
      </c>
      <c r="I338" s="19" t="n">
        <v>29</v>
      </c>
      <c r="J338" s="19" t="n">
        <v>34</v>
      </c>
      <c r="K338" s="19" t="n">
        <v>27</v>
      </c>
      <c r="L338" s="19" t="n">
        <v>31</v>
      </c>
      <c r="M338" s="19" t="n">
        <v>32</v>
      </c>
      <c r="N338" s="19" t="n">
        <v>26</v>
      </c>
      <c r="O338" s="19" t="n">
        <v>29</v>
      </c>
      <c r="P338" s="19" t="n">
        <v>20</v>
      </c>
      <c r="Q338" s="19" t="n">
        <v>32</v>
      </c>
      <c r="R338" s="19" t="n">
        <v>33</v>
      </c>
      <c r="S338" s="19" t="n">
        <v>20</v>
      </c>
      <c r="T338" s="19" t="n">
        <v>40</v>
      </c>
      <c r="U338" s="19" t="n">
        <v>28</v>
      </c>
      <c r="V338" s="19" t="n">
        <v>33</v>
      </c>
      <c r="W338" s="19" t="n">
        <v>33</v>
      </c>
      <c r="X338" s="19" t="n">
        <v>29</v>
      </c>
      <c r="Y338" s="19" t="n">
        <v>25</v>
      </c>
      <c r="Z338" s="19" t="n">
        <v>22</v>
      </c>
      <c r="AA338" s="19" t="n">
        <v>28</v>
      </c>
      <c r="AB338" s="19" t="n">
        <v>26</v>
      </c>
      <c r="AC338" s="19" t="n">
        <v>27</v>
      </c>
      <c r="AD338" s="19" t="n">
        <v>30</v>
      </c>
      <c r="AE338" s="2" t="n">
        <v>19</v>
      </c>
      <c r="AF338" s="19"/>
      <c r="AG338" s="19"/>
      <c r="AH338" s="19"/>
    </row>
    <row r="339" customFormat="false" ht="12.75" hidden="false" customHeight="false" outlineLevel="0" collapsed="false">
      <c r="A339" s="16" t="s">
        <v>450</v>
      </c>
      <c r="B339" s="17" t="n">
        <f aca="false">AVERAGE(E339:AE339)</f>
        <v>27.8888888888889</v>
      </c>
      <c r="C339" s="2" t="n">
        <f aca="false">MIN(E339:AE339)</f>
        <v>19</v>
      </c>
      <c r="D339" s="18" t="n">
        <f aca="false">MAX(E339:AE339)</f>
        <v>40</v>
      </c>
      <c r="E339" s="19" t="n">
        <v>20</v>
      </c>
      <c r="F339" s="19" t="n">
        <v>28</v>
      </c>
      <c r="G339" s="19" t="n">
        <v>22</v>
      </c>
      <c r="H339" s="19" t="n">
        <v>30</v>
      </c>
      <c r="I339" s="19" t="n">
        <v>29</v>
      </c>
      <c r="J339" s="19" t="n">
        <v>34</v>
      </c>
      <c r="K339" s="19" t="n">
        <v>27</v>
      </c>
      <c r="L339" s="19" t="n">
        <v>31</v>
      </c>
      <c r="M339" s="19" t="n">
        <v>32</v>
      </c>
      <c r="N339" s="19" t="n">
        <v>26</v>
      </c>
      <c r="O339" s="19" t="n">
        <v>29</v>
      </c>
      <c r="P339" s="19" t="n">
        <v>20</v>
      </c>
      <c r="Q339" s="19" t="n">
        <v>32</v>
      </c>
      <c r="R339" s="19" t="n">
        <v>33</v>
      </c>
      <c r="S339" s="19" t="n">
        <v>20</v>
      </c>
      <c r="T339" s="19" t="n">
        <v>40</v>
      </c>
      <c r="U339" s="19" t="n">
        <v>28</v>
      </c>
      <c r="V339" s="19" t="n">
        <v>33</v>
      </c>
      <c r="W339" s="19" t="n">
        <v>33</v>
      </c>
      <c r="X339" s="19" t="n">
        <v>29</v>
      </c>
      <c r="Y339" s="19" t="n">
        <v>25</v>
      </c>
      <c r="Z339" s="19" t="n">
        <v>22</v>
      </c>
      <c r="AA339" s="19" t="n">
        <v>28</v>
      </c>
      <c r="AB339" s="19" t="n">
        <v>26</v>
      </c>
      <c r="AC339" s="19" t="n">
        <v>27</v>
      </c>
      <c r="AD339" s="19" t="n">
        <v>30</v>
      </c>
      <c r="AE339" s="2" t="n">
        <v>19</v>
      </c>
      <c r="AF339" s="19"/>
      <c r="AG339" s="19"/>
      <c r="AH339" s="19"/>
    </row>
    <row r="340" customFormat="false" ht="12.75" hidden="false" customHeight="false" outlineLevel="0" collapsed="false">
      <c r="A340" s="16" t="s">
        <v>451</v>
      </c>
      <c r="B340" s="17" t="n">
        <f aca="false">AVERAGE(E340:AE340)</f>
        <v>27.8888888888889</v>
      </c>
      <c r="C340" s="2" t="n">
        <f aca="false">MIN(E340:AE340)</f>
        <v>19</v>
      </c>
      <c r="D340" s="18" t="n">
        <f aca="false">MAX(E340:AE340)</f>
        <v>40</v>
      </c>
      <c r="E340" s="19" t="n">
        <v>20</v>
      </c>
      <c r="F340" s="19" t="n">
        <v>28</v>
      </c>
      <c r="G340" s="19" t="n">
        <v>22</v>
      </c>
      <c r="H340" s="19" t="n">
        <v>30</v>
      </c>
      <c r="I340" s="19" t="n">
        <v>29</v>
      </c>
      <c r="J340" s="19" t="n">
        <v>34</v>
      </c>
      <c r="K340" s="19" t="n">
        <v>27</v>
      </c>
      <c r="L340" s="19" t="n">
        <v>31</v>
      </c>
      <c r="M340" s="19" t="n">
        <v>32</v>
      </c>
      <c r="N340" s="19" t="n">
        <v>26</v>
      </c>
      <c r="O340" s="19" t="n">
        <v>29</v>
      </c>
      <c r="P340" s="19" t="n">
        <v>20</v>
      </c>
      <c r="Q340" s="19" t="n">
        <v>32</v>
      </c>
      <c r="R340" s="19" t="n">
        <v>33</v>
      </c>
      <c r="S340" s="19" t="n">
        <v>20</v>
      </c>
      <c r="T340" s="19" t="n">
        <v>40</v>
      </c>
      <c r="U340" s="19" t="n">
        <v>28</v>
      </c>
      <c r="V340" s="19" t="n">
        <v>33</v>
      </c>
      <c r="W340" s="19" t="n">
        <v>33</v>
      </c>
      <c r="X340" s="19" t="n">
        <v>29</v>
      </c>
      <c r="Y340" s="19" t="n">
        <v>25</v>
      </c>
      <c r="Z340" s="19" t="n">
        <v>22</v>
      </c>
      <c r="AA340" s="19" t="n">
        <v>28</v>
      </c>
      <c r="AB340" s="19" t="n">
        <v>26</v>
      </c>
      <c r="AC340" s="19" t="n">
        <v>27</v>
      </c>
      <c r="AD340" s="19" t="n">
        <v>30</v>
      </c>
      <c r="AE340" s="2" t="n">
        <v>19</v>
      </c>
      <c r="AF340" s="19"/>
      <c r="AG340" s="19"/>
      <c r="AH340" s="19"/>
    </row>
    <row r="341" customFormat="false" ht="12.75" hidden="false" customHeight="false" outlineLevel="0" collapsed="false">
      <c r="A341" s="16" t="s">
        <v>452</v>
      </c>
      <c r="B341" s="17" t="n">
        <f aca="false">AVERAGE(E341:AE341)</f>
        <v>27.8888888888889</v>
      </c>
      <c r="C341" s="2" t="n">
        <f aca="false">MIN(E341:AE341)</f>
        <v>19</v>
      </c>
      <c r="D341" s="18" t="n">
        <f aca="false">MAX(E341:AE341)</f>
        <v>40</v>
      </c>
      <c r="E341" s="19" t="n">
        <v>20</v>
      </c>
      <c r="F341" s="19" t="n">
        <v>28</v>
      </c>
      <c r="G341" s="19" t="n">
        <v>22</v>
      </c>
      <c r="H341" s="19" t="n">
        <v>30</v>
      </c>
      <c r="I341" s="19" t="n">
        <v>29</v>
      </c>
      <c r="J341" s="19" t="n">
        <v>34</v>
      </c>
      <c r="K341" s="19" t="n">
        <v>27</v>
      </c>
      <c r="L341" s="19" t="n">
        <v>31</v>
      </c>
      <c r="M341" s="19" t="n">
        <v>32</v>
      </c>
      <c r="N341" s="19" t="n">
        <v>26</v>
      </c>
      <c r="O341" s="19" t="n">
        <v>29</v>
      </c>
      <c r="P341" s="19" t="n">
        <v>20</v>
      </c>
      <c r="Q341" s="19" t="n">
        <v>32</v>
      </c>
      <c r="R341" s="19" t="n">
        <v>33</v>
      </c>
      <c r="S341" s="19" t="n">
        <v>20</v>
      </c>
      <c r="T341" s="19" t="n">
        <v>40</v>
      </c>
      <c r="U341" s="19" t="n">
        <v>28</v>
      </c>
      <c r="V341" s="19" t="n">
        <v>33</v>
      </c>
      <c r="W341" s="19" t="n">
        <v>33</v>
      </c>
      <c r="X341" s="19" t="n">
        <v>29</v>
      </c>
      <c r="Y341" s="19" t="n">
        <v>25</v>
      </c>
      <c r="Z341" s="19" t="n">
        <v>22</v>
      </c>
      <c r="AA341" s="19" t="n">
        <v>28</v>
      </c>
      <c r="AB341" s="19" t="n">
        <v>26</v>
      </c>
      <c r="AC341" s="19" t="n">
        <v>27</v>
      </c>
      <c r="AD341" s="19" t="n">
        <v>30</v>
      </c>
      <c r="AE341" s="2" t="n">
        <v>19</v>
      </c>
      <c r="AF341" s="19"/>
      <c r="AG341" s="19"/>
      <c r="AH341" s="19"/>
    </row>
    <row r="342" customFormat="false" ht="12.75" hidden="false" customHeight="false" outlineLevel="0" collapsed="false">
      <c r="A342" s="16" t="s">
        <v>453</v>
      </c>
      <c r="B342" s="17" t="n">
        <f aca="false">AVERAGE(E342:AE342)</f>
        <v>27.9259259259259</v>
      </c>
      <c r="C342" s="2" t="n">
        <f aca="false">MIN(E342:AE342)</f>
        <v>19</v>
      </c>
      <c r="D342" s="18" t="n">
        <f aca="false">MAX(E342:AE342)</f>
        <v>40</v>
      </c>
      <c r="E342" s="19" t="n">
        <v>20</v>
      </c>
      <c r="F342" s="19" t="n">
        <v>28</v>
      </c>
      <c r="G342" s="19" t="n">
        <v>22</v>
      </c>
      <c r="H342" s="19" t="n">
        <v>30</v>
      </c>
      <c r="I342" s="19" t="n">
        <v>29</v>
      </c>
      <c r="J342" s="19" t="n">
        <v>34</v>
      </c>
      <c r="K342" s="19" t="n">
        <v>27</v>
      </c>
      <c r="L342" s="19" t="n">
        <v>31</v>
      </c>
      <c r="M342" s="30" t="n">
        <v>33</v>
      </c>
      <c r="N342" s="19" t="n">
        <v>26</v>
      </c>
      <c r="O342" s="19" t="n">
        <v>29</v>
      </c>
      <c r="P342" s="19" t="n">
        <v>20</v>
      </c>
      <c r="Q342" s="19" t="n">
        <v>32</v>
      </c>
      <c r="R342" s="19" t="n">
        <v>33</v>
      </c>
      <c r="S342" s="19" t="n">
        <v>20</v>
      </c>
      <c r="T342" s="19" t="n">
        <v>40</v>
      </c>
      <c r="U342" s="19" t="n">
        <v>28</v>
      </c>
      <c r="V342" s="19" t="n">
        <v>33</v>
      </c>
      <c r="W342" s="19" t="n">
        <v>33</v>
      </c>
      <c r="X342" s="19" t="n">
        <v>29</v>
      </c>
      <c r="Y342" s="19" t="n">
        <v>25</v>
      </c>
      <c r="Z342" s="19" t="n">
        <v>22</v>
      </c>
      <c r="AA342" s="19" t="n">
        <v>28</v>
      </c>
      <c r="AB342" s="19" t="n">
        <v>26</v>
      </c>
      <c r="AC342" s="19" t="n">
        <v>27</v>
      </c>
      <c r="AD342" s="19" t="n">
        <v>30</v>
      </c>
      <c r="AE342" s="2" t="n">
        <v>19</v>
      </c>
      <c r="AF342" s="19"/>
      <c r="AG342" s="19"/>
      <c r="AH342" s="19"/>
    </row>
    <row r="343" customFormat="false" ht="12.75" hidden="false" customHeight="false" outlineLevel="0" collapsed="false">
      <c r="A343" s="16" t="s">
        <v>454</v>
      </c>
      <c r="B343" s="17" t="n">
        <f aca="false">AVERAGE(E343:AE343)</f>
        <v>27.9259259259259</v>
      </c>
      <c r="C343" s="2" t="n">
        <f aca="false">MIN(E343:AE343)</f>
        <v>19</v>
      </c>
      <c r="D343" s="18" t="n">
        <f aca="false">MAX(E343:AE343)</f>
        <v>40</v>
      </c>
      <c r="E343" s="19" t="n">
        <v>20</v>
      </c>
      <c r="F343" s="19" t="n">
        <v>28</v>
      </c>
      <c r="G343" s="19" t="n">
        <v>22</v>
      </c>
      <c r="H343" s="19" t="n">
        <v>30</v>
      </c>
      <c r="I343" s="19" t="n">
        <v>29</v>
      </c>
      <c r="J343" s="19" t="n">
        <v>34</v>
      </c>
      <c r="K343" s="19" t="n">
        <v>27</v>
      </c>
      <c r="L343" s="19" t="n">
        <v>31</v>
      </c>
      <c r="M343" s="19" t="n">
        <v>33</v>
      </c>
      <c r="N343" s="19" t="n">
        <v>26</v>
      </c>
      <c r="O343" s="19" t="n">
        <v>29</v>
      </c>
      <c r="P343" s="19" t="n">
        <v>20</v>
      </c>
      <c r="Q343" s="19" t="n">
        <v>32</v>
      </c>
      <c r="R343" s="19" t="n">
        <v>33</v>
      </c>
      <c r="S343" s="19" t="n">
        <v>20</v>
      </c>
      <c r="T343" s="19" t="n">
        <v>40</v>
      </c>
      <c r="U343" s="19" t="n">
        <v>28</v>
      </c>
      <c r="V343" s="19" t="n">
        <v>33</v>
      </c>
      <c r="W343" s="19" t="n">
        <v>33</v>
      </c>
      <c r="X343" s="19" t="n">
        <v>29</v>
      </c>
      <c r="Y343" s="19" t="n">
        <v>25</v>
      </c>
      <c r="Z343" s="19" t="n">
        <v>22</v>
      </c>
      <c r="AA343" s="19" t="n">
        <v>28</v>
      </c>
      <c r="AB343" s="19" t="n">
        <v>26</v>
      </c>
      <c r="AC343" s="19" t="n">
        <v>27</v>
      </c>
      <c r="AD343" s="19" t="n">
        <v>30</v>
      </c>
      <c r="AE343" s="2" t="n">
        <v>19</v>
      </c>
      <c r="AF343" s="19"/>
      <c r="AG343" s="19"/>
      <c r="AH343" s="19"/>
    </row>
    <row r="344" customFormat="false" ht="12.75" hidden="false" customHeight="false" outlineLevel="0" collapsed="false">
      <c r="A344" s="16" t="s">
        <v>455</v>
      </c>
      <c r="B344" s="17" t="n">
        <f aca="false">AVERAGE(E344:AE344)</f>
        <v>27.9259259259259</v>
      </c>
      <c r="C344" s="2" t="n">
        <f aca="false">MIN(E344:AE344)</f>
        <v>19</v>
      </c>
      <c r="D344" s="18" t="n">
        <f aca="false">MAX(E344:AE344)</f>
        <v>40</v>
      </c>
      <c r="E344" s="19" t="n">
        <v>20</v>
      </c>
      <c r="F344" s="19" t="n">
        <v>28</v>
      </c>
      <c r="G344" s="19" t="n">
        <v>22</v>
      </c>
      <c r="H344" s="19" t="n">
        <v>30</v>
      </c>
      <c r="I344" s="19" t="n">
        <v>29</v>
      </c>
      <c r="J344" s="19" t="n">
        <v>34</v>
      </c>
      <c r="K344" s="19" t="n">
        <v>27</v>
      </c>
      <c r="L344" s="19" t="n">
        <v>31</v>
      </c>
      <c r="M344" s="19" t="n">
        <v>33</v>
      </c>
      <c r="N344" s="19" t="n">
        <v>26</v>
      </c>
      <c r="O344" s="19" t="n">
        <v>29</v>
      </c>
      <c r="P344" s="19" t="n">
        <v>20</v>
      </c>
      <c r="Q344" s="19" t="n">
        <v>32</v>
      </c>
      <c r="R344" s="19" t="n">
        <v>33</v>
      </c>
      <c r="S344" s="19" t="n">
        <v>20</v>
      </c>
      <c r="T344" s="19" t="n">
        <v>40</v>
      </c>
      <c r="U344" s="19" t="n">
        <v>28</v>
      </c>
      <c r="V344" s="19" t="n">
        <v>33</v>
      </c>
      <c r="W344" s="19" t="n">
        <v>33</v>
      </c>
      <c r="X344" s="19" t="n">
        <v>29</v>
      </c>
      <c r="Y344" s="19" t="n">
        <v>25</v>
      </c>
      <c r="Z344" s="19" t="n">
        <v>22</v>
      </c>
      <c r="AA344" s="19" t="n">
        <v>28</v>
      </c>
      <c r="AB344" s="19" t="n">
        <v>26</v>
      </c>
      <c r="AC344" s="19" t="n">
        <v>27</v>
      </c>
      <c r="AD344" s="19" t="n">
        <v>30</v>
      </c>
      <c r="AE344" s="2" t="n">
        <v>19</v>
      </c>
      <c r="AF344" s="19"/>
      <c r="AG344" s="19"/>
      <c r="AH344" s="19"/>
    </row>
    <row r="345" customFormat="false" ht="12.75" hidden="false" customHeight="false" outlineLevel="0" collapsed="false">
      <c r="A345" s="16" t="s">
        <v>456</v>
      </c>
      <c r="B345" s="17" t="n">
        <f aca="false">AVERAGE(E345:AE345)</f>
        <v>27.9259259259259</v>
      </c>
      <c r="C345" s="2" t="n">
        <f aca="false">MIN(E345:AE345)</f>
        <v>19</v>
      </c>
      <c r="D345" s="18" t="n">
        <f aca="false">MAX(E345:AE345)</f>
        <v>40</v>
      </c>
      <c r="E345" s="19" t="n">
        <v>20</v>
      </c>
      <c r="F345" s="19" t="n">
        <v>28</v>
      </c>
      <c r="G345" s="19" t="n">
        <v>22</v>
      </c>
      <c r="H345" s="19" t="n">
        <v>30</v>
      </c>
      <c r="I345" s="19" t="n">
        <v>29</v>
      </c>
      <c r="J345" s="19" t="n">
        <v>34</v>
      </c>
      <c r="K345" s="19" t="n">
        <v>27</v>
      </c>
      <c r="L345" s="19" t="n">
        <v>31</v>
      </c>
      <c r="M345" s="19" t="n">
        <v>33</v>
      </c>
      <c r="N345" s="19" t="n">
        <v>26</v>
      </c>
      <c r="O345" s="19" t="n">
        <v>29</v>
      </c>
      <c r="P345" s="19" t="n">
        <v>20</v>
      </c>
      <c r="Q345" s="19" t="n">
        <v>32</v>
      </c>
      <c r="R345" s="19" t="n">
        <v>33</v>
      </c>
      <c r="S345" s="19" t="n">
        <v>20</v>
      </c>
      <c r="T345" s="19" t="n">
        <v>40</v>
      </c>
      <c r="U345" s="19" t="n">
        <v>28</v>
      </c>
      <c r="V345" s="19" t="n">
        <v>33</v>
      </c>
      <c r="W345" s="19" t="n">
        <v>33</v>
      </c>
      <c r="X345" s="19" t="n">
        <v>29</v>
      </c>
      <c r="Y345" s="19" t="n">
        <v>25</v>
      </c>
      <c r="Z345" s="19" t="n">
        <v>22</v>
      </c>
      <c r="AA345" s="19" t="n">
        <v>28</v>
      </c>
      <c r="AB345" s="19" t="n">
        <v>26</v>
      </c>
      <c r="AC345" s="19" t="n">
        <v>27</v>
      </c>
      <c r="AD345" s="19" t="n">
        <v>30</v>
      </c>
      <c r="AE345" s="2" t="n">
        <v>19</v>
      </c>
      <c r="AF345" s="19"/>
      <c r="AG345" s="19"/>
      <c r="AH345" s="19"/>
    </row>
    <row r="346" customFormat="false" ht="12.75" hidden="false" customHeight="false" outlineLevel="0" collapsed="false">
      <c r="A346" s="16" t="s">
        <v>457</v>
      </c>
      <c r="B346" s="17" t="n">
        <f aca="false">AVERAGE(E346:AE346)</f>
        <v>27.9259259259259</v>
      </c>
      <c r="C346" s="2" t="n">
        <f aca="false">MIN(E346:AE346)</f>
        <v>19</v>
      </c>
      <c r="D346" s="18" t="n">
        <f aca="false">MAX(E346:AE346)</f>
        <v>40</v>
      </c>
      <c r="E346" s="19" t="n">
        <v>20</v>
      </c>
      <c r="F346" s="19" t="n">
        <v>28</v>
      </c>
      <c r="G346" s="19" t="n">
        <v>22</v>
      </c>
      <c r="H346" s="19" t="n">
        <v>30</v>
      </c>
      <c r="I346" s="19" t="n">
        <v>29</v>
      </c>
      <c r="J346" s="19" t="n">
        <v>34</v>
      </c>
      <c r="K346" s="19" t="n">
        <v>27</v>
      </c>
      <c r="L346" s="19" t="n">
        <v>31</v>
      </c>
      <c r="M346" s="19" t="n">
        <v>33</v>
      </c>
      <c r="N346" s="19" t="n">
        <v>26</v>
      </c>
      <c r="O346" s="19" t="n">
        <v>29</v>
      </c>
      <c r="P346" s="19" t="n">
        <v>20</v>
      </c>
      <c r="Q346" s="19" t="n">
        <v>32</v>
      </c>
      <c r="R346" s="19" t="n">
        <v>33</v>
      </c>
      <c r="S346" s="19" t="n">
        <v>20</v>
      </c>
      <c r="T346" s="19" t="n">
        <v>40</v>
      </c>
      <c r="U346" s="19" t="n">
        <v>28</v>
      </c>
      <c r="V346" s="19" t="n">
        <v>33</v>
      </c>
      <c r="W346" s="19" t="n">
        <v>33</v>
      </c>
      <c r="X346" s="19" t="n">
        <v>29</v>
      </c>
      <c r="Y346" s="19" t="n">
        <v>25</v>
      </c>
      <c r="Z346" s="19" t="n">
        <v>22</v>
      </c>
      <c r="AA346" s="19" t="n">
        <v>28</v>
      </c>
      <c r="AB346" s="19" t="n">
        <v>26</v>
      </c>
      <c r="AC346" s="19" t="n">
        <v>27</v>
      </c>
      <c r="AD346" s="19" t="n">
        <v>30</v>
      </c>
      <c r="AE346" s="2" t="n">
        <v>19</v>
      </c>
      <c r="AF346" s="19"/>
      <c r="AG346" s="19"/>
      <c r="AH346" s="19"/>
    </row>
    <row r="347" customFormat="false" ht="12.75" hidden="false" customHeight="false" outlineLevel="0" collapsed="false">
      <c r="A347" s="16" t="s">
        <v>458</v>
      </c>
      <c r="B347" s="17" t="n">
        <f aca="false">AVERAGE(E347:AE347)</f>
        <v>27.9259259259259</v>
      </c>
      <c r="C347" s="2" t="n">
        <f aca="false">MIN(E347:AE347)</f>
        <v>19</v>
      </c>
      <c r="D347" s="18" t="n">
        <f aca="false">MAX(E347:AE347)</f>
        <v>40</v>
      </c>
      <c r="E347" s="19" t="n">
        <v>20</v>
      </c>
      <c r="F347" s="19" t="n">
        <v>28</v>
      </c>
      <c r="G347" s="19" t="n">
        <v>22</v>
      </c>
      <c r="H347" s="19" t="n">
        <v>30</v>
      </c>
      <c r="I347" s="19" t="n">
        <v>29</v>
      </c>
      <c r="J347" s="19" t="n">
        <v>34</v>
      </c>
      <c r="K347" s="19" t="n">
        <v>27</v>
      </c>
      <c r="L347" s="19" t="n">
        <v>31</v>
      </c>
      <c r="M347" s="19" t="n">
        <v>33</v>
      </c>
      <c r="N347" s="19" t="n">
        <v>26</v>
      </c>
      <c r="O347" s="19" t="n">
        <v>29</v>
      </c>
      <c r="P347" s="19" t="n">
        <v>20</v>
      </c>
      <c r="Q347" s="19" t="n">
        <v>32</v>
      </c>
      <c r="R347" s="19" t="n">
        <v>33</v>
      </c>
      <c r="S347" s="19" t="n">
        <v>20</v>
      </c>
      <c r="T347" s="19" t="n">
        <v>40</v>
      </c>
      <c r="U347" s="19" t="n">
        <v>28</v>
      </c>
      <c r="V347" s="19" t="n">
        <v>33</v>
      </c>
      <c r="W347" s="19" t="n">
        <v>33</v>
      </c>
      <c r="X347" s="19" t="n">
        <v>29</v>
      </c>
      <c r="Y347" s="19" t="n">
        <v>25</v>
      </c>
      <c r="Z347" s="19" t="n">
        <v>22</v>
      </c>
      <c r="AA347" s="19" t="n">
        <v>28</v>
      </c>
      <c r="AB347" s="19" t="n">
        <v>26</v>
      </c>
      <c r="AC347" s="19" t="n">
        <v>27</v>
      </c>
      <c r="AD347" s="19" t="n">
        <v>30</v>
      </c>
      <c r="AE347" s="2" t="n">
        <v>19</v>
      </c>
      <c r="AF347" s="19"/>
      <c r="AG347" s="19"/>
      <c r="AH347" s="19"/>
    </row>
    <row r="348" customFormat="false" ht="12.75" hidden="false" customHeight="false" outlineLevel="0" collapsed="false">
      <c r="A348" s="16" t="s">
        <v>459</v>
      </c>
      <c r="B348" s="17" t="n">
        <f aca="false">AVERAGE(E348:AE348)</f>
        <v>27.9259259259259</v>
      </c>
      <c r="C348" s="2" t="n">
        <f aca="false">MIN(E348:AE348)</f>
        <v>19</v>
      </c>
      <c r="D348" s="18" t="n">
        <f aca="false">MAX(E348:AE348)</f>
        <v>40</v>
      </c>
      <c r="E348" s="19" t="n">
        <v>20</v>
      </c>
      <c r="F348" s="19" t="n">
        <v>28</v>
      </c>
      <c r="G348" s="19" t="n">
        <v>22</v>
      </c>
      <c r="H348" s="19" t="n">
        <v>30</v>
      </c>
      <c r="I348" s="19" t="n">
        <v>29</v>
      </c>
      <c r="J348" s="19" t="n">
        <v>34</v>
      </c>
      <c r="K348" s="19" t="n">
        <v>27</v>
      </c>
      <c r="L348" s="19" t="n">
        <v>31</v>
      </c>
      <c r="M348" s="19" t="n">
        <v>33</v>
      </c>
      <c r="N348" s="19" t="n">
        <v>26</v>
      </c>
      <c r="O348" s="19" t="n">
        <v>29</v>
      </c>
      <c r="P348" s="19" t="n">
        <v>20</v>
      </c>
      <c r="Q348" s="19" t="n">
        <v>32</v>
      </c>
      <c r="R348" s="19" t="n">
        <v>33</v>
      </c>
      <c r="S348" s="19" t="n">
        <v>20</v>
      </c>
      <c r="T348" s="19" t="n">
        <v>40</v>
      </c>
      <c r="U348" s="19" t="n">
        <v>28</v>
      </c>
      <c r="V348" s="19" t="n">
        <v>33</v>
      </c>
      <c r="W348" s="19" t="n">
        <v>33</v>
      </c>
      <c r="X348" s="19" t="n">
        <v>29</v>
      </c>
      <c r="Y348" s="19" t="n">
        <v>25</v>
      </c>
      <c r="Z348" s="19" t="n">
        <v>22</v>
      </c>
      <c r="AA348" s="19" t="n">
        <v>28</v>
      </c>
      <c r="AB348" s="19" t="n">
        <v>26</v>
      </c>
      <c r="AC348" s="19" t="n">
        <v>27</v>
      </c>
      <c r="AD348" s="19" t="n">
        <v>30</v>
      </c>
      <c r="AE348" s="2" t="n">
        <v>19</v>
      </c>
      <c r="AF348" s="19"/>
      <c r="AG348" s="19"/>
      <c r="AH348" s="19"/>
    </row>
    <row r="349" customFormat="false" ht="12.75" hidden="false" customHeight="false" outlineLevel="0" collapsed="false">
      <c r="A349" s="16" t="s">
        <v>460</v>
      </c>
      <c r="B349" s="17" t="n">
        <f aca="false">AVERAGE(E349:AE349)</f>
        <v>27.9259259259259</v>
      </c>
      <c r="C349" s="2" t="n">
        <f aca="false">MIN(E349:AE349)</f>
        <v>19</v>
      </c>
      <c r="D349" s="18" t="n">
        <f aca="false">MAX(E349:AE349)</f>
        <v>40</v>
      </c>
      <c r="E349" s="19" t="n">
        <v>20</v>
      </c>
      <c r="F349" s="19" t="n">
        <v>28</v>
      </c>
      <c r="G349" s="19" t="n">
        <v>22</v>
      </c>
      <c r="H349" s="19" t="n">
        <v>30</v>
      </c>
      <c r="I349" s="19" t="n">
        <v>29</v>
      </c>
      <c r="J349" s="19" t="n">
        <v>34</v>
      </c>
      <c r="K349" s="19" t="n">
        <v>27</v>
      </c>
      <c r="L349" s="19" t="n">
        <v>31</v>
      </c>
      <c r="M349" s="19" t="n">
        <v>33</v>
      </c>
      <c r="N349" s="19" t="n">
        <v>26</v>
      </c>
      <c r="O349" s="19" t="n">
        <v>29</v>
      </c>
      <c r="P349" s="19" t="n">
        <v>20</v>
      </c>
      <c r="Q349" s="19" t="n">
        <v>32</v>
      </c>
      <c r="R349" s="19" t="n">
        <v>33</v>
      </c>
      <c r="S349" s="19" t="n">
        <v>20</v>
      </c>
      <c r="T349" s="19" t="n">
        <v>40</v>
      </c>
      <c r="U349" s="19" t="n">
        <v>28</v>
      </c>
      <c r="V349" s="19" t="n">
        <v>33</v>
      </c>
      <c r="W349" s="19" t="n">
        <v>33</v>
      </c>
      <c r="X349" s="19" t="n">
        <v>29</v>
      </c>
      <c r="Y349" s="19" t="n">
        <v>25</v>
      </c>
      <c r="Z349" s="19" t="n">
        <v>22</v>
      </c>
      <c r="AA349" s="19" t="n">
        <v>28</v>
      </c>
      <c r="AB349" s="19" t="n">
        <v>26</v>
      </c>
      <c r="AC349" s="19" t="n">
        <v>27</v>
      </c>
      <c r="AD349" s="19" t="n">
        <v>30</v>
      </c>
      <c r="AE349" s="2" t="n">
        <v>19</v>
      </c>
      <c r="AF349" s="19"/>
      <c r="AG349" s="19"/>
      <c r="AH349" s="19"/>
    </row>
    <row r="350" customFormat="false" ht="12.75" hidden="false" customHeight="false" outlineLevel="0" collapsed="false">
      <c r="A350" s="16" t="s">
        <v>461</v>
      </c>
      <c r="B350" s="17" t="n">
        <f aca="false">AVERAGE(E350:AE350)</f>
        <v>27.9259259259259</v>
      </c>
      <c r="C350" s="2" t="n">
        <f aca="false">MIN(E350:AE350)</f>
        <v>19</v>
      </c>
      <c r="D350" s="18" t="n">
        <f aca="false">MAX(E350:AE350)</f>
        <v>40</v>
      </c>
      <c r="E350" s="19" t="n">
        <v>20</v>
      </c>
      <c r="F350" s="19" t="n">
        <v>28</v>
      </c>
      <c r="G350" s="19" t="n">
        <v>22</v>
      </c>
      <c r="H350" s="19" t="n">
        <v>30</v>
      </c>
      <c r="I350" s="19" t="n">
        <v>29</v>
      </c>
      <c r="J350" s="19" t="n">
        <v>34</v>
      </c>
      <c r="K350" s="19" t="n">
        <v>27</v>
      </c>
      <c r="L350" s="19" t="n">
        <v>31</v>
      </c>
      <c r="M350" s="19" t="n">
        <v>33</v>
      </c>
      <c r="N350" s="19" t="n">
        <v>26</v>
      </c>
      <c r="O350" s="19" t="n">
        <v>29</v>
      </c>
      <c r="P350" s="19" t="n">
        <v>20</v>
      </c>
      <c r="Q350" s="19" t="n">
        <v>32</v>
      </c>
      <c r="R350" s="19" t="n">
        <v>33</v>
      </c>
      <c r="S350" s="19" t="n">
        <v>20</v>
      </c>
      <c r="T350" s="19" t="n">
        <v>40</v>
      </c>
      <c r="U350" s="19" t="n">
        <v>28</v>
      </c>
      <c r="V350" s="19" t="n">
        <v>33</v>
      </c>
      <c r="W350" s="19" t="n">
        <v>33</v>
      </c>
      <c r="X350" s="19" t="n">
        <v>29</v>
      </c>
      <c r="Y350" s="19" t="n">
        <v>25</v>
      </c>
      <c r="Z350" s="19" t="n">
        <v>22</v>
      </c>
      <c r="AA350" s="19" t="n">
        <v>28</v>
      </c>
      <c r="AB350" s="19" t="n">
        <v>26</v>
      </c>
      <c r="AC350" s="19" t="n">
        <v>27</v>
      </c>
      <c r="AD350" s="19" t="n">
        <v>30</v>
      </c>
      <c r="AE350" s="2" t="n">
        <v>19</v>
      </c>
      <c r="AF350" s="19"/>
      <c r="AG350" s="19"/>
      <c r="AH350" s="19"/>
    </row>
    <row r="351" customFormat="false" ht="12.75" hidden="false" customHeight="false" outlineLevel="0" collapsed="false">
      <c r="A351" s="16" t="s">
        <v>462</v>
      </c>
      <c r="B351" s="17" t="n">
        <f aca="false">AVERAGE(E351:AE351)</f>
        <v>27.9259259259259</v>
      </c>
      <c r="C351" s="2" t="n">
        <f aca="false">MIN(E351:AE351)</f>
        <v>19</v>
      </c>
      <c r="D351" s="18" t="n">
        <f aca="false">MAX(E351:AE351)</f>
        <v>40</v>
      </c>
      <c r="E351" s="19" t="n">
        <v>20</v>
      </c>
      <c r="F351" s="19" t="n">
        <v>28</v>
      </c>
      <c r="G351" s="19" t="n">
        <v>22</v>
      </c>
      <c r="H351" s="19" t="n">
        <v>30</v>
      </c>
      <c r="I351" s="19" t="n">
        <v>29</v>
      </c>
      <c r="J351" s="19" t="n">
        <v>34</v>
      </c>
      <c r="K351" s="19" t="n">
        <v>27</v>
      </c>
      <c r="L351" s="19" t="n">
        <v>31</v>
      </c>
      <c r="M351" s="19" t="n">
        <v>33</v>
      </c>
      <c r="N351" s="19" t="n">
        <v>26</v>
      </c>
      <c r="O351" s="19" t="n">
        <v>29</v>
      </c>
      <c r="P351" s="19" t="n">
        <v>20</v>
      </c>
      <c r="Q351" s="19" t="n">
        <v>32</v>
      </c>
      <c r="R351" s="19" t="n">
        <v>33</v>
      </c>
      <c r="S351" s="19" t="n">
        <v>20</v>
      </c>
      <c r="T351" s="19" t="n">
        <v>40</v>
      </c>
      <c r="U351" s="19" t="n">
        <v>28</v>
      </c>
      <c r="V351" s="19" t="n">
        <v>33</v>
      </c>
      <c r="W351" s="19" t="n">
        <v>33</v>
      </c>
      <c r="X351" s="19" t="n">
        <v>29</v>
      </c>
      <c r="Y351" s="19" t="n">
        <v>25</v>
      </c>
      <c r="Z351" s="19" t="n">
        <v>22</v>
      </c>
      <c r="AA351" s="19" t="n">
        <v>28</v>
      </c>
      <c r="AB351" s="19" t="n">
        <v>26</v>
      </c>
      <c r="AC351" s="19" t="n">
        <v>27</v>
      </c>
      <c r="AD351" s="19" t="n">
        <v>30</v>
      </c>
      <c r="AE351" s="2" t="n">
        <v>19</v>
      </c>
      <c r="AF351" s="19"/>
      <c r="AG351" s="19"/>
      <c r="AH351" s="19"/>
    </row>
    <row r="352" customFormat="false" ht="12.75" hidden="false" customHeight="false" outlineLevel="0" collapsed="false">
      <c r="A352" s="16" t="s">
        <v>463</v>
      </c>
      <c r="B352" s="17" t="n">
        <f aca="false">AVERAGE(E352:AE352)</f>
        <v>27.9259259259259</v>
      </c>
      <c r="C352" s="2" t="n">
        <f aca="false">MIN(E352:AE352)</f>
        <v>19</v>
      </c>
      <c r="D352" s="18" t="n">
        <f aca="false">MAX(E352:AE352)</f>
        <v>40</v>
      </c>
      <c r="E352" s="19" t="n">
        <v>20</v>
      </c>
      <c r="F352" s="19" t="n">
        <v>28</v>
      </c>
      <c r="G352" s="19" t="n">
        <v>22</v>
      </c>
      <c r="H352" s="19" t="n">
        <v>30</v>
      </c>
      <c r="I352" s="19" t="n">
        <v>29</v>
      </c>
      <c r="J352" s="19" t="n">
        <v>34</v>
      </c>
      <c r="K352" s="19" t="n">
        <v>27</v>
      </c>
      <c r="L352" s="19" t="n">
        <v>31</v>
      </c>
      <c r="M352" s="19" t="n">
        <v>33</v>
      </c>
      <c r="N352" s="19" t="n">
        <v>26</v>
      </c>
      <c r="O352" s="19" t="n">
        <v>29</v>
      </c>
      <c r="P352" s="19" t="n">
        <v>20</v>
      </c>
      <c r="Q352" s="19" t="n">
        <v>32</v>
      </c>
      <c r="R352" s="19" t="n">
        <v>33</v>
      </c>
      <c r="S352" s="19" t="n">
        <v>20</v>
      </c>
      <c r="T352" s="19" t="n">
        <v>40</v>
      </c>
      <c r="U352" s="19" t="n">
        <v>28</v>
      </c>
      <c r="V352" s="19" t="n">
        <v>33</v>
      </c>
      <c r="W352" s="19" t="n">
        <v>33</v>
      </c>
      <c r="X352" s="19" t="n">
        <v>29</v>
      </c>
      <c r="Y352" s="19" t="n">
        <v>25</v>
      </c>
      <c r="Z352" s="19" t="n">
        <v>22</v>
      </c>
      <c r="AA352" s="19" t="n">
        <v>28</v>
      </c>
      <c r="AB352" s="19" t="n">
        <v>26</v>
      </c>
      <c r="AC352" s="19" t="n">
        <v>27</v>
      </c>
      <c r="AD352" s="19" t="n">
        <v>30</v>
      </c>
      <c r="AE352" s="2" t="n">
        <v>19</v>
      </c>
      <c r="AF352" s="19"/>
      <c r="AG352" s="19"/>
      <c r="AH352" s="19"/>
    </row>
    <row r="353" customFormat="false" ht="12.75" hidden="false" customHeight="false" outlineLevel="0" collapsed="false">
      <c r="A353" s="16" t="s">
        <v>464</v>
      </c>
      <c r="B353" s="17" t="n">
        <f aca="false">AVERAGE(E353:AE353)</f>
        <v>27.9259259259259</v>
      </c>
      <c r="C353" s="2" t="n">
        <f aca="false">MIN(E353:AE353)</f>
        <v>19</v>
      </c>
      <c r="D353" s="18" t="n">
        <f aca="false">MAX(E353:AE353)</f>
        <v>40</v>
      </c>
      <c r="E353" s="19" t="n">
        <v>20</v>
      </c>
      <c r="F353" s="19" t="n">
        <v>28</v>
      </c>
      <c r="G353" s="19" t="n">
        <v>22</v>
      </c>
      <c r="H353" s="19" t="n">
        <v>30</v>
      </c>
      <c r="I353" s="19" t="n">
        <v>29</v>
      </c>
      <c r="J353" s="19" t="n">
        <v>34</v>
      </c>
      <c r="K353" s="19" t="n">
        <v>27</v>
      </c>
      <c r="L353" s="19" t="n">
        <v>31</v>
      </c>
      <c r="M353" s="19" t="n">
        <v>33</v>
      </c>
      <c r="N353" s="19" t="n">
        <v>26</v>
      </c>
      <c r="O353" s="19" t="n">
        <v>29</v>
      </c>
      <c r="P353" s="19" t="n">
        <v>20</v>
      </c>
      <c r="Q353" s="19" t="n">
        <v>32</v>
      </c>
      <c r="R353" s="19" t="n">
        <v>33</v>
      </c>
      <c r="S353" s="19" t="n">
        <v>20</v>
      </c>
      <c r="T353" s="19" t="n">
        <v>40</v>
      </c>
      <c r="U353" s="19" t="n">
        <v>28</v>
      </c>
      <c r="V353" s="19" t="n">
        <v>33</v>
      </c>
      <c r="W353" s="19" t="n">
        <v>33</v>
      </c>
      <c r="X353" s="19" t="n">
        <v>29</v>
      </c>
      <c r="Y353" s="19" t="n">
        <v>25</v>
      </c>
      <c r="Z353" s="19" t="n">
        <v>22</v>
      </c>
      <c r="AA353" s="19" t="n">
        <v>28</v>
      </c>
      <c r="AB353" s="19" t="n">
        <v>26</v>
      </c>
      <c r="AC353" s="19" t="n">
        <v>27</v>
      </c>
      <c r="AD353" s="19" t="n">
        <v>30</v>
      </c>
      <c r="AE353" s="2" t="n">
        <v>19</v>
      </c>
      <c r="AF353" s="19"/>
      <c r="AG353" s="19"/>
      <c r="AH353" s="19"/>
    </row>
    <row r="354" customFormat="false" ht="12.75" hidden="false" customHeight="false" outlineLevel="0" collapsed="false">
      <c r="A354" s="16" t="s">
        <v>465</v>
      </c>
      <c r="B354" s="17" t="n">
        <f aca="false">AVERAGE(E354:AE354)</f>
        <v>27.962962962963</v>
      </c>
      <c r="C354" s="2" t="n">
        <f aca="false">MIN(E354:AE354)</f>
        <v>19</v>
      </c>
      <c r="D354" s="18" t="n">
        <f aca="false">MAX(E354:AE354)</f>
        <v>40</v>
      </c>
      <c r="E354" s="19" t="n">
        <v>20</v>
      </c>
      <c r="F354" s="19" t="n">
        <v>28</v>
      </c>
      <c r="G354" s="19" t="n">
        <v>22</v>
      </c>
      <c r="H354" s="19" t="n">
        <v>30</v>
      </c>
      <c r="I354" s="68" t="n">
        <v>30</v>
      </c>
      <c r="J354" s="19" t="n">
        <v>34</v>
      </c>
      <c r="K354" s="19" t="n">
        <v>27</v>
      </c>
      <c r="L354" s="19" t="n">
        <v>31</v>
      </c>
      <c r="M354" s="19" t="n">
        <v>33</v>
      </c>
      <c r="N354" s="19" t="n">
        <v>26</v>
      </c>
      <c r="O354" s="19" t="n">
        <v>29</v>
      </c>
      <c r="P354" s="19" t="n">
        <v>20</v>
      </c>
      <c r="Q354" s="19" t="n">
        <v>32</v>
      </c>
      <c r="R354" s="19" t="n">
        <v>33</v>
      </c>
      <c r="S354" s="19" t="n">
        <v>20</v>
      </c>
      <c r="T354" s="19" t="n">
        <v>40</v>
      </c>
      <c r="U354" s="19" t="n">
        <v>28</v>
      </c>
      <c r="V354" s="19" t="n">
        <v>33</v>
      </c>
      <c r="W354" s="19" t="n">
        <v>33</v>
      </c>
      <c r="X354" s="19" t="n">
        <v>29</v>
      </c>
      <c r="Y354" s="19" t="n">
        <v>25</v>
      </c>
      <c r="Z354" s="19" t="n">
        <v>22</v>
      </c>
      <c r="AA354" s="19" t="n">
        <v>28</v>
      </c>
      <c r="AB354" s="19" t="n">
        <v>26</v>
      </c>
      <c r="AC354" s="19" t="n">
        <v>27</v>
      </c>
      <c r="AD354" s="19" t="n">
        <v>30</v>
      </c>
      <c r="AE354" s="2" t="n">
        <v>19</v>
      </c>
      <c r="AF354" s="19"/>
      <c r="AG354" s="19"/>
      <c r="AH354" s="19"/>
    </row>
    <row r="355" customFormat="false" ht="12.75" hidden="false" customHeight="false" outlineLevel="0" collapsed="false">
      <c r="A355" s="16" t="s">
        <v>466</v>
      </c>
      <c r="B355" s="17" t="n">
        <f aca="false">AVERAGE(E355:AE355)</f>
        <v>28</v>
      </c>
      <c r="C355" s="2" t="n">
        <f aca="false">MIN(E355:AE355)</f>
        <v>19</v>
      </c>
      <c r="D355" s="18" t="n">
        <f aca="false">MAX(E355:AE355)</f>
        <v>40</v>
      </c>
      <c r="E355" s="19" t="n">
        <v>20</v>
      </c>
      <c r="F355" s="19" t="n">
        <v>28</v>
      </c>
      <c r="G355" s="19" t="n">
        <v>22</v>
      </c>
      <c r="H355" s="19" t="n">
        <v>30</v>
      </c>
      <c r="I355" s="19" t="n">
        <v>30</v>
      </c>
      <c r="J355" s="19" t="n">
        <v>34</v>
      </c>
      <c r="K355" s="30" t="n">
        <v>28</v>
      </c>
      <c r="L355" s="19" t="n">
        <v>31</v>
      </c>
      <c r="M355" s="19" t="n">
        <v>33</v>
      </c>
      <c r="N355" s="19" t="n">
        <v>26</v>
      </c>
      <c r="O355" s="19" t="n">
        <v>29</v>
      </c>
      <c r="P355" s="19" t="n">
        <v>20</v>
      </c>
      <c r="Q355" s="19" t="n">
        <v>32</v>
      </c>
      <c r="R355" s="19" t="n">
        <v>33</v>
      </c>
      <c r="S355" s="19" t="n">
        <v>20</v>
      </c>
      <c r="T355" s="19" t="n">
        <v>40</v>
      </c>
      <c r="U355" s="19" t="n">
        <v>28</v>
      </c>
      <c r="V355" s="19" t="n">
        <v>33</v>
      </c>
      <c r="W355" s="19" t="n">
        <v>33</v>
      </c>
      <c r="X355" s="19" t="n">
        <v>29</v>
      </c>
      <c r="Y355" s="19" t="n">
        <v>25</v>
      </c>
      <c r="Z355" s="19" t="n">
        <v>22</v>
      </c>
      <c r="AA355" s="19" t="n">
        <v>28</v>
      </c>
      <c r="AB355" s="19" t="n">
        <v>26</v>
      </c>
      <c r="AC355" s="19" t="n">
        <v>27</v>
      </c>
      <c r="AD355" s="19" t="n">
        <v>30</v>
      </c>
      <c r="AE355" s="2" t="n">
        <v>19</v>
      </c>
      <c r="AF355" s="19"/>
      <c r="AG355" s="19"/>
      <c r="AH355" s="19"/>
    </row>
    <row r="356" customFormat="false" ht="12.75" hidden="false" customHeight="false" outlineLevel="0" collapsed="false">
      <c r="A356" s="16" t="s">
        <v>467</v>
      </c>
      <c r="B356" s="17" t="n">
        <f aca="false">AVERAGE(E356:AE356)</f>
        <v>28</v>
      </c>
      <c r="C356" s="2" t="n">
        <f aca="false">MIN(E356:AE356)</f>
        <v>19</v>
      </c>
      <c r="D356" s="18" t="n">
        <f aca="false">MAX(E356:AE356)</f>
        <v>40</v>
      </c>
      <c r="E356" s="19" t="n">
        <v>20</v>
      </c>
      <c r="F356" s="19" t="n">
        <v>28</v>
      </c>
      <c r="G356" s="19" t="n">
        <v>22</v>
      </c>
      <c r="H356" s="19" t="n">
        <v>30</v>
      </c>
      <c r="I356" s="19" t="n">
        <v>30</v>
      </c>
      <c r="J356" s="19" t="n">
        <v>34</v>
      </c>
      <c r="K356" s="19" t="n">
        <v>28</v>
      </c>
      <c r="L356" s="19" t="n">
        <v>31</v>
      </c>
      <c r="M356" s="19" t="n">
        <v>33</v>
      </c>
      <c r="N356" s="19" t="n">
        <v>26</v>
      </c>
      <c r="O356" s="19" t="n">
        <v>29</v>
      </c>
      <c r="P356" s="19" t="n">
        <v>20</v>
      </c>
      <c r="Q356" s="19" t="n">
        <v>32</v>
      </c>
      <c r="R356" s="19" t="n">
        <v>33</v>
      </c>
      <c r="S356" s="19" t="n">
        <v>20</v>
      </c>
      <c r="T356" s="19" t="n">
        <v>40</v>
      </c>
      <c r="U356" s="19" t="n">
        <v>28</v>
      </c>
      <c r="V356" s="19" t="n">
        <v>33</v>
      </c>
      <c r="W356" s="19" t="n">
        <v>33</v>
      </c>
      <c r="X356" s="19" t="n">
        <v>29</v>
      </c>
      <c r="Y356" s="19" t="n">
        <v>25</v>
      </c>
      <c r="Z356" s="19" t="n">
        <v>22</v>
      </c>
      <c r="AA356" s="19" t="n">
        <v>28</v>
      </c>
      <c r="AB356" s="19" t="n">
        <v>26</v>
      </c>
      <c r="AC356" s="19" t="n">
        <v>27</v>
      </c>
      <c r="AD356" s="19" t="n">
        <v>30</v>
      </c>
      <c r="AE356" s="2" t="n">
        <v>19</v>
      </c>
      <c r="AF356" s="19"/>
      <c r="AG356" s="19"/>
      <c r="AH356" s="19"/>
    </row>
    <row r="357" customFormat="false" ht="12.75" hidden="false" customHeight="false" outlineLevel="0" collapsed="false">
      <c r="A357" s="16" t="s">
        <v>468</v>
      </c>
      <c r="B357" s="17" t="n">
        <f aca="false">AVERAGE(E357:AE357)</f>
        <v>28</v>
      </c>
      <c r="C357" s="2" t="n">
        <f aca="false">MIN(E357:AE357)</f>
        <v>19</v>
      </c>
      <c r="D357" s="18" t="n">
        <f aca="false">MAX(E357:AE357)</f>
        <v>40</v>
      </c>
      <c r="E357" s="19" t="n">
        <v>20</v>
      </c>
      <c r="F357" s="19" t="n">
        <v>28</v>
      </c>
      <c r="G357" s="19" t="n">
        <v>22</v>
      </c>
      <c r="H357" s="19" t="n">
        <v>30</v>
      </c>
      <c r="I357" s="19" t="n">
        <v>30</v>
      </c>
      <c r="J357" s="19" t="n">
        <v>34</v>
      </c>
      <c r="K357" s="19" t="n">
        <v>28</v>
      </c>
      <c r="L357" s="19" t="n">
        <v>31</v>
      </c>
      <c r="M357" s="19" t="n">
        <v>33</v>
      </c>
      <c r="N357" s="19" t="n">
        <v>26</v>
      </c>
      <c r="O357" s="19" t="n">
        <v>29</v>
      </c>
      <c r="P357" s="19" t="n">
        <v>20</v>
      </c>
      <c r="Q357" s="19" t="n">
        <v>32</v>
      </c>
      <c r="R357" s="19" t="n">
        <v>33</v>
      </c>
      <c r="S357" s="19" t="n">
        <v>20</v>
      </c>
      <c r="T357" s="19" t="n">
        <v>40</v>
      </c>
      <c r="U357" s="19" t="n">
        <v>28</v>
      </c>
      <c r="V357" s="19" t="n">
        <v>33</v>
      </c>
      <c r="W357" s="19" t="n">
        <v>33</v>
      </c>
      <c r="X357" s="19" t="n">
        <v>29</v>
      </c>
      <c r="Y357" s="19" t="n">
        <v>25</v>
      </c>
      <c r="Z357" s="19" t="n">
        <v>22</v>
      </c>
      <c r="AA357" s="19" t="n">
        <v>28</v>
      </c>
      <c r="AB357" s="19" t="n">
        <v>26</v>
      </c>
      <c r="AC357" s="19" t="n">
        <v>27</v>
      </c>
      <c r="AD357" s="19" t="n">
        <v>30</v>
      </c>
      <c r="AE357" s="2" t="n">
        <v>19</v>
      </c>
      <c r="AF357" s="19"/>
      <c r="AG357" s="19"/>
      <c r="AH357" s="19"/>
    </row>
    <row r="358" customFormat="false" ht="12.75" hidden="false" customHeight="false" outlineLevel="0" collapsed="false">
      <c r="A358" s="16" t="s">
        <v>469</v>
      </c>
      <c r="B358" s="17" t="n">
        <f aca="false">AVERAGE(E358:AE358)</f>
        <v>28</v>
      </c>
      <c r="C358" s="2" t="n">
        <f aca="false">MIN(E358:AE358)</f>
        <v>19</v>
      </c>
      <c r="D358" s="18" t="n">
        <f aca="false">MAX(E358:AE358)</f>
        <v>40</v>
      </c>
      <c r="E358" s="19" t="n">
        <v>20</v>
      </c>
      <c r="F358" s="19" t="n">
        <v>28</v>
      </c>
      <c r="G358" s="19" t="n">
        <v>22</v>
      </c>
      <c r="H358" s="19" t="n">
        <v>30</v>
      </c>
      <c r="I358" s="19" t="n">
        <v>30</v>
      </c>
      <c r="J358" s="19" t="n">
        <v>34</v>
      </c>
      <c r="K358" s="19" t="n">
        <v>28</v>
      </c>
      <c r="L358" s="19" t="n">
        <v>31</v>
      </c>
      <c r="M358" s="19" t="n">
        <v>33</v>
      </c>
      <c r="N358" s="19" t="n">
        <v>26</v>
      </c>
      <c r="O358" s="19" t="n">
        <v>29</v>
      </c>
      <c r="P358" s="19" t="n">
        <v>20</v>
      </c>
      <c r="Q358" s="19" t="n">
        <v>32</v>
      </c>
      <c r="R358" s="19" t="n">
        <v>33</v>
      </c>
      <c r="S358" s="19" t="n">
        <v>20</v>
      </c>
      <c r="T358" s="19" t="n">
        <v>40</v>
      </c>
      <c r="U358" s="19" t="n">
        <v>28</v>
      </c>
      <c r="V358" s="19" t="n">
        <v>33</v>
      </c>
      <c r="W358" s="19" t="n">
        <v>33</v>
      </c>
      <c r="X358" s="19" t="n">
        <v>29</v>
      </c>
      <c r="Y358" s="19" t="n">
        <v>25</v>
      </c>
      <c r="Z358" s="19" t="n">
        <v>22</v>
      </c>
      <c r="AA358" s="19" t="n">
        <v>28</v>
      </c>
      <c r="AB358" s="19" t="n">
        <v>26</v>
      </c>
      <c r="AC358" s="19" t="n">
        <v>27</v>
      </c>
      <c r="AD358" s="19" t="n">
        <v>30</v>
      </c>
      <c r="AE358" s="2" t="n">
        <v>19</v>
      </c>
      <c r="AF358" s="19"/>
      <c r="AG358" s="19"/>
      <c r="AH358" s="19"/>
    </row>
    <row r="359" customFormat="false" ht="12.75" hidden="false" customHeight="false" outlineLevel="0" collapsed="false">
      <c r="A359" s="16" t="s">
        <v>470</v>
      </c>
      <c r="B359" s="17" t="n">
        <f aca="false">AVERAGE(E359:AE359)</f>
        <v>28</v>
      </c>
      <c r="C359" s="2" t="n">
        <f aca="false">MIN(E359:AE359)</f>
        <v>19</v>
      </c>
      <c r="D359" s="18" t="n">
        <f aca="false">MAX(E359:AE359)</f>
        <v>40</v>
      </c>
      <c r="E359" s="19" t="n">
        <v>20</v>
      </c>
      <c r="F359" s="19" t="n">
        <v>28</v>
      </c>
      <c r="G359" s="19" t="n">
        <v>22</v>
      </c>
      <c r="H359" s="19" t="n">
        <v>30</v>
      </c>
      <c r="I359" s="19" t="n">
        <v>30</v>
      </c>
      <c r="J359" s="19" t="n">
        <v>34</v>
      </c>
      <c r="K359" s="19" t="n">
        <v>28</v>
      </c>
      <c r="L359" s="19" t="n">
        <v>31</v>
      </c>
      <c r="M359" s="19" t="n">
        <v>33</v>
      </c>
      <c r="N359" s="19" t="n">
        <v>26</v>
      </c>
      <c r="O359" s="19" t="n">
        <v>29</v>
      </c>
      <c r="P359" s="19" t="n">
        <v>20</v>
      </c>
      <c r="Q359" s="19" t="n">
        <v>32</v>
      </c>
      <c r="R359" s="19" t="n">
        <v>33</v>
      </c>
      <c r="S359" s="19" t="n">
        <v>20</v>
      </c>
      <c r="T359" s="19" t="n">
        <v>40</v>
      </c>
      <c r="U359" s="19" t="n">
        <v>28</v>
      </c>
      <c r="V359" s="19" t="n">
        <v>33</v>
      </c>
      <c r="W359" s="19" t="n">
        <v>33</v>
      </c>
      <c r="X359" s="19" t="n">
        <v>29</v>
      </c>
      <c r="Y359" s="19" t="n">
        <v>25</v>
      </c>
      <c r="Z359" s="19" t="n">
        <v>22</v>
      </c>
      <c r="AA359" s="19" t="n">
        <v>28</v>
      </c>
      <c r="AB359" s="19" t="n">
        <v>26</v>
      </c>
      <c r="AC359" s="19" t="n">
        <v>27</v>
      </c>
      <c r="AD359" s="19" t="n">
        <v>30</v>
      </c>
      <c r="AE359" s="2" t="n">
        <v>19</v>
      </c>
      <c r="AF359" s="19"/>
      <c r="AG359" s="19"/>
      <c r="AH359" s="19"/>
    </row>
    <row r="360" customFormat="false" ht="12.75" hidden="false" customHeight="false" outlineLevel="0" collapsed="false">
      <c r="A360" s="16" t="s">
        <v>471</v>
      </c>
      <c r="B360" s="17" t="n">
        <f aca="false">AVERAGE(E360:AE360)</f>
        <v>28.037037037037</v>
      </c>
      <c r="C360" s="2" t="n">
        <f aca="false">MIN(E360:AE360)</f>
        <v>19</v>
      </c>
      <c r="D360" s="18" t="n">
        <f aca="false">MAX(E360:AE360)</f>
        <v>40</v>
      </c>
      <c r="E360" s="19" t="n">
        <v>20</v>
      </c>
      <c r="F360" s="19" t="n">
        <v>28</v>
      </c>
      <c r="G360" s="19" t="n">
        <v>22</v>
      </c>
      <c r="H360" s="19" t="n">
        <v>30</v>
      </c>
      <c r="I360" s="19" t="n">
        <v>30</v>
      </c>
      <c r="J360" s="19" t="n">
        <v>34</v>
      </c>
      <c r="K360" s="19" t="n">
        <v>28</v>
      </c>
      <c r="L360" s="19" t="n">
        <v>31</v>
      </c>
      <c r="M360" s="19" t="n">
        <v>33</v>
      </c>
      <c r="N360" s="19" t="n">
        <v>26</v>
      </c>
      <c r="O360" s="19" t="n">
        <v>29</v>
      </c>
      <c r="P360" s="19" t="n">
        <v>20</v>
      </c>
      <c r="Q360" s="19" t="n">
        <v>32</v>
      </c>
      <c r="R360" s="19" t="n">
        <v>33</v>
      </c>
      <c r="S360" s="19" t="n">
        <v>20</v>
      </c>
      <c r="T360" s="19" t="n">
        <v>40</v>
      </c>
      <c r="U360" s="19" t="n">
        <v>28</v>
      </c>
      <c r="V360" s="19" t="n">
        <v>33</v>
      </c>
      <c r="W360" s="19" t="n">
        <v>33</v>
      </c>
      <c r="X360" s="19" t="n">
        <v>29</v>
      </c>
      <c r="Y360" s="19" t="n">
        <v>25</v>
      </c>
      <c r="Z360" s="19" t="n">
        <v>22</v>
      </c>
      <c r="AA360" s="19" t="n">
        <v>28</v>
      </c>
      <c r="AB360" s="19" t="n">
        <v>26</v>
      </c>
      <c r="AC360" s="19" t="n">
        <v>28</v>
      </c>
      <c r="AD360" s="19" t="n">
        <v>30</v>
      </c>
      <c r="AE360" s="2" t="n">
        <v>19</v>
      </c>
      <c r="AF360" s="19"/>
      <c r="AG360" s="19"/>
      <c r="AH360" s="19"/>
    </row>
    <row r="361" customFormat="false" ht="12.75" hidden="false" customHeight="false" outlineLevel="0" collapsed="false">
      <c r="A361" s="16" t="s">
        <v>472</v>
      </c>
      <c r="B361" s="17" t="n">
        <f aca="false">AVERAGE(E361:AE361)</f>
        <v>28.0740740740741</v>
      </c>
      <c r="C361" s="2" t="n">
        <f aca="false">MIN(E361:AE361)</f>
        <v>19</v>
      </c>
      <c r="D361" s="18" t="n">
        <f aca="false">MAX(E361:AE361)</f>
        <v>40</v>
      </c>
      <c r="E361" s="19" t="n">
        <v>20</v>
      </c>
      <c r="F361" s="19" t="n">
        <v>28</v>
      </c>
      <c r="G361" s="19" t="n">
        <v>22</v>
      </c>
      <c r="H361" s="19" t="n">
        <v>30</v>
      </c>
      <c r="I361" s="19" t="n">
        <v>30</v>
      </c>
      <c r="J361" s="19" t="n">
        <v>34</v>
      </c>
      <c r="K361" s="19" t="n">
        <v>28</v>
      </c>
      <c r="L361" s="19" t="n">
        <v>31</v>
      </c>
      <c r="M361" s="19" t="n">
        <v>33</v>
      </c>
      <c r="N361" s="19" t="n">
        <v>26</v>
      </c>
      <c r="O361" s="19" t="n">
        <v>29</v>
      </c>
      <c r="P361" s="19" t="n">
        <v>20</v>
      </c>
      <c r="Q361" s="19" t="n">
        <v>32</v>
      </c>
      <c r="R361" s="19" t="n">
        <v>33</v>
      </c>
      <c r="S361" s="19" t="n">
        <v>20</v>
      </c>
      <c r="T361" s="19" t="n">
        <v>40</v>
      </c>
      <c r="U361" s="19" t="n">
        <v>28</v>
      </c>
      <c r="V361" s="19" t="n">
        <v>33</v>
      </c>
      <c r="W361" s="19" t="n">
        <v>33</v>
      </c>
      <c r="X361" s="19" t="n">
        <v>29</v>
      </c>
      <c r="Y361" s="19" t="n">
        <v>25</v>
      </c>
      <c r="Z361" s="19" t="n">
        <v>22</v>
      </c>
      <c r="AA361" s="19" t="n">
        <v>28</v>
      </c>
      <c r="AB361" s="19" t="n">
        <v>26</v>
      </c>
      <c r="AC361" s="30" t="n">
        <v>29</v>
      </c>
      <c r="AD361" s="19" t="n">
        <v>30</v>
      </c>
      <c r="AE361" s="2" t="n">
        <v>19</v>
      </c>
      <c r="AF361" s="19"/>
      <c r="AG361" s="19"/>
      <c r="AH361" s="19"/>
    </row>
    <row r="362" customFormat="false" ht="12.75" hidden="false" customHeight="false" outlineLevel="0" collapsed="false">
      <c r="A362" s="16" t="s">
        <v>473</v>
      </c>
      <c r="B362" s="17" t="n">
        <f aca="false">AVERAGE(E362:AE362)</f>
        <v>28.0740740740741</v>
      </c>
      <c r="C362" s="2" t="n">
        <f aca="false">MIN(E362:AE362)</f>
        <v>19</v>
      </c>
      <c r="D362" s="18" t="n">
        <f aca="false">MAX(E362:AE362)</f>
        <v>40</v>
      </c>
      <c r="E362" s="19" t="n">
        <v>20</v>
      </c>
      <c r="F362" s="19" t="n">
        <v>28</v>
      </c>
      <c r="G362" s="19" t="n">
        <v>22</v>
      </c>
      <c r="H362" s="19" t="n">
        <v>30</v>
      </c>
      <c r="I362" s="19" t="n">
        <v>30</v>
      </c>
      <c r="J362" s="19" t="n">
        <v>34</v>
      </c>
      <c r="K362" s="19" t="n">
        <v>28</v>
      </c>
      <c r="L362" s="19" t="n">
        <v>31</v>
      </c>
      <c r="M362" s="19" t="n">
        <v>33</v>
      </c>
      <c r="N362" s="19" t="n">
        <v>26</v>
      </c>
      <c r="O362" s="19" t="n">
        <v>29</v>
      </c>
      <c r="P362" s="19" t="n">
        <v>20</v>
      </c>
      <c r="Q362" s="19" t="n">
        <v>32</v>
      </c>
      <c r="R362" s="19" t="n">
        <v>33</v>
      </c>
      <c r="S362" s="19" t="n">
        <v>20</v>
      </c>
      <c r="T362" s="19" t="n">
        <v>40</v>
      </c>
      <c r="U362" s="19" t="n">
        <v>28</v>
      </c>
      <c r="V362" s="19" t="n">
        <v>33</v>
      </c>
      <c r="W362" s="19" t="n">
        <v>33</v>
      </c>
      <c r="X362" s="19" t="n">
        <v>29</v>
      </c>
      <c r="Y362" s="19" t="n">
        <v>25</v>
      </c>
      <c r="Z362" s="19" t="n">
        <v>22</v>
      </c>
      <c r="AA362" s="19" t="n">
        <v>28</v>
      </c>
      <c r="AB362" s="19" t="n">
        <v>26</v>
      </c>
      <c r="AC362" s="19" t="n">
        <v>29</v>
      </c>
      <c r="AD362" s="19" t="n">
        <v>30</v>
      </c>
      <c r="AE362" s="2" t="n">
        <v>19</v>
      </c>
      <c r="AF362" s="19"/>
      <c r="AG362" s="19"/>
      <c r="AH362" s="19"/>
    </row>
    <row r="363" customFormat="false" ht="12.75" hidden="false" customHeight="false" outlineLevel="0" collapsed="false">
      <c r="A363" s="16" t="s">
        <v>474</v>
      </c>
      <c r="B363" s="17" t="n">
        <f aca="false">AVERAGE(E363:AE363)</f>
        <v>28.0740740740741</v>
      </c>
      <c r="C363" s="2" t="n">
        <f aca="false">MIN(E363:AE363)</f>
        <v>19</v>
      </c>
      <c r="D363" s="18" t="n">
        <f aca="false">MAX(E363:AE363)</f>
        <v>40</v>
      </c>
      <c r="E363" s="19" t="n">
        <v>20</v>
      </c>
      <c r="F363" s="19" t="n">
        <v>28</v>
      </c>
      <c r="G363" s="19" t="n">
        <v>22</v>
      </c>
      <c r="H363" s="19" t="n">
        <v>30</v>
      </c>
      <c r="I363" s="19" t="n">
        <v>30</v>
      </c>
      <c r="J363" s="19" t="n">
        <v>34</v>
      </c>
      <c r="K363" s="19" t="n">
        <v>28</v>
      </c>
      <c r="L363" s="19" t="n">
        <v>31</v>
      </c>
      <c r="M363" s="19" t="n">
        <v>33</v>
      </c>
      <c r="N363" s="19" t="n">
        <v>26</v>
      </c>
      <c r="O363" s="19" t="n">
        <v>29</v>
      </c>
      <c r="P363" s="19" t="n">
        <v>20</v>
      </c>
      <c r="Q363" s="19" t="n">
        <v>32</v>
      </c>
      <c r="R363" s="19" t="n">
        <v>33</v>
      </c>
      <c r="S363" s="19" t="n">
        <v>20</v>
      </c>
      <c r="T363" s="19" t="n">
        <v>40</v>
      </c>
      <c r="U363" s="19" t="n">
        <v>28</v>
      </c>
      <c r="V363" s="19" t="n">
        <v>33</v>
      </c>
      <c r="W363" s="19" t="n">
        <v>33</v>
      </c>
      <c r="X363" s="19" t="n">
        <v>29</v>
      </c>
      <c r="Y363" s="19" t="n">
        <v>25</v>
      </c>
      <c r="Z363" s="19" t="n">
        <v>22</v>
      </c>
      <c r="AA363" s="19" t="n">
        <v>28</v>
      </c>
      <c r="AB363" s="19" t="n">
        <v>26</v>
      </c>
      <c r="AC363" s="19" t="n">
        <v>29</v>
      </c>
      <c r="AD363" s="19" t="n">
        <v>30</v>
      </c>
      <c r="AE363" s="2" t="n">
        <v>19</v>
      </c>
      <c r="AF363" s="19"/>
      <c r="AG363" s="19"/>
      <c r="AH363" s="19"/>
    </row>
    <row r="364" customFormat="false" ht="12.75" hidden="false" customHeight="false" outlineLevel="0" collapsed="false">
      <c r="A364" s="16" t="s">
        <v>475</v>
      </c>
      <c r="B364" s="17" t="n">
        <f aca="false">AVERAGE(E364:AE364)</f>
        <v>28.0740740740741</v>
      </c>
      <c r="C364" s="2" t="n">
        <f aca="false">MIN(E364:AE364)</f>
        <v>19</v>
      </c>
      <c r="D364" s="18" t="n">
        <f aca="false">MAX(E364:AE364)</f>
        <v>40</v>
      </c>
      <c r="E364" s="19" t="n">
        <v>20</v>
      </c>
      <c r="F364" s="19" t="n">
        <v>28</v>
      </c>
      <c r="G364" s="19" t="n">
        <v>22</v>
      </c>
      <c r="H364" s="19" t="n">
        <v>30</v>
      </c>
      <c r="I364" s="19" t="n">
        <v>30</v>
      </c>
      <c r="J364" s="19" t="n">
        <v>34</v>
      </c>
      <c r="K364" s="19" t="n">
        <v>28</v>
      </c>
      <c r="L364" s="19" t="n">
        <v>31</v>
      </c>
      <c r="M364" s="19" t="n">
        <v>33</v>
      </c>
      <c r="N364" s="19" t="n">
        <v>26</v>
      </c>
      <c r="O364" s="19" t="n">
        <v>29</v>
      </c>
      <c r="P364" s="19" t="n">
        <v>20</v>
      </c>
      <c r="Q364" s="19" t="n">
        <v>32</v>
      </c>
      <c r="R364" s="19" t="n">
        <v>33</v>
      </c>
      <c r="S364" s="19" t="n">
        <v>20</v>
      </c>
      <c r="T364" s="19" t="n">
        <v>40</v>
      </c>
      <c r="U364" s="19" t="n">
        <v>28</v>
      </c>
      <c r="V364" s="19" t="n">
        <v>33</v>
      </c>
      <c r="W364" s="19" t="n">
        <v>33</v>
      </c>
      <c r="X364" s="19" t="n">
        <v>29</v>
      </c>
      <c r="Y364" s="19" t="n">
        <v>25</v>
      </c>
      <c r="Z364" s="19" t="n">
        <v>22</v>
      </c>
      <c r="AA364" s="19" t="n">
        <v>28</v>
      </c>
      <c r="AB364" s="19" t="n">
        <v>26</v>
      </c>
      <c r="AC364" s="19" t="n">
        <v>29</v>
      </c>
      <c r="AD364" s="19" t="n">
        <v>30</v>
      </c>
      <c r="AE364" s="2" t="n">
        <v>19</v>
      </c>
      <c r="AF364" s="19"/>
      <c r="AG364" s="19"/>
      <c r="AH364" s="19"/>
    </row>
    <row r="365" customFormat="false" ht="12.75" hidden="false" customHeight="false" outlineLevel="0" collapsed="false">
      <c r="A365" s="16" t="s">
        <v>476</v>
      </c>
      <c r="B365" s="17" t="n">
        <f aca="false">AVERAGE(E365:AE365)</f>
        <v>28.0740740740741</v>
      </c>
      <c r="C365" s="2" t="n">
        <f aca="false">MIN(E365:AE365)</f>
        <v>19</v>
      </c>
      <c r="D365" s="18" t="n">
        <f aca="false">MAX(E365:AE365)</f>
        <v>40</v>
      </c>
      <c r="E365" s="19" t="n">
        <v>20</v>
      </c>
      <c r="F365" s="19" t="n">
        <v>28</v>
      </c>
      <c r="G365" s="19" t="n">
        <v>22</v>
      </c>
      <c r="H365" s="19" t="n">
        <v>30</v>
      </c>
      <c r="I365" s="19" t="n">
        <v>30</v>
      </c>
      <c r="J365" s="19" t="n">
        <v>34</v>
      </c>
      <c r="K365" s="19" t="n">
        <v>28</v>
      </c>
      <c r="L365" s="19" t="n">
        <v>31</v>
      </c>
      <c r="M365" s="19" t="n">
        <v>33</v>
      </c>
      <c r="N365" s="19" t="n">
        <v>26</v>
      </c>
      <c r="O365" s="19" t="n">
        <v>29</v>
      </c>
      <c r="P365" s="19" t="n">
        <v>20</v>
      </c>
      <c r="Q365" s="19" t="n">
        <v>32</v>
      </c>
      <c r="R365" s="19" t="n">
        <v>33</v>
      </c>
      <c r="S365" s="19" t="n">
        <v>20</v>
      </c>
      <c r="T365" s="19" t="n">
        <v>40</v>
      </c>
      <c r="U365" s="19" t="n">
        <v>28</v>
      </c>
      <c r="V365" s="19" t="n">
        <v>33</v>
      </c>
      <c r="W365" s="19" t="n">
        <v>33</v>
      </c>
      <c r="X365" s="19" t="n">
        <v>29</v>
      </c>
      <c r="Y365" s="19" t="n">
        <v>25</v>
      </c>
      <c r="Z365" s="19" t="n">
        <v>22</v>
      </c>
      <c r="AA365" s="19" t="n">
        <v>28</v>
      </c>
      <c r="AB365" s="19" t="n">
        <v>26</v>
      </c>
      <c r="AC365" s="19" t="n">
        <v>29</v>
      </c>
      <c r="AD365" s="19" t="n">
        <v>30</v>
      </c>
      <c r="AE365" s="2" t="n">
        <v>19</v>
      </c>
      <c r="AF365" s="19"/>
      <c r="AG365" s="19"/>
      <c r="AH365" s="19"/>
    </row>
    <row r="366" customFormat="false" ht="12.75" hidden="false" customHeight="false" outlineLevel="0" collapsed="false">
      <c r="A366" s="16" t="s">
        <v>477</v>
      </c>
      <c r="B366" s="17" t="n">
        <f aca="false">AVERAGE(E366:AE366)</f>
        <v>28.0740740740741</v>
      </c>
      <c r="C366" s="2" t="n">
        <f aca="false">MIN(E366:AE366)</f>
        <v>19</v>
      </c>
      <c r="D366" s="18" t="n">
        <f aca="false">MAX(E366:AE366)</f>
        <v>40</v>
      </c>
      <c r="E366" s="19" t="n">
        <v>20</v>
      </c>
      <c r="F366" s="19" t="n">
        <v>28</v>
      </c>
      <c r="G366" s="19" t="n">
        <v>22</v>
      </c>
      <c r="H366" s="19" t="n">
        <v>30</v>
      </c>
      <c r="I366" s="19" t="n">
        <v>30</v>
      </c>
      <c r="J366" s="19" t="n">
        <v>34</v>
      </c>
      <c r="K366" s="19" t="n">
        <v>28</v>
      </c>
      <c r="L366" s="19" t="n">
        <v>31</v>
      </c>
      <c r="M366" s="19" t="n">
        <v>33</v>
      </c>
      <c r="N366" s="19" t="n">
        <v>26</v>
      </c>
      <c r="O366" s="19" t="n">
        <v>29</v>
      </c>
      <c r="P366" s="19" t="n">
        <v>20</v>
      </c>
      <c r="Q366" s="19" t="n">
        <v>32</v>
      </c>
      <c r="R366" s="19" t="n">
        <v>33</v>
      </c>
      <c r="S366" s="19" t="n">
        <v>20</v>
      </c>
      <c r="T366" s="19" t="n">
        <v>40</v>
      </c>
      <c r="U366" s="19" t="n">
        <v>28</v>
      </c>
      <c r="V366" s="19" t="n">
        <v>33</v>
      </c>
      <c r="W366" s="19" t="n">
        <v>33</v>
      </c>
      <c r="X366" s="19" t="n">
        <v>29</v>
      </c>
      <c r="Y366" s="19" t="n">
        <v>25</v>
      </c>
      <c r="Z366" s="19" t="n">
        <v>22</v>
      </c>
      <c r="AA366" s="19" t="n">
        <v>28</v>
      </c>
      <c r="AB366" s="19" t="n">
        <v>26</v>
      </c>
      <c r="AC366" s="19" t="n">
        <v>29</v>
      </c>
      <c r="AD366" s="19" t="n">
        <v>30</v>
      </c>
      <c r="AE366" s="2" t="n">
        <v>19</v>
      </c>
      <c r="AF366" s="19"/>
      <c r="AG366" s="19"/>
      <c r="AH366" s="19"/>
    </row>
    <row r="367" customFormat="false" ht="12.75" hidden="false" customHeight="false" outlineLevel="0" collapsed="false">
      <c r="A367" s="16" t="s">
        <v>478</v>
      </c>
      <c r="B367" s="17" t="n">
        <f aca="false">AVERAGE(E367:AE367)</f>
        <v>28.0740740740741</v>
      </c>
      <c r="C367" s="2" t="n">
        <f aca="false">MIN(E367:AE367)</f>
        <v>19</v>
      </c>
      <c r="D367" s="18" t="n">
        <f aca="false">MAX(E367:AE367)</f>
        <v>40</v>
      </c>
      <c r="E367" s="19" t="n">
        <v>20</v>
      </c>
      <c r="F367" s="19" t="n">
        <v>28</v>
      </c>
      <c r="G367" s="19" t="n">
        <v>22</v>
      </c>
      <c r="H367" s="19" t="n">
        <v>30</v>
      </c>
      <c r="I367" s="19" t="n">
        <v>30</v>
      </c>
      <c r="J367" s="19" t="n">
        <v>34</v>
      </c>
      <c r="K367" s="19" t="n">
        <v>28</v>
      </c>
      <c r="L367" s="19" t="n">
        <v>31</v>
      </c>
      <c r="M367" s="19" t="n">
        <v>33</v>
      </c>
      <c r="N367" s="19" t="n">
        <v>26</v>
      </c>
      <c r="O367" s="19" t="n">
        <v>29</v>
      </c>
      <c r="P367" s="19" t="n">
        <v>20</v>
      </c>
      <c r="Q367" s="19" t="n">
        <v>32</v>
      </c>
      <c r="R367" s="19" t="n">
        <v>33</v>
      </c>
      <c r="S367" s="19" t="n">
        <v>20</v>
      </c>
      <c r="T367" s="19" t="n">
        <v>40</v>
      </c>
      <c r="U367" s="19" t="n">
        <v>28</v>
      </c>
      <c r="V367" s="19" t="n">
        <v>33</v>
      </c>
      <c r="W367" s="19" t="n">
        <v>33</v>
      </c>
      <c r="X367" s="19" t="n">
        <v>29</v>
      </c>
      <c r="Y367" s="19" t="n">
        <v>25</v>
      </c>
      <c r="Z367" s="19" t="n">
        <v>22</v>
      </c>
      <c r="AA367" s="19" t="n">
        <v>28</v>
      </c>
      <c r="AB367" s="19" t="n">
        <v>26</v>
      </c>
      <c r="AC367" s="19" t="n">
        <v>29</v>
      </c>
      <c r="AD367" s="19" t="n">
        <v>30</v>
      </c>
      <c r="AE367" s="2" t="n">
        <v>19</v>
      </c>
      <c r="AF367" s="19"/>
      <c r="AG367" s="19"/>
      <c r="AH367" s="19"/>
    </row>
    <row r="368" customFormat="false" ht="12.75" hidden="false" customHeight="false" outlineLevel="0" collapsed="false">
      <c r="A368" s="16" t="s">
        <v>479</v>
      </c>
      <c r="B368" s="17" t="n">
        <f aca="false">AVERAGE(E368:AE368)</f>
        <v>28.0740740740741</v>
      </c>
      <c r="C368" s="2" t="n">
        <f aca="false">MIN(E368:AE368)</f>
        <v>19</v>
      </c>
      <c r="D368" s="18" t="n">
        <f aca="false">MAX(E368:AE368)</f>
        <v>40</v>
      </c>
      <c r="E368" s="19" t="n">
        <v>20</v>
      </c>
      <c r="F368" s="19" t="n">
        <v>28</v>
      </c>
      <c r="G368" s="19" t="n">
        <v>22</v>
      </c>
      <c r="H368" s="19" t="n">
        <v>30</v>
      </c>
      <c r="I368" s="19" t="n">
        <v>30</v>
      </c>
      <c r="J368" s="19" t="n">
        <v>34</v>
      </c>
      <c r="K368" s="19" t="n">
        <v>28</v>
      </c>
      <c r="L368" s="19" t="n">
        <v>31</v>
      </c>
      <c r="M368" s="19" t="n">
        <v>33</v>
      </c>
      <c r="N368" s="19" t="n">
        <v>26</v>
      </c>
      <c r="O368" s="19" t="n">
        <v>29</v>
      </c>
      <c r="P368" s="19" t="n">
        <v>20</v>
      </c>
      <c r="Q368" s="19" t="n">
        <v>32</v>
      </c>
      <c r="R368" s="19" t="n">
        <v>33</v>
      </c>
      <c r="S368" s="19" t="n">
        <v>20</v>
      </c>
      <c r="T368" s="19" t="n">
        <v>40</v>
      </c>
      <c r="U368" s="19" t="n">
        <v>28</v>
      </c>
      <c r="V368" s="19" t="n">
        <v>33</v>
      </c>
      <c r="W368" s="19" t="n">
        <v>33</v>
      </c>
      <c r="X368" s="19" t="n">
        <v>29</v>
      </c>
      <c r="Y368" s="19" t="n">
        <v>25</v>
      </c>
      <c r="Z368" s="19" t="n">
        <v>22</v>
      </c>
      <c r="AA368" s="19" t="n">
        <v>28</v>
      </c>
      <c r="AB368" s="19" t="n">
        <v>26</v>
      </c>
      <c r="AC368" s="19" t="n">
        <v>29</v>
      </c>
      <c r="AD368" s="19" t="n">
        <v>30</v>
      </c>
      <c r="AE368" s="2" t="n">
        <v>19</v>
      </c>
      <c r="AF368" s="19"/>
      <c r="AG368" s="19"/>
      <c r="AH368" s="19"/>
    </row>
    <row r="369" customFormat="false" ht="12.75" hidden="false" customHeight="true" outlineLevel="0" collapsed="false">
      <c r="A369" s="16" t="s">
        <v>480</v>
      </c>
      <c r="B369" s="17" t="n">
        <f aca="false">AVERAGE(E369:AE369)</f>
        <v>28.0740740740741</v>
      </c>
      <c r="C369" s="2" t="n">
        <f aca="false">MIN(E369:AE369)</f>
        <v>19</v>
      </c>
      <c r="D369" s="18" t="n">
        <f aca="false">MAX(E369:AE369)</f>
        <v>40</v>
      </c>
      <c r="E369" s="19" t="n">
        <v>20</v>
      </c>
      <c r="F369" s="19" t="n">
        <v>28</v>
      </c>
      <c r="G369" s="19" t="n">
        <v>22</v>
      </c>
      <c r="H369" s="19" t="n">
        <v>30</v>
      </c>
      <c r="I369" s="19" t="n">
        <v>30</v>
      </c>
      <c r="J369" s="19" t="n">
        <v>34</v>
      </c>
      <c r="K369" s="19" t="n">
        <v>28</v>
      </c>
      <c r="L369" s="19" t="n">
        <v>31</v>
      </c>
      <c r="M369" s="19" t="n">
        <v>33</v>
      </c>
      <c r="N369" s="19" t="n">
        <v>26</v>
      </c>
      <c r="O369" s="19" t="n">
        <v>29</v>
      </c>
      <c r="P369" s="19" t="n">
        <v>20</v>
      </c>
      <c r="Q369" s="19" t="n">
        <v>32</v>
      </c>
      <c r="R369" s="19" t="n">
        <v>33</v>
      </c>
      <c r="S369" s="19" t="n">
        <v>20</v>
      </c>
      <c r="T369" s="19" t="n">
        <v>40</v>
      </c>
      <c r="U369" s="19" t="n">
        <v>28</v>
      </c>
      <c r="V369" s="19" t="n">
        <v>33</v>
      </c>
      <c r="W369" s="19" t="n">
        <v>33</v>
      </c>
      <c r="X369" s="19" t="n">
        <v>29</v>
      </c>
      <c r="Y369" s="19" t="n">
        <v>25</v>
      </c>
      <c r="Z369" s="19" t="n">
        <v>22</v>
      </c>
      <c r="AA369" s="19" t="n">
        <v>28</v>
      </c>
      <c r="AB369" s="19" t="n">
        <v>26</v>
      </c>
      <c r="AC369" s="19" t="n">
        <v>29</v>
      </c>
      <c r="AD369" s="19" t="n">
        <v>30</v>
      </c>
      <c r="AE369" s="2" t="n">
        <v>19</v>
      </c>
      <c r="AF369" s="19"/>
      <c r="AG369" s="19"/>
      <c r="AH369" s="19"/>
    </row>
    <row r="370" customFormat="false" ht="12.75" hidden="false" customHeight="true" outlineLevel="0" collapsed="false">
      <c r="A370" s="88" t="s">
        <v>481</v>
      </c>
      <c r="B370" s="128" t="n">
        <f aca="false">AVERAGE(E370:AE370)</f>
        <v>28.0740740740741</v>
      </c>
      <c r="C370" s="129" t="n">
        <f aca="false">MIN(E370:AE370)</f>
        <v>19</v>
      </c>
      <c r="D370" s="130" t="n">
        <f aca="false">MAX(E370:AE370)</f>
        <v>40</v>
      </c>
      <c r="E370" s="81" t="n">
        <v>20</v>
      </c>
      <c r="F370" s="81" t="n">
        <v>28</v>
      </c>
      <c r="G370" s="81" t="n">
        <v>22</v>
      </c>
      <c r="H370" s="81" t="n">
        <v>30</v>
      </c>
      <c r="I370" s="81" t="n">
        <v>30</v>
      </c>
      <c r="J370" s="81" t="n">
        <v>34</v>
      </c>
      <c r="K370" s="81" t="n">
        <v>28</v>
      </c>
      <c r="L370" s="81" t="n">
        <v>31</v>
      </c>
      <c r="M370" s="131" t="n">
        <v>33</v>
      </c>
      <c r="N370" s="131" t="n">
        <v>26</v>
      </c>
      <c r="O370" s="131" t="n">
        <v>29</v>
      </c>
      <c r="P370" s="81" t="n">
        <v>20</v>
      </c>
      <c r="Q370" s="81" t="n">
        <v>32</v>
      </c>
      <c r="R370" s="81" t="n">
        <v>33</v>
      </c>
      <c r="S370" s="81" t="n">
        <v>20</v>
      </c>
      <c r="T370" s="81" t="n">
        <v>40</v>
      </c>
      <c r="U370" s="81" t="n">
        <v>28</v>
      </c>
      <c r="V370" s="81" t="n">
        <v>33</v>
      </c>
      <c r="W370" s="81" t="n">
        <v>33</v>
      </c>
      <c r="X370" s="81" t="n">
        <v>29</v>
      </c>
      <c r="Y370" s="81" t="n">
        <v>25</v>
      </c>
      <c r="Z370" s="81" t="n">
        <v>22</v>
      </c>
      <c r="AA370" s="81" t="n">
        <v>28</v>
      </c>
      <c r="AB370" s="81" t="n">
        <v>26</v>
      </c>
      <c r="AC370" s="81" t="n">
        <v>29</v>
      </c>
      <c r="AD370" s="81" t="n">
        <v>30</v>
      </c>
      <c r="AE370" s="132" t="n">
        <v>19</v>
      </c>
      <c r="AF370" s="81"/>
      <c r="AG370" s="81"/>
      <c r="AH370" s="81"/>
    </row>
    <row r="371" customFormat="false" ht="12.75" hidden="false" customHeight="true" outlineLevel="0" collapsed="false">
      <c r="A371" s="44"/>
      <c r="B371" s="44"/>
      <c r="C371" s="44"/>
      <c r="D371" s="44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</row>
    <row r="372" customFormat="false" ht="12.75" hidden="false" customHeight="true" outlineLevel="0" collapsed="false">
      <c r="A372" s="134" t="s">
        <v>482</v>
      </c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</row>
    <row r="373" customFormat="false" ht="12.75" hidden="false" customHeight="true" outlineLevel="0" collapsed="false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</row>
    <row r="374" customFormat="false" ht="12.75" hidden="false" customHeight="true" outlineLevel="0" collapsed="false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</row>
    <row r="375" customFormat="false" ht="12.75" hidden="false" customHeight="true" outlineLevel="0" collapsed="false">
      <c r="A375" s="10" t="s">
        <v>6</v>
      </c>
      <c r="B375" s="11" t="s">
        <v>7</v>
      </c>
      <c r="C375" s="12" t="s">
        <v>8</v>
      </c>
      <c r="D375" s="13" t="s">
        <v>9</v>
      </c>
      <c r="E375" s="14" t="n">
        <v>1999</v>
      </c>
      <c r="F375" s="14" t="n">
        <v>2000</v>
      </c>
      <c r="G375" s="14" t="n">
        <v>2001</v>
      </c>
      <c r="H375" s="14" t="n">
        <v>2002</v>
      </c>
      <c r="I375" s="14" t="n">
        <v>2003</v>
      </c>
      <c r="J375" s="14" t="n">
        <v>2004</v>
      </c>
      <c r="K375" s="14" t="n">
        <v>2005</v>
      </c>
      <c r="L375" s="14" t="n">
        <v>2006</v>
      </c>
      <c r="M375" s="14" t="n">
        <v>2007</v>
      </c>
      <c r="N375" s="14" t="n">
        <v>2008</v>
      </c>
      <c r="O375" s="14" t="n">
        <v>2009</v>
      </c>
      <c r="P375" s="14" t="n">
        <v>2010</v>
      </c>
      <c r="Q375" s="14" t="n">
        <v>2011</v>
      </c>
      <c r="R375" s="14" t="n">
        <v>2012</v>
      </c>
      <c r="S375" s="14" t="n">
        <v>2013</v>
      </c>
      <c r="T375" s="14" t="n">
        <v>2014</v>
      </c>
      <c r="U375" s="14" t="n">
        <v>2015</v>
      </c>
      <c r="V375" s="14" t="n">
        <v>2016</v>
      </c>
      <c r="W375" s="14" t="n">
        <v>2017</v>
      </c>
      <c r="X375" s="14" t="n">
        <v>2018</v>
      </c>
      <c r="Y375" s="14" t="n">
        <v>2019</v>
      </c>
      <c r="Z375" s="14" t="n">
        <v>2020</v>
      </c>
      <c r="AA375" s="14" t="n">
        <v>2021</v>
      </c>
      <c r="AB375" s="14" t="n">
        <v>2022</v>
      </c>
      <c r="AC375" s="14" t="n">
        <v>2023</v>
      </c>
      <c r="AD375" s="14" t="n">
        <v>2024</v>
      </c>
      <c r="AE375" s="14" t="n">
        <v>2025</v>
      </c>
      <c r="AF375" s="14" t="n">
        <v>2026</v>
      </c>
      <c r="AG375" s="14" t="n">
        <v>2027</v>
      </c>
      <c r="AH375" s="14" t="n">
        <v>2028</v>
      </c>
    </row>
    <row r="376" customFormat="false" ht="12.75" hidden="false" customHeight="true" outlineLevel="0" collapsed="false">
      <c r="A376" s="16" t="s">
        <v>11</v>
      </c>
      <c r="B376" s="17" t="n">
        <f aca="false">AVERAGE(E376:AE376)</f>
        <v>0</v>
      </c>
      <c r="C376" s="2" t="n">
        <f aca="false">MIN(E376:AE376)</f>
        <v>0</v>
      </c>
      <c r="D376" s="18" t="n">
        <f aca="false">MAX(E376:AE376)</f>
        <v>0</v>
      </c>
      <c r="E376" s="19" t="n">
        <v>0</v>
      </c>
      <c r="F376" s="19" t="n">
        <v>0</v>
      </c>
      <c r="G376" s="19" t="n">
        <v>0</v>
      </c>
      <c r="H376" s="19" t="n">
        <v>0</v>
      </c>
      <c r="I376" s="19" t="n">
        <v>0</v>
      </c>
      <c r="J376" s="19" t="n">
        <v>0</v>
      </c>
      <c r="K376" s="19" t="n">
        <v>0</v>
      </c>
      <c r="L376" s="19" t="n">
        <v>0</v>
      </c>
      <c r="M376" s="19" t="n">
        <v>0</v>
      </c>
      <c r="N376" s="19" t="n">
        <v>0</v>
      </c>
      <c r="O376" s="19" t="n">
        <v>0</v>
      </c>
      <c r="P376" s="19" t="n">
        <v>0</v>
      </c>
      <c r="Q376" s="19" t="n">
        <v>0</v>
      </c>
      <c r="R376" s="19" t="n">
        <v>0</v>
      </c>
      <c r="S376" s="19" t="n">
        <v>0</v>
      </c>
      <c r="T376" s="19" t="n">
        <v>0</v>
      </c>
      <c r="U376" s="19" t="n">
        <v>0</v>
      </c>
      <c r="V376" s="19" t="n">
        <v>0</v>
      </c>
      <c r="W376" s="19" t="n">
        <v>0</v>
      </c>
      <c r="X376" s="19" t="n">
        <v>0</v>
      </c>
      <c r="Y376" s="19" t="n">
        <v>0</v>
      </c>
      <c r="Z376" s="19" t="n">
        <v>0</v>
      </c>
      <c r="AA376" s="19" t="n">
        <v>0</v>
      </c>
      <c r="AB376" s="19" t="n">
        <v>0</v>
      </c>
      <c r="AC376" s="19" t="n">
        <v>0</v>
      </c>
      <c r="AD376" s="19" t="n">
        <v>0</v>
      </c>
      <c r="AE376" s="19" t="n">
        <v>0</v>
      </c>
      <c r="AF376" s="19" t="n">
        <v>0</v>
      </c>
      <c r="AG376" s="19"/>
      <c r="AH376" s="19"/>
    </row>
    <row r="377" customFormat="false" ht="12.75" hidden="false" customHeight="true" outlineLevel="0" collapsed="false">
      <c r="A377" s="16" t="s">
        <v>13</v>
      </c>
      <c r="B377" s="17" t="n">
        <f aca="false">AVERAGE(E377:AE377)</f>
        <v>0</v>
      </c>
      <c r="C377" s="2" t="n">
        <f aca="false">MIN(E377:AE377)</f>
        <v>0</v>
      </c>
      <c r="D377" s="18" t="n">
        <f aca="false">MAX(E377:AE377)</f>
        <v>0</v>
      </c>
      <c r="E377" s="19" t="n">
        <v>0</v>
      </c>
      <c r="F377" s="19" t="n">
        <v>0</v>
      </c>
      <c r="G377" s="19" t="n">
        <v>0</v>
      </c>
      <c r="H377" s="19" t="n">
        <v>0</v>
      </c>
      <c r="I377" s="19" t="n">
        <v>0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  <c r="O377" s="19" t="n">
        <v>0</v>
      </c>
      <c r="P377" s="19" t="n">
        <v>0</v>
      </c>
      <c r="Q377" s="19" t="n">
        <v>0</v>
      </c>
      <c r="R377" s="19" t="n">
        <v>0</v>
      </c>
      <c r="S377" s="19" t="n">
        <v>0</v>
      </c>
      <c r="T377" s="19" t="n">
        <v>0</v>
      </c>
      <c r="U377" s="19" t="n">
        <v>0</v>
      </c>
      <c r="V377" s="19" t="n">
        <v>0</v>
      </c>
      <c r="W377" s="19" t="n">
        <v>0</v>
      </c>
      <c r="X377" s="19" t="n">
        <v>0</v>
      </c>
      <c r="Y377" s="19" t="n">
        <v>0</v>
      </c>
      <c r="Z377" s="19" t="n">
        <v>0</v>
      </c>
      <c r="AA377" s="19" t="n">
        <v>0</v>
      </c>
      <c r="AB377" s="19" t="n">
        <v>0</v>
      </c>
      <c r="AC377" s="19" t="n">
        <v>0</v>
      </c>
      <c r="AD377" s="19" t="n">
        <v>0</v>
      </c>
      <c r="AE377" s="19" t="n">
        <v>0</v>
      </c>
      <c r="AF377" s="19" t="n">
        <v>0</v>
      </c>
      <c r="AG377" s="19"/>
      <c r="AH377" s="19"/>
    </row>
    <row r="378" customFormat="false" ht="12.75" hidden="false" customHeight="true" outlineLevel="0" collapsed="false">
      <c r="A378" s="16" t="s">
        <v>15</v>
      </c>
      <c r="B378" s="17" t="n">
        <f aca="false">AVERAGE(E378:AE378)</f>
        <v>0.037037037037037</v>
      </c>
      <c r="C378" s="2" t="n">
        <f aca="false">MIN(E378:AE378)</f>
        <v>0</v>
      </c>
      <c r="D378" s="18" t="n">
        <f aca="false">MAX(E378:AE378)</f>
        <v>1</v>
      </c>
      <c r="E378" s="19" t="n">
        <v>0</v>
      </c>
      <c r="F378" s="19" t="n">
        <v>0</v>
      </c>
      <c r="G378" s="19" t="n">
        <v>0</v>
      </c>
      <c r="H378" s="19" t="n">
        <v>0</v>
      </c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0</v>
      </c>
      <c r="O378" s="19" t="n">
        <v>0</v>
      </c>
      <c r="P378" s="19" t="n">
        <v>0</v>
      </c>
      <c r="Q378" s="19" t="n">
        <v>0</v>
      </c>
      <c r="R378" s="19" t="n">
        <v>0</v>
      </c>
      <c r="S378" s="19" t="n">
        <v>0</v>
      </c>
      <c r="T378" s="19" t="n">
        <v>0</v>
      </c>
      <c r="U378" s="19" t="n">
        <v>0</v>
      </c>
      <c r="V378" s="19" t="n">
        <v>0</v>
      </c>
      <c r="W378" s="19" t="n">
        <v>0</v>
      </c>
      <c r="X378" s="19" t="n">
        <v>1</v>
      </c>
      <c r="Y378" s="19" t="n">
        <v>0</v>
      </c>
      <c r="Z378" s="19" t="n">
        <v>0</v>
      </c>
      <c r="AA378" s="19" t="n">
        <v>0</v>
      </c>
      <c r="AB378" s="19" t="n">
        <v>0</v>
      </c>
      <c r="AC378" s="19" t="n">
        <v>0</v>
      </c>
      <c r="AD378" s="19" t="n">
        <v>0</v>
      </c>
      <c r="AE378" s="19" t="n">
        <v>0</v>
      </c>
      <c r="AF378" s="19" t="n">
        <v>0</v>
      </c>
      <c r="AG378" s="19"/>
      <c r="AH378" s="19"/>
    </row>
    <row r="379" customFormat="false" ht="12.75" hidden="false" customHeight="true" outlineLevel="0" collapsed="false">
      <c r="A379" s="16" t="s">
        <v>35</v>
      </c>
      <c r="B379" s="17" t="n">
        <f aca="false">AVERAGE(E379:AE379)</f>
        <v>0.037037037037037</v>
      </c>
      <c r="C379" s="2" t="n">
        <f aca="false">MIN(E379:AE379)</f>
        <v>0</v>
      </c>
      <c r="D379" s="18" t="n">
        <f aca="false">MAX(E379:AE379)</f>
        <v>1</v>
      </c>
      <c r="E379" s="19" t="n">
        <v>0</v>
      </c>
      <c r="F379" s="19" t="n">
        <v>0</v>
      </c>
      <c r="G379" s="19" t="n">
        <v>0</v>
      </c>
      <c r="H379" s="19" t="n">
        <v>0</v>
      </c>
      <c r="I379" s="19" t="n">
        <v>0</v>
      </c>
      <c r="J379" s="19" t="n">
        <v>0</v>
      </c>
      <c r="K379" s="19" t="n">
        <v>0</v>
      </c>
      <c r="L379" s="19" t="n">
        <v>0</v>
      </c>
      <c r="M379" s="19" t="n">
        <v>0</v>
      </c>
      <c r="N379" s="19" t="n">
        <v>0</v>
      </c>
      <c r="O379" s="19" t="n">
        <v>0</v>
      </c>
      <c r="P379" s="19" t="n">
        <v>0</v>
      </c>
      <c r="Q379" s="19" t="n">
        <v>0</v>
      </c>
      <c r="R379" s="19" t="n">
        <v>0</v>
      </c>
      <c r="S379" s="19" t="n">
        <v>0</v>
      </c>
      <c r="T379" s="19" t="n">
        <v>0</v>
      </c>
      <c r="U379" s="19" t="n">
        <v>0</v>
      </c>
      <c r="V379" s="19" t="n">
        <v>0</v>
      </c>
      <c r="W379" s="19" t="n">
        <v>0</v>
      </c>
      <c r="X379" s="19" t="n">
        <v>1</v>
      </c>
      <c r="Y379" s="19" t="n">
        <v>0</v>
      </c>
      <c r="Z379" s="19" t="n">
        <v>0</v>
      </c>
      <c r="AA379" s="19" t="n">
        <v>0</v>
      </c>
      <c r="AB379" s="19" t="n">
        <v>0</v>
      </c>
      <c r="AC379" s="19" t="n">
        <v>0</v>
      </c>
      <c r="AD379" s="19" t="n">
        <v>0</v>
      </c>
      <c r="AE379" s="19" t="n">
        <v>0</v>
      </c>
      <c r="AF379" s="19" t="n">
        <v>0</v>
      </c>
      <c r="AG379" s="19"/>
      <c r="AH379" s="19"/>
    </row>
    <row r="380" customFormat="false" ht="12.75" hidden="false" customHeight="true" outlineLevel="0" collapsed="false">
      <c r="A380" s="16" t="s">
        <v>36</v>
      </c>
      <c r="B380" s="17" t="n">
        <f aca="false">AVERAGE(E380:AE380)</f>
        <v>0.037037037037037</v>
      </c>
      <c r="C380" s="2" t="n">
        <f aca="false">MIN(E380:AE380)</f>
        <v>0</v>
      </c>
      <c r="D380" s="18" t="n">
        <f aca="false">MAX(E380:AE380)</f>
        <v>1</v>
      </c>
      <c r="E380" s="19" t="n">
        <v>0</v>
      </c>
      <c r="F380" s="19" t="n">
        <v>0</v>
      </c>
      <c r="G380" s="19" t="n">
        <v>0</v>
      </c>
      <c r="H380" s="19" t="n">
        <v>0</v>
      </c>
      <c r="I380" s="19" t="n">
        <v>0</v>
      </c>
      <c r="J380" s="19" t="n">
        <v>0</v>
      </c>
      <c r="K380" s="19" t="n">
        <v>0</v>
      </c>
      <c r="L380" s="19" t="n">
        <v>0</v>
      </c>
      <c r="M380" s="19" t="n">
        <v>0</v>
      </c>
      <c r="N380" s="19" t="n">
        <v>0</v>
      </c>
      <c r="O380" s="19" t="n">
        <v>0</v>
      </c>
      <c r="P380" s="19" t="n">
        <v>0</v>
      </c>
      <c r="Q380" s="19" t="n">
        <v>0</v>
      </c>
      <c r="R380" s="19" t="n">
        <v>0</v>
      </c>
      <c r="S380" s="19" t="n">
        <v>0</v>
      </c>
      <c r="T380" s="19" t="n">
        <v>0</v>
      </c>
      <c r="U380" s="19" t="n">
        <v>0</v>
      </c>
      <c r="V380" s="19" t="n">
        <v>0</v>
      </c>
      <c r="W380" s="19" t="n">
        <v>0</v>
      </c>
      <c r="X380" s="19" t="n">
        <v>1</v>
      </c>
      <c r="Y380" s="19" t="n">
        <v>0</v>
      </c>
      <c r="Z380" s="19" t="n">
        <v>0</v>
      </c>
      <c r="AA380" s="19" t="n">
        <v>0</v>
      </c>
      <c r="AB380" s="19" t="n">
        <v>0</v>
      </c>
      <c r="AC380" s="19" t="n">
        <v>0</v>
      </c>
      <c r="AD380" s="19" t="n">
        <v>0</v>
      </c>
      <c r="AE380" s="19" t="n">
        <v>0</v>
      </c>
      <c r="AF380" s="19" t="n">
        <v>0</v>
      </c>
      <c r="AG380" s="19"/>
      <c r="AH380" s="19"/>
    </row>
    <row r="381" customFormat="false" ht="12.75" hidden="false" customHeight="true" outlineLevel="0" collapsed="false">
      <c r="A381" s="16" t="s">
        <v>47</v>
      </c>
      <c r="B381" s="17" t="n">
        <f aca="false">AVERAGE(E381:AE381)</f>
        <v>0.037037037037037</v>
      </c>
      <c r="C381" s="2" t="n">
        <f aca="false">MIN(E381:AE381)</f>
        <v>0</v>
      </c>
      <c r="D381" s="18" t="n">
        <f aca="false">MAX(E381:AE381)</f>
        <v>1</v>
      </c>
      <c r="E381" s="19" t="n">
        <v>0</v>
      </c>
      <c r="F381" s="19" t="n">
        <v>0</v>
      </c>
      <c r="G381" s="19" t="n">
        <v>0</v>
      </c>
      <c r="H381" s="19" t="n">
        <v>0</v>
      </c>
      <c r="I381" s="19" t="n">
        <v>0</v>
      </c>
      <c r="J381" s="19" t="n">
        <v>0</v>
      </c>
      <c r="K381" s="19" t="n">
        <v>0</v>
      </c>
      <c r="L381" s="19" t="n">
        <v>0</v>
      </c>
      <c r="M381" s="19" t="n">
        <v>0</v>
      </c>
      <c r="N381" s="19" t="n">
        <v>0</v>
      </c>
      <c r="O381" s="19" t="n">
        <v>0</v>
      </c>
      <c r="P381" s="19" t="n">
        <v>0</v>
      </c>
      <c r="Q381" s="19" t="n">
        <v>0</v>
      </c>
      <c r="R381" s="19" t="n">
        <v>0</v>
      </c>
      <c r="S381" s="19" t="n">
        <v>0</v>
      </c>
      <c r="T381" s="19" t="n">
        <v>0</v>
      </c>
      <c r="U381" s="19" t="n">
        <v>0</v>
      </c>
      <c r="V381" s="19" t="n">
        <v>0</v>
      </c>
      <c r="W381" s="19" t="n">
        <v>0</v>
      </c>
      <c r="X381" s="19" t="n">
        <v>1</v>
      </c>
      <c r="Y381" s="19" t="n">
        <v>0</v>
      </c>
      <c r="Z381" s="19" t="n">
        <v>0</v>
      </c>
      <c r="AA381" s="19" t="n">
        <v>0</v>
      </c>
      <c r="AB381" s="19" t="n">
        <v>0</v>
      </c>
      <c r="AC381" s="19" t="n">
        <v>0</v>
      </c>
      <c r="AD381" s="19" t="n">
        <v>0</v>
      </c>
      <c r="AE381" s="19" t="n">
        <v>0</v>
      </c>
      <c r="AF381" s="19" t="n">
        <v>0</v>
      </c>
      <c r="AG381" s="19"/>
      <c r="AH381" s="19"/>
    </row>
    <row r="382" customFormat="false" ht="12.75" hidden="false" customHeight="true" outlineLevel="0" collapsed="false">
      <c r="A382" s="16" t="s">
        <v>48</v>
      </c>
      <c r="B382" s="17" t="n">
        <f aca="false">AVERAGE(E382:AE382)</f>
        <v>0.037037037037037</v>
      </c>
      <c r="C382" s="2" t="n">
        <f aca="false">MIN(E382:AE382)</f>
        <v>0</v>
      </c>
      <c r="D382" s="18" t="n">
        <f aca="false">MAX(E382:AE382)</f>
        <v>1</v>
      </c>
      <c r="E382" s="19" t="n">
        <v>0</v>
      </c>
      <c r="F382" s="19" t="n">
        <v>0</v>
      </c>
      <c r="G382" s="19" t="n">
        <v>0</v>
      </c>
      <c r="H382" s="19" t="n">
        <v>0</v>
      </c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0</v>
      </c>
      <c r="O382" s="19" t="n">
        <v>0</v>
      </c>
      <c r="P382" s="19" t="n">
        <v>0</v>
      </c>
      <c r="Q382" s="19" t="n">
        <v>0</v>
      </c>
      <c r="R382" s="19" t="n">
        <v>0</v>
      </c>
      <c r="S382" s="19" t="n">
        <v>0</v>
      </c>
      <c r="T382" s="19" t="n">
        <v>0</v>
      </c>
      <c r="U382" s="19" t="n">
        <v>0</v>
      </c>
      <c r="V382" s="19" t="n">
        <v>0</v>
      </c>
      <c r="W382" s="19" t="n">
        <v>0</v>
      </c>
      <c r="X382" s="19" t="n">
        <v>1</v>
      </c>
      <c r="Y382" s="19" t="n">
        <v>0</v>
      </c>
      <c r="Z382" s="19" t="n">
        <v>0</v>
      </c>
      <c r="AA382" s="19" t="n">
        <v>0</v>
      </c>
      <c r="AB382" s="19" t="n">
        <v>0</v>
      </c>
      <c r="AC382" s="19" t="n">
        <v>0</v>
      </c>
      <c r="AD382" s="19" t="n">
        <v>0</v>
      </c>
      <c r="AE382" s="19" t="n">
        <v>0</v>
      </c>
      <c r="AF382" s="19" t="n">
        <v>0</v>
      </c>
      <c r="AG382" s="19"/>
      <c r="AH382" s="19"/>
    </row>
    <row r="383" customFormat="false" ht="12.75" hidden="false" customHeight="true" outlineLevel="0" collapsed="false">
      <c r="A383" s="16" t="s">
        <v>51</v>
      </c>
      <c r="B383" s="17" t="n">
        <f aca="false">AVERAGE(E383:AE383)</f>
        <v>0.037037037037037</v>
      </c>
      <c r="C383" s="2" t="n">
        <f aca="false">MIN(E383:AE383)</f>
        <v>0</v>
      </c>
      <c r="D383" s="18" t="n">
        <f aca="false">MAX(E383:AE383)</f>
        <v>1</v>
      </c>
      <c r="E383" s="19" t="n">
        <v>0</v>
      </c>
      <c r="F383" s="19" t="n">
        <v>0</v>
      </c>
      <c r="G383" s="19" t="n">
        <v>0</v>
      </c>
      <c r="H383" s="19" t="n">
        <v>0</v>
      </c>
      <c r="I383" s="19" t="n">
        <v>0</v>
      </c>
      <c r="J383" s="19" t="n">
        <v>0</v>
      </c>
      <c r="K383" s="19" t="n">
        <v>0</v>
      </c>
      <c r="L383" s="19" t="n">
        <v>0</v>
      </c>
      <c r="M383" s="19" t="n">
        <v>0</v>
      </c>
      <c r="N383" s="19" t="n">
        <v>0</v>
      </c>
      <c r="O383" s="19" t="n">
        <v>0</v>
      </c>
      <c r="P383" s="19" t="n">
        <v>0</v>
      </c>
      <c r="Q383" s="19" t="n">
        <v>0</v>
      </c>
      <c r="R383" s="19" t="n">
        <v>0</v>
      </c>
      <c r="S383" s="19" t="n">
        <v>0</v>
      </c>
      <c r="T383" s="19" t="n">
        <v>0</v>
      </c>
      <c r="U383" s="19" t="n">
        <v>0</v>
      </c>
      <c r="V383" s="19" t="n">
        <v>0</v>
      </c>
      <c r="W383" s="19" t="n">
        <v>0</v>
      </c>
      <c r="X383" s="19" t="n">
        <v>1</v>
      </c>
      <c r="Y383" s="19" t="n">
        <v>0</v>
      </c>
      <c r="Z383" s="19" t="n">
        <v>0</v>
      </c>
      <c r="AA383" s="19" t="n">
        <v>0</v>
      </c>
      <c r="AB383" s="19" t="n">
        <v>0</v>
      </c>
      <c r="AC383" s="19" t="n">
        <v>0</v>
      </c>
      <c r="AD383" s="19" t="n">
        <v>0</v>
      </c>
      <c r="AE383" s="19" t="n">
        <v>0</v>
      </c>
      <c r="AF383" s="19" t="n">
        <v>0</v>
      </c>
      <c r="AG383" s="19"/>
      <c r="AH383" s="19"/>
    </row>
    <row r="384" customFormat="false" ht="12.75" hidden="false" customHeight="true" outlineLevel="0" collapsed="false">
      <c r="A384" s="16" t="s">
        <v>54</v>
      </c>
      <c r="B384" s="17" t="n">
        <f aca="false">AVERAGE(E384:AE384)</f>
        <v>0.037037037037037</v>
      </c>
      <c r="C384" s="2" t="n">
        <f aca="false">MIN(E384:AE384)</f>
        <v>0</v>
      </c>
      <c r="D384" s="18" t="n">
        <f aca="false">MAX(E384:AE384)</f>
        <v>1</v>
      </c>
      <c r="E384" s="19" t="n">
        <v>0</v>
      </c>
      <c r="F384" s="19" t="n">
        <v>0</v>
      </c>
      <c r="G384" s="19" t="n">
        <v>0</v>
      </c>
      <c r="H384" s="19" t="n">
        <v>0</v>
      </c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0</v>
      </c>
      <c r="O384" s="19" t="n">
        <v>0</v>
      </c>
      <c r="P384" s="19" t="n">
        <v>0</v>
      </c>
      <c r="Q384" s="19" t="n">
        <v>0</v>
      </c>
      <c r="R384" s="19" t="n">
        <v>0</v>
      </c>
      <c r="S384" s="19" t="n">
        <v>0</v>
      </c>
      <c r="T384" s="19" t="n">
        <v>0</v>
      </c>
      <c r="U384" s="19" t="n">
        <v>0</v>
      </c>
      <c r="V384" s="19" t="n">
        <v>0</v>
      </c>
      <c r="W384" s="19" t="n">
        <v>0</v>
      </c>
      <c r="X384" s="19" t="n">
        <v>1</v>
      </c>
      <c r="Y384" s="19" t="n">
        <v>0</v>
      </c>
      <c r="Z384" s="19" t="n">
        <v>0</v>
      </c>
      <c r="AA384" s="19" t="n">
        <v>0</v>
      </c>
      <c r="AB384" s="19" t="n">
        <v>0</v>
      </c>
      <c r="AC384" s="19" t="n">
        <v>0</v>
      </c>
      <c r="AD384" s="19" t="n">
        <v>0</v>
      </c>
      <c r="AE384" s="19" t="n">
        <v>0</v>
      </c>
      <c r="AF384" s="19" t="n">
        <v>0</v>
      </c>
      <c r="AG384" s="19"/>
      <c r="AH384" s="19"/>
    </row>
    <row r="385" customFormat="false" ht="12.75" hidden="false" customHeight="true" outlineLevel="0" collapsed="false">
      <c r="A385" s="16" t="s">
        <v>57</v>
      </c>
      <c r="B385" s="17" t="n">
        <f aca="false">AVERAGE(E385:AE385)</f>
        <v>0.037037037037037</v>
      </c>
      <c r="C385" s="2" t="n">
        <f aca="false">MIN(E385:AE385)</f>
        <v>0</v>
      </c>
      <c r="D385" s="18" t="n">
        <f aca="false">MAX(E385:AE385)</f>
        <v>1</v>
      </c>
      <c r="E385" s="19" t="n">
        <v>0</v>
      </c>
      <c r="F385" s="19" t="n">
        <v>0</v>
      </c>
      <c r="G385" s="19" t="n">
        <v>0</v>
      </c>
      <c r="H385" s="19" t="n">
        <v>0</v>
      </c>
      <c r="I385" s="19" t="n">
        <v>0</v>
      </c>
      <c r="J385" s="19" t="n">
        <v>0</v>
      </c>
      <c r="K385" s="19" t="n">
        <v>0</v>
      </c>
      <c r="L385" s="19" t="n">
        <v>0</v>
      </c>
      <c r="M385" s="19" t="n">
        <v>0</v>
      </c>
      <c r="N385" s="19" t="n">
        <v>0</v>
      </c>
      <c r="O385" s="19" t="n">
        <v>0</v>
      </c>
      <c r="P385" s="19" t="n">
        <v>0</v>
      </c>
      <c r="Q385" s="19" t="n">
        <v>0</v>
      </c>
      <c r="R385" s="19" t="n">
        <v>0</v>
      </c>
      <c r="S385" s="19" t="n">
        <v>0</v>
      </c>
      <c r="T385" s="19" t="n">
        <v>0</v>
      </c>
      <c r="U385" s="19" t="n">
        <v>0</v>
      </c>
      <c r="V385" s="19" t="n">
        <v>0</v>
      </c>
      <c r="W385" s="19" t="n">
        <v>0</v>
      </c>
      <c r="X385" s="19" t="n">
        <v>1</v>
      </c>
      <c r="Y385" s="19" t="n">
        <v>0</v>
      </c>
      <c r="Z385" s="19" t="n">
        <v>0</v>
      </c>
      <c r="AA385" s="19" t="n">
        <v>0</v>
      </c>
      <c r="AB385" s="19" t="n">
        <v>0</v>
      </c>
      <c r="AC385" s="19" t="n">
        <v>0</v>
      </c>
      <c r="AD385" s="19" t="n">
        <v>0</v>
      </c>
      <c r="AE385" s="19" t="n">
        <v>0</v>
      </c>
      <c r="AF385" s="19" t="n">
        <v>0</v>
      </c>
      <c r="AG385" s="19"/>
      <c r="AH385" s="19"/>
    </row>
    <row r="386" customFormat="false" ht="12.75" hidden="false" customHeight="true" outlineLevel="0" collapsed="false">
      <c r="A386" s="16" t="s">
        <v>58</v>
      </c>
      <c r="B386" s="17" t="n">
        <f aca="false">AVERAGE(E386:AE386)</f>
        <v>0.037037037037037</v>
      </c>
      <c r="C386" s="2" t="n">
        <f aca="false">MIN(E386:AE386)</f>
        <v>0</v>
      </c>
      <c r="D386" s="18" t="n">
        <f aca="false">MAX(E386:AE386)</f>
        <v>1</v>
      </c>
      <c r="E386" s="19" t="n">
        <v>0</v>
      </c>
      <c r="F386" s="19" t="n">
        <v>0</v>
      </c>
      <c r="G386" s="19" t="n">
        <v>0</v>
      </c>
      <c r="H386" s="19" t="n">
        <v>0</v>
      </c>
      <c r="I386" s="19" t="n">
        <v>0</v>
      </c>
      <c r="J386" s="19" t="n">
        <v>0</v>
      </c>
      <c r="K386" s="19" t="n">
        <v>0</v>
      </c>
      <c r="L386" s="19" t="n">
        <v>0</v>
      </c>
      <c r="M386" s="19" t="n">
        <v>0</v>
      </c>
      <c r="N386" s="19" t="n">
        <v>0</v>
      </c>
      <c r="O386" s="19" t="n">
        <v>0</v>
      </c>
      <c r="P386" s="19" t="n">
        <v>0</v>
      </c>
      <c r="Q386" s="19" t="n">
        <v>0</v>
      </c>
      <c r="R386" s="19" t="n">
        <v>0</v>
      </c>
      <c r="S386" s="19" t="n">
        <v>0</v>
      </c>
      <c r="T386" s="19" t="n">
        <v>0</v>
      </c>
      <c r="U386" s="19" t="n">
        <v>0</v>
      </c>
      <c r="V386" s="19" t="n">
        <v>0</v>
      </c>
      <c r="W386" s="19" t="n">
        <v>0</v>
      </c>
      <c r="X386" s="19" t="n">
        <v>1</v>
      </c>
      <c r="Y386" s="19" t="n">
        <v>0</v>
      </c>
      <c r="Z386" s="19" t="n">
        <v>0</v>
      </c>
      <c r="AA386" s="19" t="n">
        <v>0</v>
      </c>
      <c r="AB386" s="19" t="n">
        <v>0</v>
      </c>
      <c r="AC386" s="19" t="n">
        <v>0</v>
      </c>
      <c r="AD386" s="19" t="n">
        <v>0</v>
      </c>
      <c r="AE386" s="19" t="n">
        <v>0</v>
      </c>
      <c r="AF386" s="19" t="n">
        <v>0</v>
      </c>
      <c r="AG386" s="19"/>
      <c r="AH386" s="19"/>
    </row>
    <row r="387" customFormat="false" ht="12.75" hidden="false" customHeight="true" outlineLevel="0" collapsed="false">
      <c r="A387" s="16" t="s">
        <v>61</v>
      </c>
      <c r="B387" s="17" t="n">
        <f aca="false">AVERAGE(E387:AE387)</f>
        <v>0.0740740740740741</v>
      </c>
      <c r="C387" s="2" t="n">
        <f aca="false">MIN(E387:AE387)</f>
        <v>0</v>
      </c>
      <c r="D387" s="18" t="n">
        <f aca="false">MAX(E387:AE387)</f>
        <v>1</v>
      </c>
      <c r="E387" s="19" t="n">
        <v>0</v>
      </c>
      <c r="F387" s="19" t="n">
        <v>0</v>
      </c>
      <c r="G387" s="19" t="n">
        <v>0</v>
      </c>
      <c r="H387" s="19" t="n">
        <v>0</v>
      </c>
      <c r="I387" s="19" t="n">
        <v>0</v>
      </c>
      <c r="J387" s="19" t="n">
        <v>0</v>
      </c>
      <c r="K387" s="19" t="n">
        <v>0</v>
      </c>
      <c r="L387" s="19" t="n">
        <v>0</v>
      </c>
      <c r="M387" s="19" t="n">
        <v>0</v>
      </c>
      <c r="N387" s="19" t="n">
        <v>0</v>
      </c>
      <c r="O387" s="19" t="n">
        <v>0</v>
      </c>
      <c r="P387" s="19" t="n">
        <v>0</v>
      </c>
      <c r="Q387" s="19" t="n">
        <v>0</v>
      </c>
      <c r="R387" s="19" t="n">
        <v>1</v>
      </c>
      <c r="S387" s="19" t="n">
        <v>0</v>
      </c>
      <c r="T387" s="19" t="n">
        <v>0</v>
      </c>
      <c r="U387" s="19" t="n">
        <v>0</v>
      </c>
      <c r="V387" s="19" t="n">
        <v>0</v>
      </c>
      <c r="W387" s="19" t="n">
        <v>0</v>
      </c>
      <c r="X387" s="19" t="n">
        <v>1</v>
      </c>
      <c r="Y387" s="19" t="n">
        <v>0</v>
      </c>
      <c r="Z387" s="19" t="n">
        <v>0</v>
      </c>
      <c r="AA387" s="19" t="n">
        <v>0</v>
      </c>
      <c r="AB387" s="19" t="n">
        <v>0</v>
      </c>
      <c r="AC387" s="19" t="n">
        <v>0</v>
      </c>
      <c r="AD387" s="19" t="n">
        <v>0</v>
      </c>
      <c r="AE387" s="19" t="n">
        <v>0</v>
      </c>
      <c r="AF387" s="19" t="n">
        <v>0</v>
      </c>
      <c r="AG387" s="19"/>
      <c r="AH387" s="19"/>
    </row>
    <row r="388" customFormat="false" ht="12.75" hidden="false" customHeight="true" outlineLevel="0" collapsed="false">
      <c r="A388" s="16" t="s">
        <v>64</v>
      </c>
      <c r="B388" s="17" t="n">
        <f aca="false">AVERAGE(E388:AE388)</f>
        <v>0.0740740740740741</v>
      </c>
      <c r="C388" s="2" t="n">
        <f aca="false">MIN(E388:AE388)</f>
        <v>0</v>
      </c>
      <c r="D388" s="18" t="n">
        <f aca="false">MAX(E388:AE388)</f>
        <v>1</v>
      </c>
      <c r="E388" s="19" t="n">
        <v>0</v>
      </c>
      <c r="F388" s="19" t="n">
        <v>0</v>
      </c>
      <c r="G388" s="19" t="n">
        <v>0</v>
      </c>
      <c r="H388" s="19" t="n">
        <v>0</v>
      </c>
      <c r="I388" s="19" t="n">
        <v>0</v>
      </c>
      <c r="J388" s="19" t="n">
        <v>0</v>
      </c>
      <c r="K388" s="19" t="n">
        <v>0</v>
      </c>
      <c r="L388" s="19" t="n">
        <v>0</v>
      </c>
      <c r="M388" s="19" t="n">
        <v>0</v>
      </c>
      <c r="N388" s="19" t="n">
        <v>0</v>
      </c>
      <c r="O388" s="19" t="n">
        <v>0</v>
      </c>
      <c r="P388" s="19" t="n">
        <v>0</v>
      </c>
      <c r="Q388" s="19" t="n">
        <v>0</v>
      </c>
      <c r="R388" s="19" t="n">
        <v>1</v>
      </c>
      <c r="S388" s="19" t="n">
        <v>0</v>
      </c>
      <c r="T388" s="19" t="n">
        <v>0</v>
      </c>
      <c r="U388" s="19" t="n">
        <v>0</v>
      </c>
      <c r="V388" s="19" t="n">
        <v>0</v>
      </c>
      <c r="W388" s="19" t="n">
        <v>0</v>
      </c>
      <c r="X388" s="19" t="n">
        <v>1</v>
      </c>
      <c r="Y388" s="19" t="n">
        <v>0</v>
      </c>
      <c r="Z388" s="19" t="n">
        <v>0</v>
      </c>
      <c r="AA388" s="19" t="n">
        <v>0</v>
      </c>
      <c r="AB388" s="19" t="n">
        <v>0</v>
      </c>
      <c r="AC388" s="19" t="n">
        <v>0</v>
      </c>
      <c r="AD388" s="19" t="n">
        <v>0</v>
      </c>
      <c r="AE388" s="19" t="n">
        <v>0</v>
      </c>
      <c r="AF388" s="19" t="n">
        <v>0</v>
      </c>
      <c r="AG388" s="19"/>
      <c r="AH388" s="19"/>
    </row>
    <row r="389" customFormat="false" ht="12.75" hidden="false" customHeight="true" outlineLevel="0" collapsed="false">
      <c r="A389" s="16" t="s">
        <v>67</v>
      </c>
      <c r="B389" s="17" t="n">
        <f aca="false">AVERAGE(E389:AE389)</f>
        <v>0.0740740740740741</v>
      </c>
      <c r="C389" s="2" t="n">
        <f aca="false">MIN(E389:AE389)</f>
        <v>0</v>
      </c>
      <c r="D389" s="18" t="n">
        <f aca="false">MAX(E389:AE389)</f>
        <v>1</v>
      </c>
      <c r="E389" s="19" t="n">
        <v>0</v>
      </c>
      <c r="F389" s="19" t="n">
        <v>0</v>
      </c>
      <c r="G389" s="19" t="n">
        <v>0</v>
      </c>
      <c r="H389" s="19" t="n">
        <v>0</v>
      </c>
      <c r="I389" s="19" t="n">
        <v>0</v>
      </c>
      <c r="J389" s="19" t="n">
        <v>0</v>
      </c>
      <c r="K389" s="19" t="n">
        <v>0</v>
      </c>
      <c r="L389" s="19" t="n">
        <v>0</v>
      </c>
      <c r="M389" s="19" t="n">
        <v>0</v>
      </c>
      <c r="N389" s="19" t="n">
        <v>0</v>
      </c>
      <c r="O389" s="19" t="n">
        <v>0</v>
      </c>
      <c r="P389" s="19" t="n">
        <v>0</v>
      </c>
      <c r="Q389" s="19" t="n">
        <v>0</v>
      </c>
      <c r="R389" s="19" t="n">
        <v>1</v>
      </c>
      <c r="S389" s="19" t="n">
        <v>0</v>
      </c>
      <c r="T389" s="19" t="n">
        <v>0</v>
      </c>
      <c r="U389" s="19" t="n">
        <v>0</v>
      </c>
      <c r="V389" s="19" t="n">
        <v>0</v>
      </c>
      <c r="W389" s="19" t="n">
        <v>0</v>
      </c>
      <c r="X389" s="19" t="n">
        <v>1</v>
      </c>
      <c r="Y389" s="19" t="n">
        <v>0</v>
      </c>
      <c r="Z389" s="19" t="n">
        <v>0</v>
      </c>
      <c r="AA389" s="19" t="n">
        <v>0</v>
      </c>
      <c r="AB389" s="19" t="n">
        <v>0</v>
      </c>
      <c r="AC389" s="19" t="n">
        <v>0</v>
      </c>
      <c r="AD389" s="19" t="n">
        <v>0</v>
      </c>
      <c r="AE389" s="19" t="n">
        <v>0</v>
      </c>
      <c r="AF389" s="19" t="n">
        <v>0</v>
      </c>
      <c r="AG389" s="19"/>
      <c r="AH389" s="19"/>
    </row>
    <row r="390" customFormat="false" ht="12.75" hidden="false" customHeight="true" outlineLevel="0" collapsed="false">
      <c r="A390" s="16" t="s">
        <v>71</v>
      </c>
      <c r="B390" s="17" t="n">
        <f aca="false">AVERAGE(E390:AE390)</f>
        <v>0.0740740740740741</v>
      </c>
      <c r="C390" s="2" t="n">
        <f aca="false">MIN(E390:AE390)</f>
        <v>0</v>
      </c>
      <c r="D390" s="18" t="n">
        <f aca="false">MAX(E390:AE390)</f>
        <v>1</v>
      </c>
      <c r="E390" s="19" t="n">
        <v>0</v>
      </c>
      <c r="F390" s="19" t="n">
        <v>0</v>
      </c>
      <c r="G390" s="19" t="n">
        <v>0</v>
      </c>
      <c r="H390" s="19" t="n">
        <v>0</v>
      </c>
      <c r="I390" s="19" t="n">
        <v>0</v>
      </c>
      <c r="J390" s="19" t="n">
        <v>0</v>
      </c>
      <c r="K390" s="19" t="n">
        <v>0</v>
      </c>
      <c r="L390" s="19" t="n">
        <v>0</v>
      </c>
      <c r="M390" s="19" t="n">
        <v>0</v>
      </c>
      <c r="N390" s="19" t="n">
        <v>0</v>
      </c>
      <c r="O390" s="19" t="n">
        <v>0</v>
      </c>
      <c r="P390" s="19" t="n">
        <v>0</v>
      </c>
      <c r="Q390" s="19" t="n">
        <v>0</v>
      </c>
      <c r="R390" s="19" t="n">
        <v>1</v>
      </c>
      <c r="S390" s="19" t="n">
        <v>0</v>
      </c>
      <c r="T390" s="19" t="n">
        <v>0</v>
      </c>
      <c r="U390" s="19" t="n">
        <v>0</v>
      </c>
      <c r="V390" s="19" t="n">
        <v>0</v>
      </c>
      <c r="W390" s="19" t="n">
        <v>0</v>
      </c>
      <c r="X390" s="19" t="n">
        <v>1</v>
      </c>
      <c r="Y390" s="19" t="n">
        <v>0</v>
      </c>
      <c r="Z390" s="19" t="n">
        <v>0</v>
      </c>
      <c r="AA390" s="19" t="n">
        <v>0</v>
      </c>
      <c r="AB390" s="19" t="n">
        <v>0</v>
      </c>
      <c r="AC390" s="19" t="n">
        <v>0</v>
      </c>
      <c r="AD390" s="19" t="n">
        <v>0</v>
      </c>
      <c r="AE390" s="19" t="n">
        <v>0</v>
      </c>
      <c r="AF390" s="19" t="n">
        <v>0</v>
      </c>
      <c r="AG390" s="19"/>
      <c r="AH390" s="19"/>
    </row>
    <row r="391" customFormat="false" ht="12.75" hidden="false" customHeight="true" outlineLevel="0" collapsed="false">
      <c r="A391" s="16" t="s">
        <v>74</v>
      </c>
      <c r="B391" s="17" t="n">
        <f aca="false">AVERAGE(E391:AE391)</f>
        <v>0.0740740740740741</v>
      </c>
      <c r="C391" s="2" t="n">
        <f aca="false">MIN(E391:AE391)</f>
        <v>0</v>
      </c>
      <c r="D391" s="18" t="n">
        <f aca="false">MAX(E391:AE391)</f>
        <v>1</v>
      </c>
      <c r="E391" s="19" t="n">
        <v>0</v>
      </c>
      <c r="F391" s="19" t="n">
        <v>0</v>
      </c>
      <c r="G391" s="19" t="n">
        <v>0</v>
      </c>
      <c r="H391" s="19" t="n">
        <v>0</v>
      </c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0</v>
      </c>
      <c r="O391" s="19" t="n">
        <v>0</v>
      </c>
      <c r="P391" s="19" t="n">
        <v>0</v>
      </c>
      <c r="Q391" s="19" t="n">
        <v>0</v>
      </c>
      <c r="R391" s="19" t="n">
        <v>1</v>
      </c>
      <c r="S391" s="19" t="n">
        <v>0</v>
      </c>
      <c r="T391" s="19" t="n">
        <v>0</v>
      </c>
      <c r="U391" s="19" t="n">
        <v>0</v>
      </c>
      <c r="V391" s="19" t="n">
        <v>0</v>
      </c>
      <c r="W391" s="19" t="n">
        <v>0</v>
      </c>
      <c r="X391" s="19" t="n">
        <v>1</v>
      </c>
      <c r="Y391" s="19" t="n">
        <v>0</v>
      </c>
      <c r="Z391" s="19" t="n">
        <v>0</v>
      </c>
      <c r="AA391" s="19" t="n">
        <v>0</v>
      </c>
      <c r="AB391" s="19" t="n">
        <v>0</v>
      </c>
      <c r="AC391" s="19" t="n">
        <v>0</v>
      </c>
      <c r="AD391" s="19" t="n">
        <v>0</v>
      </c>
      <c r="AE391" s="19" t="n">
        <v>0</v>
      </c>
      <c r="AF391" s="19" t="n">
        <v>0</v>
      </c>
      <c r="AG391" s="19"/>
      <c r="AH391" s="19"/>
    </row>
    <row r="392" customFormat="false" ht="12.75" hidden="false" customHeight="true" outlineLevel="0" collapsed="false">
      <c r="A392" s="16" t="s">
        <v>77</v>
      </c>
      <c r="B392" s="17" t="n">
        <f aca="false">AVERAGE(E392:AE392)</f>
        <v>0.0740740740740741</v>
      </c>
      <c r="C392" s="2" t="n">
        <f aca="false">MIN(E392:AE392)</f>
        <v>0</v>
      </c>
      <c r="D392" s="18" t="n">
        <f aca="false">MAX(E392:AE392)</f>
        <v>1</v>
      </c>
      <c r="E392" s="19" t="n">
        <v>0</v>
      </c>
      <c r="F392" s="19" t="n">
        <v>0</v>
      </c>
      <c r="G392" s="19" t="n">
        <v>0</v>
      </c>
      <c r="H392" s="19" t="n">
        <v>0</v>
      </c>
      <c r="I392" s="19" t="n">
        <v>0</v>
      </c>
      <c r="J392" s="19" t="n">
        <v>0</v>
      </c>
      <c r="K392" s="19" t="n">
        <v>0</v>
      </c>
      <c r="L392" s="19" t="n">
        <v>0</v>
      </c>
      <c r="M392" s="19" t="n">
        <v>0</v>
      </c>
      <c r="N392" s="19" t="n">
        <v>0</v>
      </c>
      <c r="O392" s="19" t="n">
        <v>0</v>
      </c>
      <c r="P392" s="19" t="n">
        <v>0</v>
      </c>
      <c r="Q392" s="19" t="n">
        <v>0</v>
      </c>
      <c r="R392" s="19" t="n">
        <v>1</v>
      </c>
      <c r="S392" s="19" t="n">
        <v>0</v>
      </c>
      <c r="T392" s="19" t="n">
        <v>0</v>
      </c>
      <c r="U392" s="19" t="n">
        <v>0</v>
      </c>
      <c r="V392" s="19" t="n">
        <v>0</v>
      </c>
      <c r="W392" s="19" t="n">
        <v>0</v>
      </c>
      <c r="X392" s="19" t="n">
        <v>1</v>
      </c>
      <c r="Y392" s="19" t="n">
        <v>0</v>
      </c>
      <c r="Z392" s="19" t="n">
        <v>0</v>
      </c>
      <c r="AA392" s="19" t="n">
        <v>0</v>
      </c>
      <c r="AB392" s="19" t="n">
        <v>0</v>
      </c>
      <c r="AC392" s="19" t="n">
        <v>0</v>
      </c>
      <c r="AD392" s="19" t="n">
        <v>0</v>
      </c>
      <c r="AE392" s="19" t="n">
        <v>0</v>
      </c>
      <c r="AF392" s="19" t="n">
        <v>0</v>
      </c>
      <c r="AG392" s="19"/>
      <c r="AH392" s="19"/>
    </row>
    <row r="393" customFormat="false" ht="12.75" hidden="false" customHeight="true" outlineLevel="0" collapsed="false">
      <c r="A393" s="16" t="s">
        <v>80</v>
      </c>
      <c r="B393" s="17" t="n">
        <f aca="false">AVERAGE(E393:AE393)</f>
        <v>0.111111111111111</v>
      </c>
      <c r="C393" s="2" t="n">
        <f aca="false">MIN(E393:AE393)</f>
        <v>0</v>
      </c>
      <c r="D393" s="18" t="n">
        <f aca="false">MAX(E393:AE393)</f>
        <v>1</v>
      </c>
      <c r="E393" s="19" t="n">
        <v>0</v>
      </c>
      <c r="F393" s="19" t="n">
        <v>0</v>
      </c>
      <c r="G393" s="19" t="n">
        <v>0</v>
      </c>
      <c r="H393" s="19" t="n">
        <v>0</v>
      </c>
      <c r="I393" s="19" t="n">
        <v>0</v>
      </c>
      <c r="J393" s="19" t="n">
        <v>0</v>
      </c>
      <c r="K393" s="19" t="n">
        <v>0</v>
      </c>
      <c r="L393" s="19" t="n">
        <v>0</v>
      </c>
      <c r="M393" s="19" t="n">
        <v>1</v>
      </c>
      <c r="N393" s="19" t="n">
        <v>0</v>
      </c>
      <c r="O393" s="19" t="n">
        <v>0</v>
      </c>
      <c r="P393" s="19" t="n">
        <v>0</v>
      </c>
      <c r="Q393" s="19" t="n">
        <v>0</v>
      </c>
      <c r="R393" s="19" t="n">
        <v>1</v>
      </c>
      <c r="S393" s="19" t="n">
        <v>0</v>
      </c>
      <c r="T393" s="19" t="n">
        <v>0</v>
      </c>
      <c r="U393" s="19" t="n">
        <v>0</v>
      </c>
      <c r="V393" s="19" t="n">
        <v>0</v>
      </c>
      <c r="W393" s="19" t="n">
        <v>0</v>
      </c>
      <c r="X393" s="19" t="n">
        <v>1</v>
      </c>
      <c r="Y393" s="19" t="n">
        <v>0</v>
      </c>
      <c r="Z393" s="19" t="n">
        <v>0</v>
      </c>
      <c r="AA393" s="19" t="n">
        <v>0</v>
      </c>
      <c r="AB393" s="19" t="n">
        <v>0</v>
      </c>
      <c r="AC393" s="19" t="n">
        <v>0</v>
      </c>
      <c r="AD393" s="19" t="n">
        <v>0</v>
      </c>
      <c r="AE393" s="19" t="n">
        <v>0</v>
      </c>
      <c r="AF393" s="19" t="n">
        <v>0</v>
      </c>
      <c r="AG393" s="19"/>
      <c r="AH393" s="19"/>
    </row>
    <row r="394" customFormat="false" ht="12.75" hidden="false" customHeight="true" outlineLevel="0" collapsed="false">
      <c r="A394" s="16" t="s">
        <v>82</v>
      </c>
      <c r="B394" s="17" t="n">
        <f aca="false">AVERAGE(E394:AE394)</f>
        <v>0.111111111111111</v>
      </c>
      <c r="C394" s="2" t="n">
        <f aca="false">MIN(E394:AE394)</f>
        <v>0</v>
      </c>
      <c r="D394" s="18" t="n">
        <f aca="false">MAX(E394:AE394)</f>
        <v>1</v>
      </c>
      <c r="E394" s="19" t="n">
        <v>0</v>
      </c>
      <c r="F394" s="19" t="n">
        <v>0</v>
      </c>
      <c r="G394" s="19" t="n">
        <v>0</v>
      </c>
      <c r="H394" s="19" t="n">
        <v>0</v>
      </c>
      <c r="I394" s="19" t="n">
        <v>0</v>
      </c>
      <c r="J394" s="19" t="n">
        <v>0</v>
      </c>
      <c r="K394" s="19" t="n">
        <v>0</v>
      </c>
      <c r="L394" s="19" t="n">
        <v>0</v>
      </c>
      <c r="M394" s="19" t="n">
        <v>1</v>
      </c>
      <c r="N394" s="19" t="n">
        <v>0</v>
      </c>
      <c r="O394" s="19" t="n">
        <v>0</v>
      </c>
      <c r="P394" s="19" t="n">
        <v>0</v>
      </c>
      <c r="Q394" s="19" t="n">
        <v>0</v>
      </c>
      <c r="R394" s="19" t="n">
        <v>1</v>
      </c>
      <c r="S394" s="19" t="n">
        <v>0</v>
      </c>
      <c r="T394" s="19" t="n">
        <v>0</v>
      </c>
      <c r="U394" s="19" t="n">
        <v>0</v>
      </c>
      <c r="V394" s="19" t="n">
        <v>0</v>
      </c>
      <c r="W394" s="19" t="n">
        <v>0</v>
      </c>
      <c r="X394" s="19" t="n">
        <v>1</v>
      </c>
      <c r="Y394" s="19" t="n">
        <v>0</v>
      </c>
      <c r="Z394" s="19" t="n">
        <v>0</v>
      </c>
      <c r="AA394" s="19" t="n">
        <v>0</v>
      </c>
      <c r="AB394" s="19" t="n">
        <v>0</v>
      </c>
      <c r="AC394" s="19" t="n">
        <v>0</v>
      </c>
      <c r="AD394" s="19" t="n">
        <v>0</v>
      </c>
      <c r="AE394" s="19" t="n">
        <v>0</v>
      </c>
      <c r="AF394" s="19" t="n">
        <v>0</v>
      </c>
      <c r="AG394" s="19"/>
      <c r="AH394" s="19"/>
    </row>
    <row r="395" customFormat="false" ht="12.75" hidden="false" customHeight="true" outlineLevel="0" collapsed="false">
      <c r="A395" s="16" t="s">
        <v>85</v>
      </c>
      <c r="B395" s="17" t="n">
        <f aca="false">AVERAGE(E395:AE395)</f>
        <v>0.111111111111111</v>
      </c>
      <c r="C395" s="2" t="n">
        <f aca="false">MIN(E395:AE395)</f>
        <v>0</v>
      </c>
      <c r="D395" s="18" t="n">
        <f aca="false">MAX(E395:AE395)</f>
        <v>1</v>
      </c>
      <c r="E395" s="19" t="n">
        <v>0</v>
      </c>
      <c r="F395" s="19" t="n">
        <v>0</v>
      </c>
      <c r="G395" s="19" t="n">
        <v>0</v>
      </c>
      <c r="H395" s="19" t="n">
        <v>0</v>
      </c>
      <c r="I395" s="19" t="n">
        <v>0</v>
      </c>
      <c r="J395" s="19" t="n">
        <v>0</v>
      </c>
      <c r="K395" s="19" t="n">
        <v>0</v>
      </c>
      <c r="L395" s="19" t="n">
        <v>0</v>
      </c>
      <c r="M395" s="19" t="n">
        <v>1</v>
      </c>
      <c r="N395" s="19" t="n">
        <v>0</v>
      </c>
      <c r="O395" s="19" t="n">
        <v>0</v>
      </c>
      <c r="P395" s="19" t="n">
        <v>0</v>
      </c>
      <c r="Q395" s="19" t="n">
        <v>0</v>
      </c>
      <c r="R395" s="19" t="n">
        <v>1</v>
      </c>
      <c r="S395" s="19" t="n">
        <v>0</v>
      </c>
      <c r="T395" s="19" t="n">
        <v>0</v>
      </c>
      <c r="U395" s="19" t="n">
        <v>0</v>
      </c>
      <c r="V395" s="19" t="n">
        <v>0</v>
      </c>
      <c r="W395" s="19" t="n">
        <v>0</v>
      </c>
      <c r="X395" s="19" t="n">
        <v>1</v>
      </c>
      <c r="Y395" s="19" t="n">
        <v>0</v>
      </c>
      <c r="Z395" s="19" t="n">
        <v>0</v>
      </c>
      <c r="AA395" s="19" t="n">
        <v>0</v>
      </c>
      <c r="AB395" s="19" t="n">
        <v>0</v>
      </c>
      <c r="AC395" s="19" t="n">
        <v>0</v>
      </c>
      <c r="AD395" s="19" t="n">
        <v>0</v>
      </c>
      <c r="AE395" s="19" t="n">
        <v>0</v>
      </c>
      <c r="AF395" s="19" t="n">
        <v>0</v>
      </c>
      <c r="AG395" s="19"/>
      <c r="AH395" s="19"/>
    </row>
    <row r="396" customFormat="false" ht="12.75" hidden="false" customHeight="true" outlineLevel="0" collapsed="false">
      <c r="A396" s="16" t="s">
        <v>88</v>
      </c>
      <c r="B396" s="17" t="n">
        <f aca="false">AVERAGE(E396:AE396)</f>
        <v>0.111111111111111</v>
      </c>
      <c r="C396" s="2" t="n">
        <f aca="false">MIN(E396:AE396)</f>
        <v>0</v>
      </c>
      <c r="D396" s="18" t="n">
        <f aca="false">MAX(E396:AE396)</f>
        <v>1</v>
      </c>
      <c r="E396" s="19" t="n">
        <v>0</v>
      </c>
      <c r="F396" s="19" t="n">
        <v>0</v>
      </c>
      <c r="G396" s="19" t="n">
        <v>0</v>
      </c>
      <c r="H396" s="19" t="n">
        <v>0</v>
      </c>
      <c r="I396" s="19" t="n">
        <v>0</v>
      </c>
      <c r="J396" s="19" t="n">
        <v>0</v>
      </c>
      <c r="K396" s="19" t="n">
        <v>0</v>
      </c>
      <c r="L396" s="19" t="n">
        <v>0</v>
      </c>
      <c r="M396" s="19" t="n">
        <v>1</v>
      </c>
      <c r="N396" s="19" t="n">
        <v>0</v>
      </c>
      <c r="O396" s="19" t="n">
        <v>0</v>
      </c>
      <c r="P396" s="19" t="n">
        <v>0</v>
      </c>
      <c r="Q396" s="19" t="n">
        <v>0</v>
      </c>
      <c r="R396" s="19" t="n">
        <v>1</v>
      </c>
      <c r="S396" s="19" t="n">
        <v>0</v>
      </c>
      <c r="T396" s="19" t="n">
        <v>0</v>
      </c>
      <c r="U396" s="19" t="n">
        <v>0</v>
      </c>
      <c r="V396" s="19" t="n">
        <v>0</v>
      </c>
      <c r="W396" s="19" t="n">
        <v>0</v>
      </c>
      <c r="X396" s="19" t="n">
        <v>1</v>
      </c>
      <c r="Y396" s="19" t="n">
        <v>0</v>
      </c>
      <c r="Z396" s="19" t="n">
        <v>0</v>
      </c>
      <c r="AA396" s="19" t="n">
        <v>0</v>
      </c>
      <c r="AB396" s="19" t="n">
        <v>0</v>
      </c>
      <c r="AC396" s="19" t="n">
        <v>0</v>
      </c>
      <c r="AD396" s="19" t="n">
        <v>0</v>
      </c>
      <c r="AE396" s="19" t="n">
        <v>0</v>
      </c>
      <c r="AF396" s="19" t="n">
        <v>0</v>
      </c>
      <c r="AG396" s="19"/>
      <c r="AH396" s="19"/>
    </row>
    <row r="397" customFormat="false" ht="12.75" hidden="false" customHeight="true" outlineLevel="0" collapsed="false">
      <c r="A397" s="16" t="s">
        <v>90</v>
      </c>
      <c r="B397" s="17" t="n">
        <f aca="false">AVERAGE(E397:AE397)</f>
        <v>0.111111111111111</v>
      </c>
      <c r="C397" s="2" t="n">
        <f aca="false">MIN(E397:AE397)</f>
        <v>0</v>
      </c>
      <c r="D397" s="18" t="n">
        <f aca="false">MAX(E397:AE397)</f>
        <v>1</v>
      </c>
      <c r="E397" s="19" t="n">
        <v>0</v>
      </c>
      <c r="F397" s="19" t="n">
        <v>0</v>
      </c>
      <c r="G397" s="19" t="n">
        <v>0</v>
      </c>
      <c r="H397" s="19" t="n">
        <v>0</v>
      </c>
      <c r="I397" s="19" t="n">
        <v>0</v>
      </c>
      <c r="J397" s="19" t="n">
        <v>0</v>
      </c>
      <c r="K397" s="19" t="n">
        <v>0</v>
      </c>
      <c r="L397" s="19" t="n">
        <v>0</v>
      </c>
      <c r="M397" s="19" t="n">
        <v>1</v>
      </c>
      <c r="N397" s="19" t="n">
        <v>0</v>
      </c>
      <c r="O397" s="19" t="n">
        <v>0</v>
      </c>
      <c r="P397" s="19" t="n">
        <v>0</v>
      </c>
      <c r="Q397" s="19" t="n">
        <v>0</v>
      </c>
      <c r="R397" s="19" t="n">
        <v>1</v>
      </c>
      <c r="S397" s="19" t="n">
        <v>0</v>
      </c>
      <c r="T397" s="19" t="n">
        <v>0</v>
      </c>
      <c r="U397" s="19" t="n">
        <v>0</v>
      </c>
      <c r="V397" s="19" t="n">
        <v>0</v>
      </c>
      <c r="W397" s="19" t="n">
        <v>0</v>
      </c>
      <c r="X397" s="19" t="n">
        <v>1</v>
      </c>
      <c r="Y397" s="19" t="n">
        <v>0</v>
      </c>
      <c r="Z397" s="19" t="n">
        <v>0</v>
      </c>
      <c r="AA397" s="19" t="n">
        <v>0</v>
      </c>
      <c r="AB397" s="19" t="n">
        <v>0</v>
      </c>
      <c r="AC397" s="19" t="n">
        <v>0</v>
      </c>
      <c r="AD397" s="19" t="n">
        <v>0</v>
      </c>
      <c r="AE397" s="19" t="n">
        <v>0</v>
      </c>
      <c r="AF397" s="19" t="n">
        <v>0</v>
      </c>
      <c r="AG397" s="19"/>
      <c r="AH397" s="19"/>
    </row>
    <row r="398" customFormat="false" ht="12.75" hidden="false" customHeight="true" outlineLevel="0" collapsed="false">
      <c r="A398" s="16" t="s">
        <v>93</v>
      </c>
      <c r="B398" s="17" t="n">
        <f aca="false">AVERAGE(E398:AE398)</f>
        <v>0.111111111111111</v>
      </c>
      <c r="C398" s="2" t="n">
        <f aca="false">MIN(E398:AE398)</f>
        <v>0</v>
      </c>
      <c r="D398" s="18" t="n">
        <f aca="false">MAX(E398:AE398)</f>
        <v>1</v>
      </c>
      <c r="E398" s="19" t="n">
        <v>0</v>
      </c>
      <c r="F398" s="19" t="n">
        <v>0</v>
      </c>
      <c r="G398" s="19" t="n">
        <v>0</v>
      </c>
      <c r="H398" s="19" t="n">
        <v>0</v>
      </c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1</v>
      </c>
      <c r="N398" s="19" t="n">
        <v>0</v>
      </c>
      <c r="O398" s="19" t="n">
        <v>0</v>
      </c>
      <c r="P398" s="19" t="n">
        <v>0</v>
      </c>
      <c r="Q398" s="19" t="n">
        <v>0</v>
      </c>
      <c r="R398" s="19" t="n">
        <v>1</v>
      </c>
      <c r="S398" s="19" t="n">
        <v>0</v>
      </c>
      <c r="T398" s="19" t="n">
        <v>0</v>
      </c>
      <c r="U398" s="19" t="n">
        <v>0</v>
      </c>
      <c r="V398" s="19" t="n">
        <v>0</v>
      </c>
      <c r="W398" s="19" t="n">
        <v>0</v>
      </c>
      <c r="X398" s="19" t="n">
        <v>1</v>
      </c>
      <c r="Y398" s="19" t="n">
        <v>0</v>
      </c>
      <c r="Z398" s="19" t="n">
        <v>0</v>
      </c>
      <c r="AA398" s="19" t="n">
        <v>0</v>
      </c>
      <c r="AB398" s="19" t="n">
        <v>0</v>
      </c>
      <c r="AC398" s="19" t="n">
        <v>0</v>
      </c>
      <c r="AD398" s="19" t="n">
        <v>0</v>
      </c>
      <c r="AE398" s="19" t="n">
        <v>0</v>
      </c>
      <c r="AF398" s="19" t="n">
        <v>0</v>
      </c>
      <c r="AG398" s="19"/>
      <c r="AH398" s="19"/>
    </row>
    <row r="399" customFormat="false" ht="12.75" hidden="false" customHeight="true" outlineLevel="0" collapsed="false">
      <c r="A399" s="16" t="s">
        <v>95</v>
      </c>
      <c r="B399" s="17" t="n">
        <f aca="false">AVERAGE(E399:AE399)</f>
        <v>0.111111111111111</v>
      </c>
      <c r="C399" s="2" t="n">
        <f aca="false">MIN(E399:AE399)</f>
        <v>0</v>
      </c>
      <c r="D399" s="18" t="n">
        <f aca="false">MAX(E399:AE399)</f>
        <v>1</v>
      </c>
      <c r="E399" s="19" t="n">
        <v>0</v>
      </c>
      <c r="F399" s="19" t="n">
        <v>0</v>
      </c>
      <c r="G399" s="19" t="n">
        <v>0</v>
      </c>
      <c r="H399" s="19" t="n">
        <v>0</v>
      </c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1</v>
      </c>
      <c r="N399" s="19" t="n">
        <v>0</v>
      </c>
      <c r="O399" s="19" t="n">
        <v>0</v>
      </c>
      <c r="P399" s="19" t="n">
        <v>0</v>
      </c>
      <c r="Q399" s="19" t="n">
        <v>0</v>
      </c>
      <c r="R399" s="19" t="n">
        <v>1</v>
      </c>
      <c r="S399" s="19" t="n">
        <v>0</v>
      </c>
      <c r="T399" s="19" t="n">
        <v>0</v>
      </c>
      <c r="U399" s="19" t="n">
        <v>0</v>
      </c>
      <c r="V399" s="19" t="n">
        <v>0</v>
      </c>
      <c r="W399" s="19" t="n">
        <v>0</v>
      </c>
      <c r="X399" s="19" t="n">
        <v>1</v>
      </c>
      <c r="Y399" s="19" t="n">
        <v>0</v>
      </c>
      <c r="Z399" s="19" t="n">
        <v>0</v>
      </c>
      <c r="AA399" s="19" t="n">
        <v>0</v>
      </c>
      <c r="AB399" s="19" t="n">
        <v>0</v>
      </c>
      <c r="AC399" s="19" t="n">
        <v>0</v>
      </c>
      <c r="AD399" s="19" t="n">
        <v>0</v>
      </c>
      <c r="AE399" s="19" t="n">
        <v>0</v>
      </c>
      <c r="AF399" s="19" t="n">
        <v>0</v>
      </c>
      <c r="AG399" s="19"/>
      <c r="AH399" s="19"/>
    </row>
    <row r="400" customFormat="false" ht="12.75" hidden="false" customHeight="true" outlineLevel="0" collapsed="false">
      <c r="A400" s="16" t="s">
        <v>97</v>
      </c>
      <c r="B400" s="17" t="n">
        <f aca="false">AVERAGE(E400:AE400)</f>
        <v>0.111111111111111</v>
      </c>
      <c r="C400" s="2" t="n">
        <f aca="false">MIN(E400:AE400)</f>
        <v>0</v>
      </c>
      <c r="D400" s="18" t="n">
        <f aca="false">MAX(E400:AE400)</f>
        <v>1</v>
      </c>
      <c r="E400" s="19" t="n">
        <v>0</v>
      </c>
      <c r="F400" s="19" t="n">
        <v>0</v>
      </c>
      <c r="G400" s="19" t="n">
        <v>0</v>
      </c>
      <c r="H400" s="19" t="n">
        <v>0</v>
      </c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1</v>
      </c>
      <c r="N400" s="19" t="n">
        <v>0</v>
      </c>
      <c r="O400" s="19" t="n">
        <v>0</v>
      </c>
      <c r="P400" s="19" t="n">
        <v>0</v>
      </c>
      <c r="Q400" s="19" t="n">
        <v>0</v>
      </c>
      <c r="R400" s="19" t="n">
        <v>1</v>
      </c>
      <c r="S400" s="19" t="n">
        <v>0</v>
      </c>
      <c r="T400" s="19" t="n">
        <v>0</v>
      </c>
      <c r="U400" s="19" t="n">
        <v>0</v>
      </c>
      <c r="V400" s="19" t="n">
        <v>0</v>
      </c>
      <c r="W400" s="19" t="n">
        <v>0</v>
      </c>
      <c r="X400" s="19" t="n">
        <v>1</v>
      </c>
      <c r="Y400" s="19" t="n">
        <v>0</v>
      </c>
      <c r="Z400" s="19" t="n">
        <v>0</v>
      </c>
      <c r="AA400" s="19" t="n">
        <v>0</v>
      </c>
      <c r="AB400" s="19" t="n">
        <v>0</v>
      </c>
      <c r="AC400" s="19" t="n">
        <v>0</v>
      </c>
      <c r="AD400" s="19" t="n">
        <v>0</v>
      </c>
      <c r="AE400" s="19" t="n">
        <v>0</v>
      </c>
      <c r="AF400" s="19" t="n">
        <v>0</v>
      </c>
      <c r="AG400" s="19"/>
      <c r="AH400" s="19"/>
    </row>
    <row r="401" customFormat="false" ht="12.75" hidden="false" customHeight="true" outlineLevel="0" collapsed="false">
      <c r="A401" s="16" t="s">
        <v>99</v>
      </c>
      <c r="B401" s="17" t="n">
        <f aca="false">AVERAGE(E401:AE401)</f>
        <v>0.111111111111111</v>
      </c>
      <c r="C401" s="2" t="n">
        <f aca="false">MIN(E401:AE401)</f>
        <v>0</v>
      </c>
      <c r="D401" s="18" t="n">
        <f aca="false">MAX(E401:AE401)</f>
        <v>1</v>
      </c>
      <c r="E401" s="19" t="n">
        <v>0</v>
      </c>
      <c r="F401" s="19" t="n">
        <v>0</v>
      </c>
      <c r="G401" s="19" t="n">
        <v>0</v>
      </c>
      <c r="H401" s="19" t="n">
        <v>0</v>
      </c>
      <c r="I401" s="19" t="n">
        <v>0</v>
      </c>
      <c r="J401" s="19" t="n">
        <v>0</v>
      </c>
      <c r="K401" s="19" t="n">
        <v>0</v>
      </c>
      <c r="L401" s="19" t="n">
        <v>0</v>
      </c>
      <c r="M401" s="19" t="n">
        <v>1</v>
      </c>
      <c r="N401" s="19" t="n">
        <v>0</v>
      </c>
      <c r="O401" s="19" t="n">
        <v>0</v>
      </c>
      <c r="P401" s="19" t="n">
        <v>0</v>
      </c>
      <c r="Q401" s="19" t="n">
        <v>0</v>
      </c>
      <c r="R401" s="19" t="n">
        <v>1</v>
      </c>
      <c r="S401" s="19" t="n">
        <v>0</v>
      </c>
      <c r="T401" s="19" t="n">
        <v>0</v>
      </c>
      <c r="U401" s="19" t="n">
        <v>0</v>
      </c>
      <c r="V401" s="19" t="n">
        <v>0</v>
      </c>
      <c r="W401" s="19" t="n">
        <v>0</v>
      </c>
      <c r="X401" s="19" t="n">
        <v>1</v>
      </c>
      <c r="Y401" s="19" t="n">
        <v>0</v>
      </c>
      <c r="Z401" s="19" t="n">
        <v>0</v>
      </c>
      <c r="AA401" s="19" t="n">
        <v>0</v>
      </c>
      <c r="AB401" s="19" t="n">
        <v>0</v>
      </c>
      <c r="AC401" s="19" t="n">
        <v>0</v>
      </c>
      <c r="AD401" s="19" t="n">
        <v>0</v>
      </c>
      <c r="AE401" s="19" t="n">
        <v>0</v>
      </c>
      <c r="AF401" s="19" t="n">
        <v>0</v>
      </c>
      <c r="AG401" s="19"/>
      <c r="AH401" s="19"/>
    </row>
    <row r="402" customFormat="false" ht="12.75" hidden="false" customHeight="true" outlineLevel="0" collapsed="false">
      <c r="A402" s="16" t="s">
        <v>101</v>
      </c>
      <c r="B402" s="17" t="n">
        <f aca="false">AVERAGE(E402:AE402)</f>
        <v>0.111111111111111</v>
      </c>
      <c r="C402" s="2" t="n">
        <f aca="false">MIN(E402:AE402)</f>
        <v>0</v>
      </c>
      <c r="D402" s="18" t="n">
        <f aca="false">MAX(E402:AE402)</f>
        <v>1</v>
      </c>
      <c r="E402" s="19" t="n">
        <v>0</v>
      </c>
      <c r="F402" s="19" t="n">
        <v>0</v>
      </c>
      <c r="G402" s="19" t="n">
        <v>0</v>
      </c>
      <c r="H402" s="19" t="n">
        <v>0</v>
      </c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1</v>
      </c>
      <c r="N402" s="19" t="n">
        <v>0</v>
      </c>
      <c r="O402" s="19" t="n">
        <v>0</v>
      </c>
      <c r="P402" s="19" t="n">
        <v>0</v>
      </c>
      <c r="Q402" s="19" t="n">
        <v>0</v>
      </c>
      <c r="R402" s="19" t="n">
        <v>1</v>
      </c>
      <c r="S402" s="19" t="n">
        <v>0</v>
      </c>
      <c r="T402" s="19" t="n">
        <v>0</v>
      </c>
      <c r="U402" s="19" t="n">
        <v>0</v>
      </c>
      <c r="V402" s="19" t="n">
        <v>0</v>
      </c>
      <c r="W402" s="19" t="n">
        <v>0</v>
      </c>
      <c r="X402" s="19" t="n">
        <v>1</v>
      </c>
      <c r="Y402" s="19" t="n">
        <v>0</v>
      </c>
      <c r="Z402" s="19" t="n">
        <v>0</v>
      </c>
      <c r="AA402" s="19" t="n">
        <v>0</v>
      </c>
      <c r="AB402" s="19" t="n">
        <v>0</v>
      </c>
      <c r="AC402" s="19" t="n">
        <v>0</v>
      </c>
      <c r="AD402" s="19" t="n">
        <v>0</v>
      </c>
      <c r="AE402" s="19" t="n">
        <v>0</v>
      </c>
      <c r="AF402" s="19" t="n">
        <v>0</v>
      </c>
      <c r="AG402" s="19"/>
      <c r="AH402" s="19"/>
    </row>
    <row r="403" customFormat="false" ht="12.75" hidden="false" customHeight="true" outlineLevel="0" collapsed="false">
      <c r="A403" s="16" t="s">
        <v>103</v>
      </c>
      <c r="B403" s="17" t="n">
        <f aca="false">AVERAGE(E403:AE403)</f>
        <v>0.111111111111111</v>
      </c>
      <c r="C403" s="2" t="n">
        <f aca="false">MIN(E403:AE403)</f>
        <v>0</v>
      </c>
      <c r="D403" s="18" t="n">
        <f aca="false">MAX(E403:AE403)</f>
        <v>1</v>
      </c>
      <c r="E403" s="19" t="n">
        <v>0</v>
      </c>
      <c r="F403" s="19" t="n">
        <v>0</v>
      </c>
      <c r="G403" s="19" t="n">
        <v>0</v>
      </c>
      <c r="H403" s="19" t="n">
        <v>0</v>
      </c>
      <c r="I403" s="19" t="n">
        <v>0</v>
      </c>
      <c r="J403" s="19" t="n">
        <v>0</v>
      </c>
      <c r="K403" s="19" t="n">
        <v>0</v>
      </c>
      <c r="L403" s="19" t="n">
        <v>0</v>
      </c>
      <c r="M403" s="19" t="n">
        <v>1</v>
      </c>
      <c r="N403" s="19" t="n">
        <v>0</v>
      </c>
      <c r="O403" s="19" t="n">
        <v>0</v>
      </c>
      <c r="P403" s="19" t="n">
        <v>0</v>
      </c>
      <c r="Q403" s="19" t="n">
        <v>0</v>
      </c>
      <c r="R403" s="19" t="n">
        <v>1</v>
      </c>
      <c r="S403" s="19" t="n">
        <v>0</v>
      </c>
      <c r="T403" s="19" t="n">
        <v>0</v>
      </c>
      <c r="U403" s="19" t="n">
        <v>0</v>
      </c>
      <c r="V403" s="19" t="n">
        <v>0</v>
      </c>
      <c r="W403" s="19" t="n">
        <v>0</v>
      </c>
      <c r="X403" s="19" t="n">
        <v>1</v>
      </c>
      <c r="Y403" s="19" t="n">
        <v>0</v>
      </c>
      <c r="Z403" s="19" t="n">
        <v>0</v>
      </c>
      <c r="AA403" s="19" t="n">
        <v>0</v>
      </c>
      <c r="AB403" s="19" t="n">
        <v>0</v>
      </c>
      <c r="AC403" s="19" t="n">
        <v>0</v>
      </c>
      <c r="AD403" s="19" t="n">
        <v>0</v>
      </c>
      <c r="AE403" s="19" t="n">
        <v>0</v>
      </c>
      <c r="AF403" s="19" t="n">
        <v>0</v>
      </c>
      <c r="AG403" s="19"/>
      <c r="AH403" s="19"/>
    </row>
    <row r="404" customFormat="false" ht="12.75" hidden="false" customHeight="true" outlineLevel="0" collapsed="false">
      <c r="A404" s="16" t="s">
        <v>105</v>
      </c>
      <c r="B404" s="17" t="n">
        <f aca="false">AVERAGE(E404:AE404)</f>
        <v>0.111111111111111</v>
      </c>
      <c r="C404" s="2" t="n">
        <f aca="false">MIN(E404:AE404)</f>
        <v>0</v>
      </c>
      <c r="D404" s="18" t="n">
        <f aca="false">MAX(E404:AE404)</f>
        <v>1</v>
      </c>
      <c r="E404" s="19" t="n">
        <v>0</v>
      </c>
      <c r="F404" s="19" t="n">
        <v>0</v>
      </c>
      <c r="G404" s="19" t="n">
        <v>0</v>
      </c>
      <c r="H404" s="19" t="n">
        <v>0</v>
      </c>
      <c r="I404" s="19" t="n">
        <v>0</v>
      </c>
      <c r="J404" s="19" t="n">
        <v>0</v>
      </c>
      <c r="K404" s="19" t="n">
        <v>0</v>
      </c>
      <c r="L404" s="19" t="n">
        <v>0</v>
      </c>
      <c r="M404" s="19" t="n">
        <v>1</v>
      </c>
      <c r="N404" s="19" t="n">
        <v>0</v>
      </c>
      <c r="O404" s="19" t="n">
        <v>0</v>
      </c>
      <c r="P404" s="19" t="n">
        <v>0</v>
      </c>
      <c r="Q404" s="19" t="n">
        <v>0</v>
      </c>
      <c r="R404" s="19" t="n">
        <v>1</v>
      </c>
      <c r="S404" s="19" t="n">
        <v>0</v>
      </c>
      <c r="T404" s="19" t="n">
        <v>0</v>
      </c>
      <c r="U404" s="19" t="n">
        <v>0</v>
      </c>
      <c r="V404" s="19" t="n">
        <v>0</v>
      </c>
      <c r="W404" s="19" t="n">
        <v>0</v>
      </c>
      <c r="X404" s="19" t="n">
        <v>1</v>
      </c>
      <c r="Y404" s="19" t="n">
        <v>0</v>
      </c>
      <c r="Z404" s="19" t="n">
        <v>0</v>
      </c>
      <c r="AA404" s="19" t="n">
        <v>0</v>
      </c>
      <c r="AB404" s="19" t="n">
        <v>0</v>
      </c>
      <c r="AC404" s="19" t="n">
        <v>0</v>
      </c>
      <c r="AD404" s="19" t="n">
        <v>0</v>
      </c>
      <c r="AE404" s="19" t="n">
        <v>0</v>
      </c>
      <c r="AF404" s="19" t="n">
        <v>0</v>
      </c>
      <c r="AG404" s="19"/>
      <c r="AH404" s="19"/>
    </row>
    <row r="405" customFormat="false" ht="12.75" hidden="false" customHeight="true" outlineLevel="0" collapsed="false">
      <c r="A405" s="16" t="s">
        <v>107</v>
      </c>
      <c r="B405" s="17" t="n">
        <f aca="false">AVERAGE(E405:AE405)</f>
        <v>0.111111111111111</v>
      </c>
      <c r="C405" s="2" t="n">
        <f aca="false">MIN(E405:AE405)</f>
        <v>0</v>
      </c>
      <c r="D405" s="18" t="n">
        <f aca="false">MAX(E405:AE405)</f>
        <v>1</v>
      </c>
      <c r="E405" s="19" t="n">
        <v>0</v>
      </c>
      <c r="F405" s="19" t="n">
        <v>0</v>
      </c>
      <c r="G405" s="19" t="n">
        <v>0</v>
      </c>
      <c r="H405" s="19" t="n">
        <v>0</v>
      </c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1</v>
      </c>
      <c r="N405" s="19" t="n">
        <v>0</v>
      </c>
      <c r="O405" s="19" t="n">
        <v>0</v>
      </c>
      <c r="P405" s="19" t="n">
        <v>0</v>
      </c>
      <c r="Q405" s="19" t="n">
        <v>0</v>
      </c>
      <c r="R405" s="19" t="n">
        <v>1</v>
      </c>
      <c r="S405" s="19" t="n">
        <v>0</v>
      </c>
      <c r="T405" s="19" t="n">
        <v>0</v>
      </c>
      <c r="U405" s="19" t="n">
        <v>0</v>
      </c>
      <c r="V405" s="19" t="n">
        <v>0</v>
      </c>
      <c r="W405" s="19" t="n">
        <v>0</v>
      </c>
      <c r="X405" s="19" t="n">
        <v>1</v>
      </c>
      <c r="Y405" s="19" t="n">
        <v>0</v>
      </c>
      <c r="Z405" s="19" t="n">
        <v>0</v>
      </c>
      <c r="AA405" s="19" t="n">
        <v>0</v>
      </c>
      <c r="AB405" s="19" t="n">
        <v>0</v>
      </c>
      <c r="AC405" s="19" t="n">
        <v>0</v>
      </c>
      <c r="AD405" s="19" t="n">
        <v>0</v>
      </c>
      <c r="AE405" s="19" t="n">
        <v>0</v>
      </c>
      <c r="AF405" s="19" t="n">
        <v>0</v>
      </c>
      <c r="AG405" s="19"/>
      <c r="AH405" s="19"/>
    </row>
    <row r="406" customFormat="false" ht="12.75" hidden="false" customHeight="true" outlineLevel="0" collapsed="false">
      <c r="A406" s="16" t="s">
        <v>110</v>
      </c>
      <c r="B406" s="17" t="n">
        <f aca="false">AVERAGE(E406:AE406)</f>
        <v>0.111111111111111</v>
      </c>
      <c r="C406" s="2" t="n">
        <f aca="false">MIN(E406:AE406)</f>
        <v>0</v>
      </c>
      <c r="D406" s="18" t="n">
        <f aca="false">MAX(E406:AE406)</f>
        <v>1</v>
      </c>
      <c r="E406" s="19" t="n">
        <v>0</v>
      </c>
      <c r="F406" s="19" t="n">
        <v>0</v>
      </c>
      <c r="G406" s="19" t="n">
        <v>0</v>
      </c>
      <c r="H406" s="19" t="n">
        <v>0</v>
      </c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1</v>
      </c>
      <c r="N406" s="19" t="n">
        <v>0</v>
      </c>
      <c r="O406" s="19" t="n">
        <v>0</v>
      </c>
      <c r="P406" s="19" t="n">
        <v>0</v>
      </c>
      <c r="Q406" s="19" t="n">
        <v>0</v>
      </c>
      <c r="R406" s="19" t="n">
        <v>1</v>
      </c>
      <c r="S406" s="19" t="n">
        <v>0</v>
      </c>
      <c r="T406" s="19" t="n">
        <v>0</v>
      </c>
      <c r="U406" s="19" t="n">
        <v>0</v>
      </c>
      <c r="V406" s="19" t="n">
        <v>0</v>
      </c>
      <c r="W406" s="19" t="n">
        <v>0</v>
      </c>
      <c r="X406" s="19" t="n">
        <v>1</v>
      </c>
      <c r="Y406" s="19" t="n">
        <v>0</v>
      </c>
      <c r="Z406" s="19" t="n">
        <v>0</v>
      </c>
      <c r="AA406" s="19" t="n">
        <v>0</v>
      </c>
      <c r="AB406" s="19" t="n">
        <v>0</v>
      </c>
      <c r="AC406" s="19" t="n">
        <v>0</v>
      </c>
      <c r="AD406" s="19" t="n">
        <v>0</v>
      </c>
      <c r="AE406" s="19" t="n">
        <v>0</v>
      </c>
      <c r="AF406" s="19" t="n">
        <v>0</v>
      </c>
      <c r="AG406" s="19"/>
      <c r="AH406" s="19"/>
    </row>
    <row r="407" customFormat="false" ht="12.75" hidden="false" customHeight="true" outlineLevel="0" collapsed="false">
      <c r="A407" s="16" t="s">
        <v>112</v>
      </c>
      <c r="B407" s="17" t="n">
        <f aca="false">AVERAGE(E407:AE407)</f>
        <v>0.111111111111111</v>
      </c>
      <c r="C407" s="2" t="n">
        <f aca="false">MIN(E407:AE407)</f>
        <v>0</v>
      </c>
      <c r="D407" s="18" t="n">
        <f aca="false">MAX(E407:AE407)</f>
        <v>1</v>
      </c>
      <c r="E407" s="19" t="n">
        <v>0</v>
      </c>
      <c r="F407" s="19" t="n">
        <v>0</v>
      </c>
      <c r="G407" s="19" t="n">
        <v>0</v>
      </c>
      <c r="H407" s="19" t="n">
        <v>0</v>
      </c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1</v>
      </c>
      <c r="N407" s="19" t="n">
        <v>0</v>
      </c>
      <c r="O407" s="19" t="n">
        <v>0</v>
      </c>
      <c r="P407" s="19" t="n">
        <v>0</v>
      </c>
      <c r="Q407" s="19" t="n">
        <v>0</v>
      </c>
      <c r="R407" s="19" t="n">
        <v>1</v>
      </c>
      <c r="S407" s="19" t="n">
        <v>0</v>
      </c>
      <c r="T407" s="19" t="n">
        <v>0</v>
      </c>
      <c r="U407" s="19" t="n">
        <v>0</v>
      </c>
      <c r="V407" s="19" t="n">
        <v>0</v>
      </c>
      <c r="W407" s="19" t="n">
        <v>0</v>
      </c>
      <c r="X407" s="19" t="n">
        <v>1</v>
      </c>
      <c r="Y407" s="19" t="n">
        <v>0</v>
      </c>
      <c r="Z407" s="19" t="n">
        <v>0</v>
      </c>
      <c r="AA407" s="19" t="n">
        <v>0</v>
      </c>
      <c r="AB407" s="19" t="n">
        <v>0</v>
      </c>
      <c r="AC407" s="19" t="n">
        <v>0</v>
      </c>
      <c r="AD407" s="19" t="n">
        <v>0</v>
      </c>
      <c r="AE407" s="19" t="n">
        <v>0</v>
      </c>
      <c r="AF407" s="19" t="n">
        <v>0</v>
      </c>
      <c r="AG407" s="19"/>
      <c r="AH407" s="19"/>
    </row>
    <row r="408" customFormat="false" ht="12.75" hidden="false" customHeight="true" outlineLevel="0" collapsed="false">
      <c r="A408" s="16" t="s">
        <v>115</v>
      </c>
      <c r="B408" s="17" t="n">
        <f aca="false">AVERAGE(E408:AE408)</f>
        <v>0.111111111111111</v>
      </c>
      <c r="C408" s="2" t="n">
        <f aca="false">MIN(E408:AE408)</f>
        <v>0</v>
      </c>
      <c r="D408" s="18" t="n">
        <f aca="false">MAX(E408:AE408)</f>
        <v>1</v>
      </c>
      <c r="E408" s="19" t="n">
        <v>0</v>
      </c>
      <c r="F408" s="19" t="n">
        <v>0</v>
      </c>
      <c r="G408" s="19" t="n">
        <v>0</v>
      </c>
      <c r="H408" s="19" t="n">
        <v>0</v>
      </c>
      <c r="I408" s="19" t="n">
        <v>0</v>
      </c>
      <c r="J408" s="19" t="n">
        <v>0</v>
      </c>
      <c r="K408" s="19" t="n">
        <v>0</v>
      </c>
      <c r="L408" s="19" t="n">
        <v>0</v>
      </c>
      <c r="M408" s="19" t="n">
        <v>1</v>
      </c>
      <c r="N408" s="19" t="n">
        <v>0</v>
      </c>
      <c r="O408" s="19" t="n">
        <v>0</v>
      </c>
      <c r="P408" s="19" t="n">
        <v>0</v>
      </c>
      <c r="Q408" s="19" t="n">
        <v>0</v>
      </c>
      <c r="R408" s="19" t="n">
        <v>1</v>
      </c>
      <c r="S408" s="19" t="n">
        <v>0</v>
      </c>
      <c r="T408" s="19" t="n">
        <v>0</v>
      </c>
      <c r="U408" s="19" t="n">
        <v>0</v>
      </c>
      <c r="V408" s="19" t="n">
        <v>0</v>
      </c>
      <c r="W408" s="19" t="n">
        <v>0</v>
      </c>
      <c r="X408" s="19" t="n">
        <v>1</v>
      </c>
      <c r="Y408" s="19" t="n">
        <v>0</v>
      </c>
      <c r="Z408" s="19" t="n">
        <v>0</v>
      </c>
      <c r="AA408" s="19" t="n">
        <v>0</v>
      </c>
      <c r="AB408" s="19" t="n">
        <v>0</v>
      </c>
      <c r="AC408" s="19" t="n">
        <v>0</v>
      </c>
      <c r="AD408" s="19" t="n">
        <v>0</v>
      </c>
      <c r="AE408" s="19" t="n">
        <v>0</v>
      </c>
      <c r="AF408" s="19" t="n">
        <v>0</v>
      </c>
      <c r="AG408" s="19"/>
      <c r="AH408" s="19"/>
    </row>
    <row r="409" customFormat="false" ht="12.75" hidden="false" customHeight="true" outlineLevel="0" collapsed="false">
      <c r="A409" s="16" t="s">
        <v>117</v>
      </c>
      <c r="B409" s="17" t="n">
        <f aca="false">AVERAGE(E409:AE409)</f>
        <v>0.111111111111111</v>
      </c>
      <c r="C409" s="2" t="n">
        <f aca="false">MIN(E409:AE409)</f>
        <v>0</v>
      </c>
      <c r="D409" s="18" t="n">
        <f aca="false">MAX(E409:AE409)</f>
        <v>1</v>
      </c>
      <c r="E409" s="19" t="n">
        <v>0</v>
      </c>
      <c r="F409" s="19" t="n">
        <v>0</v>
      </c>
      <c r="G409" s="19" t="n">
        <v>0</v>
      </c>
      <c r="H409" s="19" t="n">
        <v>0</v>
      </c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1</v>
      </c>
      <c r="N409" s="19" t="n">
        <v>0</v>
      </c>
      <c r="O409" s="19" t="n">
        <v>0</v>
      </c>
      <c r="P409" s="19" t="n">
        <v>0</v>
      </c>
      <c r="Q409" s="19" t="n">
        <v>0</v>
      </c>
      <c r="R409" s="19" t="n">
        <v>1</v>
      </c>
      <c r="S409" s="19" t="n">
        <v>0</v>
      </c>
      <c r="T409" s="19" t="n">
        <v>0</v>
      </c>
      <c r="U409" s="19" t="n">
        <v>0</v>
      </c>
      <c r="V409" s="19" t="n">
        <v>0</v>
      </c>
      <c r="W409" s="19" t="n">
        <v>0</v>
      </c>
      <c r="X409" s="19" t="n">
        <v>1</v>
      </c>
      <c r="Y409" s="19" t="n">
        <v>0</v>
      </c>
      <c r="Z409" s="19" t="n">
        <v>0</v>
      </c>
      <c r="AA409" s="19" t="n">
        <v>0</v>
      </c>
      <c r="AB409" s="19" t="n">
        <v>0</v>
      </c>
      <c r="AC409" s="19" t="n">
        <v>0</v>
      </c>
      <c r="AD409" s="19" t="n">
        <v>0</v>
      </c>
      <c r="AE409" s="19" t="n">
        <v>0</v>
      </c>
      <c r="AF409" s="19" t="n">
        <v>0</v>
      </c>
      <c r="AG409" s="19"/>
      <c r="AH409" s="19"/>
    </row>
    <row r="410" customFormat="false" ht="12.75" hidden="false" customHeight="true" outlineLevel="0" collapsed="false">
      <c r="A410" s="16" t="s">
        <v>119</v>
      </c>
      <c r="B410" s="17" t="n">
        <f aca="false">AVERAGE(E410:AE410)</f>
        <v>0.111111111111111</v>
      </c>
      <c r="C410" s="2" t="n">
        <f aca="false">MIN(E410:AE410)</f>
        <v>0</v>
      </c>
      <c r="D410" s="18" t="n">
        <f aca="false">MAX(E410:AE410)</f>
        <v>1</v>
      </c>
      <c r="E410" s="19" t="n">
        <v>0</v>
      </c>
      <c r="F410" s="19" t="n">
        <v>0</v>
      </c>
      <c r="G410" s="19" t="n">
        <v>0</v>
      </c>
      <c r="H410" s="19" t="n">
        <v>0</v>
      </c>
      <c r="I410" s="19" t="n">
        <v>0</v>
      </c>
      <c r="J410" s="19" t="n">
        <v>0</v>
      </c>
      <c r="K410" s="19" t="n">
        <v>0</v>
      </c>
      <c r="L410" s="19" t="n">
        <v>0</v>
      </c>
      <c r="M410" s="19" t="n">
        <v>1</v>
      </c>
      <c r="N410" s="19" t="n">
        <v>0</v>
      </c>
      <c r="O410" s="19" t="n">
        <v>0</v>
      </c>
      <c r="P410" s="19" t="n">
        <v>0</v>
      </c>
      <c r="Q410" s="19" t="n">
        <v>0</v>
      </c>
      <c r="R410" s="19" t="n">
        <v>1</v>
      </c>
      <c r="S410" s="19" t="n">
        <v>0</v>
      </c>
      <c r="T410" s="19" t="n">
        <v>0</v>
      </c>
      <c r="U410" s="19" t="n">
        <v>0</v>
      </c>
      <c r="V410" s="19" t="n">
        <v>0</v>
      </c>
      <c r="W410" s="19" t="n">
        <v>0</v>
      </c>
      <c r="X410" s="19" t="n">
        <v>1</v>
      </c>
      <c r="Y410" s="19" t="n">
        <v>0</v>
      </c>
      <c r="Z410" s="19" t="n">
        <v>0</v>
      </c>
      <c r="AA410" s="19" t="n">
        <v>0</v>
      </c>
      <c r="AB410" s="19" t="n">
        <v>0</v>
      </c>
      <c r="AC410" s="19" t="n">
        <v>0</v>
      </c>
      <c r="AD410" s="19" t="n">
        <v>0</v>
      </c>
      <c r="AE410" s="19" t="n">
        <v>0</v>
      </c>
      <c r="AF410" s="19" t="n">
        <v>0</v>
      </c>
      <c r="AG410" s="19"/>
      <c r="AH410" s="19"/>
    </row>
    <row r="411" customFormat="false" ht="12.75" hidden="false" customHeight="true" outlineLevel="0" collapsed="false">
      <c r="A411" s="16" t="s">
        <v>122</v>
      </c>
      <c r="B411" s="17" t="n">
        <f aca="false">AVERAGE(E411:AE411)</f>
        <v>0.111111111111111</v>
      </c>
      <c r="C411" s="2" t="n">
        <f aca="false">MIN(E411:AE411)</f>
        <v>0</v>
      </c>
      <c r="D411" s="18" t="n">
        <f aca="false">MAX(E411:AE411)</f>
        <v>1</v>
      </c>
      <c r="E411" s="19" t="n">
        <v>0</v>
      </c>
      <c r="F411" s="19" t="n">
        <v>0</v>
      </c>
      <c r="G411" s="19" t="n">
        <v>0</v>
      </c>
      <c r="H411" s="19" t="n">
        <v>0</v>
      </c>
      <c r="I411" s="19" t="n">
        <v>0</v>
      </c>
      <c r="J411" s="19" t="n">
        <v>0</v>
      </c>
      <c r="K411" s="19" t="n">
        <v>0</v>
      </c>
      <c r="L411" s="19" t="n">
        <v>0</v>
      </c>
      <c r="M411" s="19" t="n">
        <v>1</v>
      </c>
      <c r="N411" s="19" t="n">
        <v>0</v>
      </c>
      <c r="O411" s="19" t="n">
        <v>0</v>
      </c>
      <c r="P411" s="19" t="n">
        <v>0</v>
      </c>
      <c r="Q411" s="19" t="n">
        <v>0</v>
      </c>
      <c r="R411" s="19" t="n">
        <v>1</v>
      </c>
      <c r="S411" s="19" t="n">
        <v>0</v>
      </c>
      <c r="T411" s="19" t="n">
        <v>0</v>
      </c>
      <c r="U411" s="19" t="n">
        <v>0</v>
      </c>
      <c r="V411" s="19" t="n">
        <v>0</v>
      </c>
      <c r="W411" s="19" t="n">
        <v>0</v>
      </c>
      <c r="X411" s="19" t="n">
        <v>1</v>
      </c>
      <c r="Y411" s="19" t="n">
        <v>0</v>
      </c>
      <c r="Z411" s="19" t="n">
        <v>0</v>
      </c>
      <c r="AA411" s="19" t="n">
        <v>0</v>
      </c>
      <c r="AB411" s="19" t="n">
        <v>0</v>
      </c>
      <c r="AC411" s="19" t="n">
        <v>0</v>
      </c>
      <c r="AD411" s="19" t="n">
        <v>0</v>
      </c>
      <c r="AE411" s="19" t="n">
        <v>0</v>
      </c>
      <c r="AF411" s="19" t="n">
        <v>0</v>
      </c>
      <c r="AG411" s="19"/>
      <c r="AH411" s="19"/>
    </row>
    <row r="412" customFormat="false" ht="12.75" hidden="false" customHeight="true" outlineLevel="0" collapsed="false">
      <c r="A412" s="16" t="s">
        <v>124</v>
      </c>
      <c r="B412" s="17" t="n">
        <f aca="false">AVERAGE(E412:AE412)</f>
        <v>0.111111111111111</v>
      </c>
      <c r="C412" s="2" t="n">
        <f aca="false">MIN(E412:AE412)</f>
        <v>0</v>
      </c>
      <c r="D412" s="18" t="n">
        <f aca="false">MAX(E412:AE412)</f>
        <v>1</v>
      </c>
      <c r="E412" s="19" t="n">
        <v>0</v>
      </c>
      <c r="F412" s="19" t="n">
        <v>0</v>
      </c>
      <c r="G412" s="19" t="n">
        <v>0</v>
      </c>
      <c r="H412" s="19" t="n">
        <v>0</v>
      </c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1</v>
      </c>
      <c r="N412" s="19" t="n">
        <v>0</v>
      </c>
      <c r="O412" s="19" t="n">
        <v>0</v>
      </c>
      <c r="P412" s="19" t="n">
        <v>0</v>
      </c>
      <c r="Q412" s="19" t="n">
        <v>0</v>
      </c>
      <c r="R412" s="19" t="n">
        <v>1</v>
      </c>
      <c r="S412" s="19" t="n">
        <v>0</v>
      </c>
      <c r="T412" s="19" t="n">
        <v>0</v>
      </c>
      <c r="U412" s="19" t="n">
        <v>0</v>
      </c>
      <c r="V412" s="19" t="n">
        <v>0</v>
      </c>
      <c r="W412" s="19" t="n">
        <v>0</v>
      </c>
      <c r="X412" s="19" t="n">
        <v>1</v>
      </c>
      <c r="Y412" s="19" t="n">
        <v>0</v>
      </c>
      <c r="Z412" s="19" t="n">
        <v>0</v>
      </c>
      <c r="AA412" s="19" t="n">
        <v>0</v>
      </c>
      <c r="AB412" s="19" t="n">
        <v>0</v>
      </c>
      <c r="AC412" s="19" t="n">
        <v>0</v>
      </c>
      <c r="AD412" s="19" t="n">
        <v>0</v>
      </c>
      <c r="AE412" s="19" t="n">
        <v>0</v>
      </c>
      <c r="AF412" s="19" t="n">
        <v>0</v>
      </c>
      <c r="AG412" s="19"/>
      <c r="AH412" s="19"/>
    </row>
    <row r="413" customFormat="false" ht="12.75" hidden="false" customHeight="true" outlineLevel="0" collapsed="false">
      <c r="A413" s="16" t="s">
        <v>127</v>
      </c>
      <c r="B413" s="17" t="n">
        <f aca="false">AVERAGE(E413:AE413)</f>
        <v>0.111111111111111</v>
      </c>
      <c r="C413" s="2" t="n">
        <f aca="false">MIN(E413:AE413)</f>
        <v>0</v>
      </c>
      <c r="D413" s="18" t="n">
        <f aca="false">MAX(E413:AE413)</f>
        <v>1</v>
      </c>
      <c r="E413" s="19" t="n">
        <v>0</v>
      </c>
      <c r="F413" s="19" t="n">
        <v>0</v>
      </c>
      <c r="G413" s="19" t="n">
        <v>0</v>
      </c>
      <c r="H413" s="19" t="n">
        <v>0</v>
      </c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1</v>
      </c>
      <c r="N413" s="19" t="n">
        <v>0</v>
      </c>
      <c r="O413" s="19" t="n">
        <v>0</v>
      </c>
      <c r="P413" s="19" t="n">
        <v>0</v>
      </c>
      <c r="Q413" s="19" t="n">
        <v>0</v>
      </c>
      <c r="R413" s="19" t="n">
        <v>1</v>
      </c>
      <c r="S413" s="19" t="n">
        <v>0</v>
      </c>
      <c r="T413" s="19" t="n">
        <v>0</v>
      </c>
      <c r="U413" s="19" t="n">
        <v>0</v>
      </c>
      <c r="V413" s="19" t="n">
        <v>0</v>
      </c>
      <c r="W413" s="19" t="n">
        <v>0</v>
      </c>
      <c r="X413" s="19" t="n">
        <v>1</v>
      </c>
      <c r="Y413" s="19" t="n">
        <v>0</v>
      </c>
      <c r="Z413" s="19" t="n">
        <v>0</v>
      </c>
      <c r="AA413" s="19" t="n">
        <v>0</v>
      </c>
      <c r="AB413" s="19" t="n">
        <v>0</v>
      </c>
      <c r="AC413" s="19" t="n">
        <v>0</v>
      </c>
      <c r="AD413" s="19" t="n">
        <v>0</v>
      </c>
      <c r="AE413" s="19" t="n">
        <v>0</v>
      </c>
      <c r="AF413" s="19" t="n">
        <v>0</v>
      </c>
      <c r="AG413" s="19"/>
      <c r="AH413" s="19"/>
    </row>
    <row r="414" customFormat="false" ht="12.75" hidden="false" customHeight="true" outlineLevel="0" collapsed="false">
      <c r="A414" s="16" t="s">
        <v>144</v>
      </c>
      <c r="B414" s="17" t="n">
        <f aca="false">AVERAGE(E414:AE414)</f>
        <v>0.111111111111111</v>
      </c>
      <c r="C414" s="2" t="n">
        <f aca="false">MIN(E414:AE414)</f>
        <v>0</v>
      </c>
      <c r="D414" s="18" t="n">
        <f aca="false">MAX(E414:AE414)</f>
        <v>1</v>
      </c>
      <c r="E414" s="19" t="n">
        <v>0</v>
      </c>
      <c r="F414" s="19" t="n">
        <v>0</v>
      </c>
      <c r="G414" s="19" t="n">
        <v>0</v>
      </c>
      <c r="H414" s="19" t="n">
        <v>0</v>
      </c>
      <c r="I414" s="19" t="n">
        <v>0</v>
      </c>
      <c r="J414" s="19" t="n">
        <v>0</v>
      </c>
      <c r="K414" s="19" t="n">
        <v>0</v>
      </c>
      <c r="L414" s="19" t="n">
        <v>0</v>
      </c>
      <c r="M414" s="19" t="n">
        <v>1</v>
      </c>
      <c r="N414" s="19" t="n">
        <v>0</v>
      </c>
      <c r="O414" s="19" t="n">
        <v>0</v>
      </c>
      <c r="P414" s="19" t="n">
        <v>0</v>
      </c>
      <c r="Q414" s="19" t="n">
        <v>0</v>
      </c>
      <c r="R414" s="19" t="n">
        <v>1</v>
      </c>
      <c r="S414" s="19" t="n">
        <v>0</v>
      </c>
      <c r="T414" s="19" t="n">
        <v>0</v>
      </c>
      <c r="U414" s="19" t="n">
        <v>0</v>
      </c>
      <c r="V414" s="19" t="n">
        <v>0</v>
      </c>
      <c r="W414" s="19" t="n">
        <v>0</v>
      </c>
      <c r="X414" s="19" t="n">
        <v>1</v>
      </c>
      <c r="Y414" s="19" t="n">
        <v>0</v>
      </c>
      <c r="Z414" s="19" t="n">
        <v>0</v>
      </c>
      <c r="AA414" s="19" t="n">
        <v>0</v>
      </c>
      <c r="AB414" s="19" t="n">
        <v>0</v>
      </c>
      <c r="AC414" s="19" t="n">
        <v>0</v>
      </c>
      <c r="AD414" s="19" t="n">
        <v>0</v>
      </c>
      <c r="AE414" s="19" t="n">
        <v>0</v>
      </c>
      <c r="AF414" s="19" t="n">
        <v>0</v>
      </c>
      <c r="AG414" s="19"/>
      <c r="AH414" s="19"/>
    </row>
    <row r="415" customFormat="false" ht="12.75" hidden="false" customHeight="true" outlineLevel="0" collapsed="false">
      <c r="A415" s="16" t="s">
        <v>147</v>
      </c>
      <c r="B415" s="17" t="n">
        <f aca="false">AVERAGE(E415:AE415)</f>
        <v>0.111111111111111</v>
      </c>
      <c r="C415" s="2" t="n">
        <f aca="false">MIN(E415:AE415)</f>
        <v>0</v>
      </c>
      <c r="D415" s="18" t="n">
        <f aca="false">MAX(E415:AE415)</f>
        <v>1</v>
      </c>
      <c r="E415" s="19" t="n">
        <v>0</v>
      </c>
      <c r="F415" s="19" t="n">
        <v>0</v>
      </c>
      <c r="G415" s="19" t="n">
        <v>0</v>
      </c>
      <c r="H415" s="19" t="n">
        <v>0</v>
      </c>
      <c r="I415" s="19" t="n">
        <v>0</v>
      </c>
      <c r="J415" s="19" t="n">
        <v>0</v>
      </c>
      <c r="K415" s="19" t="n">
        <v>0</v>
      </c>
      <c r="L415" s="19" t="n">
        <v>0</v>
      </c>
      <c r="M415" s="19" t="n">
        <v>1</v>
      </c>
      <c r="N415" s="19" t="n">
        <v>0</v>
      </c>
      <c r="O415" s="19" t="n">
        <v>0</v>
      </c>
      <c r="P415" s="19" t="n">
        <v>0</v>
      </c>
      <c r="Q415" s="19" t="n">
        <v>0</v>
      </c>
      <c r="R415" s="19" t="n">
        <v>1</v>
      </c>
      <c r="S415" s="19" t="n">
        <v>0</v>
      </c>
      <c r="T415" s="19" t="n">
        <v>0</v>
      </c>
      <c r="U415" s="19" t="n">
        <v>0</v>
      </c>
      <c r="V415" s="19" t="n">
        <v>0</v>
      </c>
      <c r="W415" s="19" t="n">
        <v>0</v>
      </c>
      <c r="X415" s="19" t="n">
        <v>1</v>
      </c>
      <c r="Y415" s="19" t="n">
        <v>0</v>
      </c>
      <c r="Z415" s="19" t="n">
        <v>0</v>
      </c>
      <c r="AA415" s="19" t="n">
        <v>0</v>
      </c>
      <c r="AB415" s="19" t="n">
        <v>0</v>
      </c>
      <c r="AC415" s="19" t="n">
        <v>0</v>
      </c>
      <c r="AD415" s="19" t="n">
        <v>0</v>
      </c>
      <c r="AE415" s="19" t="n">
        <v>0</v>
      </c>
      <c r="AF415" s="19" t="n">
        <v>0</v>
      </c>
      <c r="AG415" s="19"/>
      <c r="AH415" s="19"/>
    </row>
    <row r="416" customFormat="false" ht="12.75" hidden="false" customHeight="true" outlineLevel="0" collapsed="false">
      <c r="A416" s="16" t="s">
        <v>149</v>
      </c>
      <c r="B416" s="17" t="n">
        <f aca="false">AVERAGE(E416:AE416)</f>
        <v>0.111111111111111</v>
      </c>
      <c r="C416" s="2" t="n">
        <f aca="false">MIN(E416:AE416)</f>
        <v>0</v>
      </c>
      <c r="D416" s="18" t="n">
        <f aca="false">MAX(E416:AE416)</f>
        <v>1</v>
      </c>
      <c r="E416" s="19" t="n">
        <v>0</v>
      </c>
      <c r="F416" s="19" t="n">
        <v>0</v>
      </c>
      <c r="G416" s="19" t="n">
        <v>0</v>
      </c>
      <c r="H416" s="19" t="n">
        <v>0</v>
      </c>
      <c r="I416" s="19" t="n">
        <v>0</v>
      </c>
      <c r="J416" s="19" t="n">
        <v>0</v>
      </c>
      <c r="K416" s="19" t="n">
        <v>0</v>
      </c>
      <c r="L416" s="19" t="n">
        <v>0</v>
      </c>
      <c r="M416" s="19" t="n">
        <v>1</v>
      </c>
      <c r="N416" s="19" t="n">
        <v>0</v>
      </c>
      <c r="O416" s="19" t="n">
        <v>0</v>
      </c>
      <c r="P416" s="19" t="n">
        <v>0</v>
      </c>
      <c r="Q416" s="19" t="n">
        <v>0</v>
      </c>
      <c r="R416" s="19" t="n">
        <v>1</v>
      </c>
      <c r="S416" s="19" t="n">
        <v>0</v>
      </c>
      <c r="T416" s="19" t="n">
        <v>0</v>
      </c>
      <c r="U416" s="19" t="n">
        <v>0</v>
      </c>
      <c r="V416" s="19" t="n">
        <v>0</v>
      </c>
      <c r="W416" s="19" t="n">
        <v>0</v>
      </c>
      <c r="X416" s="19" t="n">
        <v>1</v>
      </c>
      <c r="Y416" s="19" t="n">
        <v>0</v>
      </c>
      <c r="Z416" s="19" t="n">
        <v>0</v>
      </c>
      <c r="AA416" s="19" t="n">
        <v>0</v>
      </c>
      <c r="AB416" s="19" t="n">
        <v>0</v>
      </c>
      <c r="AC416" s="19" t="n">
        <v>0</v>
      </c>
      <c r="AD416" s="19" t="n">
        <v>0</v>
      </c>
      <c r="AE416" s="19" t="n">
        <v>0</v>
      </c>
      <c r="AF416" s="19" t="n">
        <v>0</v>
      </c>
      <c r="AG416" s="19"/>
      <c r="AH416" s="19"/>
    </row>
    <row r="417" customFormat="false" ht="12.75" hidden="false" customHeight="true" outlineLevel="0" collapsed="false">
      <c r="A417" s="16" t="s">
        <v>151</v>
      </c>
      <c r="B417" s="17" t="n">
        <f aca="false">AVERAGE(E417:AE417)</f>
        <v>0.111111111111111</v>
      </c>
      <c r="C417" s="2" t="n">
        <f aca="false">MIN(E417:AE417)</f>
        <v>0</v>
      </c>
      <c r="D417" s="18" t="n">
        <f aca="false">MAX(E417:AE417)</f>
        <v>1</v>
      </c>
      <c r="E417" s="19" t="n">
        <v>0</v>
      </c>
      <c r="F417" s="19" t="n">
        <v>0</v>
      </c>
      <c r="G417" s="19" t="n">
        <v>0</v>
      </c>
      <c r="H417" s="19" t="n">
        <v>0</v>
      </c>
      <c r="I417" s="19" t="n">
        <v>0</v>
      </c>
      <c r="J417" s="19" t="n">
        <v>0</v>
      </c>
      <c r="K417" s="19" t="n">
        <v>0</v>
      </c>
      <c r="L417" s="19" t="n">
        <v>0</v>
      </c>
      <c r="M417" s="19" t="n">
        <v>1</v>
      </c>
      <c r="N417" s="19" t="n">
        <v>0</v>
      </c>
      <c r="O417" s="19" t="n">
        <v>0</v>
      </c>
      <c r="P417" s="19" t="n">
        <v>0</v>
      </c>
      <c r="Q417" s="19" t="n">
        <v>0</v>
      </c>
      <c r="R417" s="19" t="n">
        <v>1</v>
      </c>
      <c r="S417" s="19" t="n">
        <v>0</v>
      </c>
      <c r="T417" s="19" t="n">
        <v>0</v>
      </c>
      <c r="U417" s="19" t="n">
        <v>0</v>
      </c>
      <c r="V417" s="19" t="n">
        <v>0</v>
      </c>
      <c r="W417" s="19" t="n">
        <v>0</v>
      </c>
      <c r="X417" s="19" t="n">
        <v>1</v>
      </c>
      <c r="Y417" s="19" t="n">
        <v>0</v>
      </c>
      <c r="Z417" s="19" t="n">
        <v>0</v>
      </c>
      <c r="AA417" s="19" t="n">
        <v>0</v>
      </c>
      <c r="AB417" s="19" t="n">
        <v>0</v>
      </c>
      <c r="AC417" s="19" t="n">
        <v>0</v>
      </c>
      <c r="AD417" s="19" t="n">
        <v>0</v>
      </c>
      <c r="AE417" s="19" t="n">
        <v>0</v>
      </c>
      <c r="AF417" s="19" t="n">
        <v>0</v>
      </c>
      <c r="AG417" s="19"/>
      <c r="AH417" s="19"/>
    </row>
    <row r="418" customFormat="false" ht="12.75" hidden="false" customHeight="true" outlineLevel="0" collapsed="false">
      <c r="A418" s="16" t="s">
        <v>154</v>
      </c>
      <c r="B418" s="17" t="n">
        <f aca="false">AVERAGE(E418:AE418)</f>
        <v>0.111111111111111</v>
      </c>
      <c r="C418" s="2" t="n">
        <f aca="false">MIN(E418:AE418)</f>
        <v>0</v>
      </c>
      <c r="D418" s="18" t="n">
        <f aca="false">MAX(E418:AE418)</f>
        <v>1</v>
      </c>
      <c r="E418" s="19" t="n">
        <v>0</v>
      </c>
      <c r="F418" s="19" t="n">
        <v>0</v>
      </c>
      <c r="G418" s="19" t="n">
        <v>0</v>
      </c>
      <c r="H418" s="19" t="n">
        <v>0</v>
      </c>
      <c r="I418" s="19" t="n">
        <v>0</v>
      </c>
      <c r="J418" s="19" t="n">
        <v>0</v>
      </c>
      <c r="K418" s="19" t="n">
        <v>0</v>
      </c>
      <c r="L418" s="19" t="n">
        <v>0</v>
      </c>
      <c r="M418" s="19" t="n">
        <v>1</v>
      </c>
      <c r="N418" s="19" t="n">
        <v>0</v>
      </c>
      <c r="O418" s="19" t="n">
        <v>0</v>
      </c>
      <c r="P418" s="19" t="n">
        <v>0</v>
      </c>
      <c r="Q418" s="19" t="n">
        <v>0</v>
      </c>
      <c r="R418" s="19" t="n">
        <v>1</v>
      </c>
      <c r="S418" s="19" t="n">
        <v>0</v>
      </c>
      <c r="T418" s="19" t="n">
        <v>0</v>
      </c>
      <c r="U418" s="19" t="n">
        <v>0</v>
      </c>
      <c r="V418" s="19" t="n">
        <v>0</v>
      </c>
      <c r="W418" s="19" t="n">
        <v>0</v>
      </c>
      <c r="X418" s="19" t="n">
        <v>1</v>
      </c>
      <c r="Y418" s="19" t="n">
        <v>0</v>
      </c>
      <c r="Z418" s="19" t="n">
        <v>0</v>
      </c>
      <c r="AA418" s="19" t="n">
        <v>0</v>
      </c>
      <c r="AB418" s="19" t="n">
        <v>0</v>
      </c>
      <c r="AC418" s="19" t="n">
        <v>0</v>
      </c>
      <c r="AD418" s="19" t="n">
        <v>0</v>
      </c>
      <c r="AE418" s="19" t="n">
        <v>0</v>
      </c>
      <c r="AF418" s="19" t="n">
        <v>0</v>
      </c>
      <c r="AG418" s="19"/>
      <c r="AH418" s="19"/>
    </row>
    <row r="419" customFormat="false" ht="12.75" hidden="false" customHeight="true" outlineLevel="0" collapsed="false">
      <c r="A419" s="16" t="s">
        <v>156</v>
      </c>
      <c r="B419" s="17" t="n">
        <f aca="false">AVERAGE(E419:AE419)</f>
        <v>0.111111111111111</v>
      </c>
      <c r="C419" s="2" t="n">
        <f aca="false">MIN(E419:AE419)</f>
        <v>0</v>
      </c>
      <c r="D419" s="18" t="n">
        <f aca="false">MAX(E419:AE419)</f>
        <v>1</v>
      </c>
      <c r="E419" s="19" t="n">
        <v>0</v>
      </c>
      <c r="F419" s="19" t="n">
        <v>0</v>
      </c>
      <c r="G419" s="19" t="n">
        <v>0</v>
      </c>
      <c r="H419" s="19" t="n">
        <v>0</v>
      </c>
      <c r="I419" s="19" t="n">
        <v>0</v>
      </c>
      <c r="J419" s="19" t="n">
        <v>0</v>
      </c>
      <c r="K419" s="19" t="n">
        <v>0</v>
      </c>
      <c r="L419" s="19" t="n">
        <v>0</v>
      </c>
      <c r="M419" s="19" t="n">
        <v>1</v>
      </c>
      <c r="N419" s="19" t="n">
        <v>0</v>
      </c>
      <c r="O419" s="19" t="n">
        <v>0</v>
      </c>
      <c r="P419" s="19" t="n">
        <v>0</v>
      </c>
      <c r="Q419" s="19" t="n">
        <v>0</v>
      </c>
      <c r="R419" s="19" t="n">
        <v>1</v>
      </c>
      <c r="S419" s="19" t="n">
        <v>0</v>
      </c>
      <c r="T419" s="19" t="n">
        <v>0</v>
      </c>
      <c r="U419" s="19" t="n">
        <v>0</v>
      </c>
      <c r="V419" s="19" t="n">
        <v>0</v>
      </c>
      <c r="W419" s="19" t="n">
        <v>0</v>
      </c>
      <c r="X419" s="19" t="n">
        <v>1</v>
      </c>
      <c r="Y419" s="19" t="n">
        <v>0</v>
      </c>
      <c r="Z419" s="19" t="n">
        <v>0</v>
      </c>
      <c r="AA419" s="19" t="n">
        <v>0</v>
      </c>
      <c r="AB419" s="19" t="n">
        <v>0</v>
      </c>
      <c r="AC419" s="19" t="n">
        <v>0</v>
      </c>
      <c r="AD419" s="19" t="n">
        <v>0</v>
      </c>
      <c r="AE419" s="19" t="n">
        <v>0</v>
      </c>
      <c r="AF419" s="19" t="n">
        <v>0</v>
      </c>
      <c r="AG419" s="19"/>
      <c r="AH419" s="19"/>
    </row>
    <row r="420" customFormat="false" ht="12.75" hidden="false" customHeight="true" outlineLevel="0" collapsed="false">
      <c r="A420" s="16" t="s">
        <v>157</v>
      </c>
      <c r="B420" s="17" t="n">
        <f aca="false">AVERAGE(E420:AE420)</f>
        <v>0.111111111111111</v>
      </c>
      <c r="C420" s="2" t="n">
        <f aca="false">MIN(E420:AE420)</f>
        <v>0</v>
      </c>
      <c r="D420" s="18" t="n">
        <f aca="false">MAX(E420:AE420)</f>
        <v>1</v>
      </c>
      <c r="E420" s="19" t="n">
        <v>0</v>
      </c>
      <c r="F420" s="19" t="n">
        <v>0</v>
      </c>
      <c r="G420" s="19" t="n">
        <v>0</v>
      </c>
      <c r="H420" s="19" t="n">
        <v>0</v>
      </c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1</v>
      </c>
      <c r="N420" s="19" t="n">
        <v>0</v>
      </c>
      <c r="O420" s="19" t="n">
        <v>0</v>
      </c>
      <c r="P420" s="19" t="n">
        <v>0</v>
      </c>
      <c r="Q420" s="19" t="n">
        <v>0</v>
      </c>
      <c r="R420" s="19" t="n">
        <v>1</v>
      </c>
      <c r="S420" s="19" t="n">
        <v>0</v>
      </c>
      <c r="T420" s="19" t="n">
        <v>0</v>
      </c>
      <c r="U420" s="19" t="n">
        <v>0</v>
      </c>
      <c r="V420" s="19" t="n">
        <v>0</v>
      </c>
      <c r="W420" s="19" t="n">
        <v>0</v>
      </c>
      <c r="X420" s="19" t="n">
        <v>1</v>
      </c>
      <c r="Y420" s="19" t="n">
        <v>0</v>
      </c>
      <c r="Z420" s="19" t="n">
        <v>0</v>
      </c>
      <c r="AA420" s="19" t="n">
        <v>0</v>
      </c>
      <c r="AB420" s="19" t="n">
        <v>0</v>
      </c>
      <c r="AC420" s="19" t="n">
        <v>0</v>
      </c>
      <c r="AD420" s="19" t="n">
        <v>0</v>
      </c>
      <c r="AE420" s="19" t="n">
        <v>0</v>
      </c>
      <c r="AF420" s="19" t="n">
        <v>0</v>
      </c>
      <c r="AG420" s="19"/>
      <c r="AH420" s="19"/>
    </row>
    <row r="421" customFormat="false" ht="12.75" hidden="false" customHeight="true" outlineLevel="0" collapsed="false">
      <c r="A421" s="16" t="s">
        <v>158</v>
      </c>
      <c r="B421" s="17" t="n">
        <f aca="false">AVERAGE(E421:AE421)</f>
        <v>0.111111111111111</v>
      </c>
      <c r="C421" s="2" t="n">
        <f aca="false">MIN(E421:AE421)</f>
        <v>0</v>
      </c>
      <c r="D421" s="18" t="n">
        <f aca="false">MAX(E421:AE421)</f>
        <v>1</v>
      </c>
      <c r="E421" s="19" t="n">
        <v>0</v>
      </c>
      <c r="F421" s="19" t="n">
        <v>0</v>
      </c>
      <c r="G421" s="19" t="n">
        <v>0</v>
      </c>
      <c r="H421" s="19" t="n">
        <v>0</v>
      </c>
      <c r="I421" s="19" t="n">
        <v>0</v>
      </c>
      <c r="J421" s="19" t="n">
        <v>0</v>
      </c>
      <c r="K421" s="19" t="n">
        <v>0</v>
      </c>
      <c r="L421" s="19" t="n">
        <v>0</v>
      </c>
      <c r="M421" s="19" t="n">
        <v>1</v>
      </c>
      <c r="N421" s="19" t="n">
        <v>0</v>
      </c>
      <c r="O421" s="19" t="n">
        <v>0</v>
      </c>
      <c r="P421" s="19" t="n">
        <v>0</v>
      </c>
      <c r="Q421" s="19" t="n">
        <v>0</v>
      </c>
      <c r="R421" s="19" t="n">
        <v>1</v>
      </c>
      <c r="S421" s="19" t="n">
        <v>0</v>
      </c>
      <c r="T421" s="19" t="n">
        <v>0</v>
      </c>
      <c r="U421" s="19" t="n">
        <v>0</v>
      </c>
      <c r="V421" s="19" t="n">
        <v>0</v>
      </c>
      <c r="W421" s="19" t="n">
        <v>0</v>
      </c>
      <c r="X421" s="19" t="n">
        <v>1</v>
      </c>
      <c r="Y421" s="19" t="n">
        <v>0</v>
      </c>
      <c r="Z421" s="19" t="n">
        <v>0</v>
      </c>
      <c r="AA421" s="19" t="n">
        <v>0</v>
      </c>
      <c r="AB421" s="19" t="n">
        <v>0</v>
      </c>
      <c r="AC421" s="19" t="n">
        <v>0</v>
      </c>
      <c r="AD421" s="19" t="n">
        <v>0</v>
      </c>
      <c r="AE421" s="19" t="n">
        <v>0</v>
      </c>
      <c r="AF421" s="19" t="n">
        <v>0</v>
      </c>
      <c r="AG421" s="19"/>
      <c r="AH421" s="19"/>
    </row>
    <row r="422" customFormat="false" ht="12.75" hidden="false" customHeight="true" outlineLevel="0" collapsed="false">
      <c r="A422" s="16" t="s">
        <v>159</v>
      </c>
      <c r="B422" s="17" t="n">
        <f aca="false">AVERAGE(E422:AE422)</f>
        <v>0.111111111111111</v>
      </c>
      <c r="C422" s="2" t="n">
        <f aca="false">MIN(E422:AE422)</f>
        <v>0</v>
      </c>
      <c r="D422" s="18" t="n">
        <f aca="false">MAX(E422:AE422)</f>
        <v>1</v>
      </c>
      <c r="E422" s="19" t="n">
        <v>0</v>
      </c>
      <c r="F422" s="19" t="n">
        <v>0</v>
      </c>
      <c r="G422" s="19" t="n">
        <v>0</v>
      </c>
      <c r="H422" s="19" t="n">
        <v>0</v>
      </c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1</v>
      </c>
      <c r="N422" s="19" t="n">
        <v>0</v>
      </c>
      <c r="O422" s="19" t="n">
        <v>0</v>
      </c>
      <c r="P422" s="19" t="n">
        <v>0</v>
      </c>
      <c r="Q422" s="19" t="n">
        <v>0</v>
      </c>
      <c r="R422" s="19" t="n">
        <v>1</v>
      </c>
      <c r="S422" s="19" t="n">
        <v>0</v>
      </c>
      <c r="T422" s="19" t="n">
        <v>0</v>
      </c>
      <c r="U422" s="19" t="n">
        <v>0</v>
      </c>
      <c r="V422" s="19" t="n">
        <v>0</v>
      </c>
      <c r="W422" s="19" t="n">
        <v>0</v>
      </c>
      <c r="X422" s="19" t="n">
        <v>1</v>
      </c>
      <c r="Y422" s="19" t="n">
        <v>0</v>
      </c>
      <c r="Z422" s="19" t="n">
        <v>0</v>
      </c>
      <c r="AA422" s="19" t="n">
        <v>0</v>
      </c>
      <c r="AB422" s="19" t="n">
        <v>0</v>
      </c>
      <c r="AC422" s="19" t="n">
        <v>0</v>
      </c>
      <c r="AD422" s="19" t="n">
        <v>0</v>
      </c>
      <c r="AE422" s="19" t="n">
        <v>0</v>
      </c>
      <c r="AF422" s="19" t="n">
        <v>0</v>
      </c>
      <c r="AG422" s="19"/>
      <c r="AH422" s="19"/>
    </row>
    <row r="423" customFormat="false" ht="12.75" hidden="false" customHeight="true" outlineLevel="0" collapsed="false">
      <c r="A423" s="16" t="s">
        <v>160</v>
      </c>
      <c r="B423" s="17" t="n">
        <f aca="false">AVERAGE(E423:AE423)</f>
        <v>0.111111111111111</v>
      </c>
      <c r="C423" s="2" t="n">
        <f aca="false">MIN(E423:AE423)</f>
        <v>0</v>
      </c>
      <c r="D423" s="18" t="n">
        <f aca="false">MAX(E423:AE423)</f>
        <v>1</v>
      </c>
      <c r="E423" s="19" t="n">
        <v>0</v>
      </c>
      <c r="F423" s="19" t="n">
        <v>0</v>
      </c>
      <c r="G423" s="19" t="n">
        <v>0</v>
      </c>
      <c r="H423" s="19" t="n">
        <v>0</v>
      </c>
      <c r="I423" s="19" t="n">
        <v>0</v>
      </c>
      <c r="J423" s="19" t="n">
        <v>0</v>
      </c>
      <c r="K423" s="19" t="n">
        <v>0</v>
      </c>
      <c r="L423" s="19" t="n">
        <v>0</v>
      </c>
      <c r="M423" s="19" t="n">
        <v>1</v>
      </c>
      <c r="N423" s="19" t="n">
        <v>0</v>
      </c>
      <c r="O423" s="19" t="n">
        <v>0</v>
      </c>
      <c r="P423" s="19" t="n">
        <v>0</v>
      </c>
      <c r="Q423" s="19" t="n">
        <v>0</v>
      </c>
      <c r="R423" s="19" t="n">
        <v>1</v>
      </c>
      <c r="S423" s="19" t="n">
        <v>0</v>
      </c>
      <c r="T423" s="19" t="n">
        <v>0</v>
      </c>
      <c r="U423" s="19" t="n">
        <v>0</v>
      </c>
      <c r="V423" s="19" t="n">
        <v>0</v>
      </c>
      <c r="W423" s="19" t="n">
        <v>0</v>
      </c>
      <c r="X423" s="19" t="n">
        <v>1</v>
      </c>
      <c r="Y423" s="19" t="n">
        <v>0</v>
      </c>
      <c r="Z423" s="19" t="n">
        <v>0</v>
      </c>
      <c r="AA423" s="19" t="n">
        <v>0</v>
      </c>
      <c r="AB423" s="19" t="n">
        <v>0</v>
      </c>
      <c r="AC423" s="19" t="n">
        <v>0</v>
      </c>
      <c r="AD423" s="19" t="n">
        <v>0</v>
      </c>
      <c r="AE423" s="19" t="n">
        <v>0</v>
      </c>
      <c r="AF423" s="19" t="n">
        <v>0</v>
      </c>
      <c r="AG423" s="19"/>
      <c r="AH423" s="19"/>
    </row>
    <row r="424" customFormat="false" ht="12.75" hidden="false" customHeight="true" outlineLevel="0" collapsed="false">
      <c r="A424" s="16" t="s">
        <v>161</v>
      </c>
      <c r="B424" s="17" t="n">
        <f aca="false">AVERAGE(E424:AE424)</f>
        <v>0.111111111111111</v>
      </c>
      <c r="C424" s="2" t="n">
        <f aca="false">MIN(E424:AE424)</f>
        <v>0</v>
      </c>
      <c r="D424" s="18" t="n">
        <f aca="false">MAX(E424:AE424)</f>
        <v>1</v>
      </c>
      <c r="E424" s="19" t="n">
        <v>0</v>
      </c>
      <c r="F424" s="19" t="n">
        <v>0</v>
      </c>
      <c r="G424" s="19" t="n">
        <v>0</v>
      </c>
      <c r="H424" s="19" t="n">
        <v>0</v>
      </c>
      <c r="I424" s="19" t="n">
        <v>0</v>
      </c>
      <c r="J424" s="19" t="n">
        <v>0</v>
      </c>
      <c r="K424" s="19" t="n">
        <v>0</v>
      </c>
      <c r="L424" s="19" t="n">
        <v>0</v>
      </c>
      <c r="M424" s="19" t="n">
        <v>1</v>
      </c>
      <c r="N424" s="19" t="n">
        <v>0</v>
      </c>
      <c r="O424" s="19" t="n">
        <v>0</v>
      </c>
      <c r="P424" s="19" t="n">
        <v>0</v>
      </c>
      <c r="Q424" s="19" t="n">
        <v>0</v>
      </c>
      <c r="R424" s="19" t="n">
        <v>1</v>
      </c>
      <c r="S424" s="19" t="n">
        <v>0</v>
      </c>
      <c r="T424" s="19" t="n">
        <v>0</v>
      </c>
      <c r="U424" s="19" t="n">
        <v>0</v>
      </c>
      <c r="V424" s="19" t="n">
        <v>0</v>
      </c>
      <c r="W424" s="19" t="n">
        <v>0</v>
      </c>
      <c r="X424" s="19" t="n">
        <v>1</v>
      </c>
      <c r="Y424" s="19" t="n">
        <v>0</v>
      </c>
      <c r="Z424" s="19" t="n">
        <v>0</v>
      </c>
      <c r="AA424" s="19" t="n">
        <v>0</v>
      </c>
      <c r="AB424" s="19" t="n">
        <v>0</v>
      </c>
      <c r="AC424" s="19" t="n">
        <v>0</v>
      </c>
      <c r="AD424" s="19" t="n">
        <v>0</v>
      </c>
      <c r="AE424" s="19" t="n">
        <v>0</v>
      </c>
      <c r="AF424" s="19" t="n">
        <v>0</v>
      </c>
      <c r="AG424" s="19"/>
      <c r="AH424" s="19"/>
    </row>
    <row r="425" customFormat="false" ht="12.75" hidden="false" customHeight="true" outlineLevel="0" collapsed="false">
      <c r="A425" s="16" t="s">
        <v>162</v>
      </c>
      <c r="B425" s="17" t="n">
        <f aca="false">AVERAGE(E425:AE425)</f>
        <v>0.111111111111111</v>
      </c>
      <c r="C425" s="2" t="n">
        <f aca="false">MIN(E425:AE425)</f>
        <v>0</v>
      </c>
      <c r="D425" s="18" t="n">
        <f aca="false">MAX(E425:AE425)</f>
        <v>1</v>
      </c>
      <c r="E425" s="19" t="n">
        <v>0</v>
      </c>
      <c r="F425" s="19" t="n">
        <v>0</v>
      </c>
      <c r="G425" s="19" t="n">
        <v>0</v>
      </c>
      <c r="H425" s="19" t="n">
        <v>0</v>
      </c>
      <c r="I425" s="19" t="n">
        <v>0</v>
      </c>
      <c r="J425" s="19" t="n">
        <v>0</v>
      </c>
      <c r="K425" s="19" t="n">
        <v>0</v>
      </c>
      <c r="L425" s="19" t="n">
        <v>0</v>
      </c>
      <c r="M425" s="19" t="n">
        <v>1</v>
      </c>
      <c r="N425" s="19" t="n">
        <v>0</v>
      </c>
      <c r="O425" s="19" t="n">
        <v>0</v>
      </c>
      <c r="P425" s="19" t="n">
        <v>0</v>
      </c>
      <c r="Q425" s="19" t="n">
        <v>0</v>
      </c>
      <c r="R425" s="19" t="n">
        <v>1</v>
      </c>
      <c r="S425" s="19" t="n">
        <v>0</v>
      </c>
      <c r="T425" s="19" t="n">
        <v>0</v>
      </c>
      <c r="U425" s="19" t="n">
        <v>0</v>
      </c>
      <c r="V425" s="19" t="n">
        <v>0</v>
      </c>
      <c r="W425" s="19" t="n">
        <v>0</v>
      </c>
      <c r="X425" s="19" t="n">
        <v>1</v>
      </c>
      <c r="Y425" s="19" t="n">
        <v>0</v>
      </c>
      <c r="Z425" s="19" t="n">
        <v>0</v>
      </c>
      <c r="AA425" s="19" t="n">
        <v>0</v>
      </c>
      <c r="AB425" s="19" t="n">
        <v>0</v>
      </c>
      <c r="AC425" s="19" t="n">
        <v>0</v>
      </c>
      <c r="AD425" s="19" t="n">
        <v>0</v>
      </c>
      <c r="AE425" s="19" t="n">
        <v>0</v>
      </c>
      <c r="AF425" s="19" t="n">
        <v>0</v>
      </c>
      <c r="AG425" s="19"/>
      <c r="AH425" s="19"/>
    </row>
    <row r="426" customFormat="false" ht="12.75" hidden="false" customHeight="true" outlineLevel="0" collapsed="false">
      <c r="A426" s="16" t="s">
        <v>163</v>
      </c>
      <c r="B426" s="17" t="n">
        <f aca="false">AVERAGE(E426:AE426)</f>
        <v>0.111111111111111</v>
      </c>
      <c r="C426" s="2" t="n">
        <f aca="false">MIN(E426:AE426)</f>
        <v>0</v>
      </c>
      <c r="D426" s="18" t="n">
        <f aca="false">MAX(E426:AE426)</f>
        <v>1</v>
      </c>
      <c r="E426" s="19" t="n">
        <v>0</v>
      </c>
      <c r="F426" s="19" t="n">
        <v>0</v>
      </c>
      <c r="G426" s="19" t="n">
        <v>0</v>
      </c>
      <c r="H426" s="19" t="n">
        <v>0</v>
      </c>
      <c r="I426" s="19" t="n">
        <v>0</v>
      </c>
      <c r="J426" s="19" t="n">
        <v>0</v>
      </c>
      <c r="K426" s="19" t="n">
        <v>0</v>
      </c>
      <c r="L426" s="19" t="n">
        <v>0</v>
      </c>
      <c r="M426" s="19" t="n">
        <v>1</v>
      </c>
      <c r="N426" s="19" t="n">
        <v>0</v>
      </c>
      <c r="O426" s="19" t="n">
        <v>0</v>
      </c>
      <c r="P426" s="19" t="n">
        <v>0</v>
      </c>
      <c r="Q426" s="19" t="n">
        <v>0</v>
      </c>
      <c r="R426" s="19" t="n">
        <v>1</v>
      </c>
      <c r="S426" s="19" t="n">
        <v>0</v>
      </c>
      <c r="T426" s="19" t="n">
        <v>0</v>
      </c>
      <c r="U426" s="19" t="n">
        <v>0</v>
      </c>
      <c r="V426" s="19" t="n">
        <v>0</v>
      </c>
      <c r="W426" s="19" t="n">
        <v>0</v>
      </c>
      <c r="X426" s="19" t="n">
        <v>1</v>
      </c>
      <c r="Y426" s="19" t="n">
        <v>0</v>
      </c>
      <c r="Z426" s="19" t="n">
        <v>0</v>
      </c>
      <c r="AA426" s="19" t="n">
        <v>0</v>
      </c>
      <c r="AB426" s="19" t="n">
        <v>0</v>
      </c>
      <c r="AC426" s="19" t="n">
        <v>0</v>
      </c>
      <c r="AD426" s="19" t="n">
        <v>0</v>
      </c>
      <c r="AE426" s="19" t="n">
        <v>0</v>
      </c>
      <c r="AF426" s="19" t="n">
        <v>0</v>
      </c>
      <c r="AG426" s="19"/>
      <c r="AH426" s="19"/>
    </row>
    <row r="427" customFormat="false" ht="12.75" hidden="false" customHeight="true" outlineLevel="0" collapsed="false">
      <c r="A427" s="16" t="s">
        <v>164</v>
      </c>
      <c r="B427" s="17" t="n">
        <f aca="false">AVERAGE(E427:AE427)</f>
        <v>0.111111111111111</v>
      </c>
      <c r="C427" s="2" t="n">
        <f aca="false">MIN(E427:AE427)</f>
        <v>0</v>
      </c>
      <c r="D427" s="18" t="n">
        <f aca="false">MAX(E427:AE427)</f>
        <v>1</v>
      </c>
      <c r="E427" s="19" t="n">
        <v>0</v>
      </c>
      <c r="F427" s="19" t="n">
        <v>0</v>
      </c>
      <c r="G427" s="19" t="n">
        <v>0</v>
      </c>
      <c r="H427" s="19" t="n">
        <v>0</v>
      </c>
      <c r="I427" s="19" t="n">
        <v>0</v>
      </c>
      <c r="J427" s="19" t="n">
        <v>0</v>
      </c>
      <c r="K427" s="19" t="n">
        <v>0</v>
      </c>
      <c r="L427" s="19" t="n">
        <v>0</v>
      </c>
      <c r="M427" s="19" t="n">
        <v>1</v>
      </c>
      <c r="N427" s="19" t="n">
        <v>0</v>
      </c>
      <c r="O427" s="19" t="n">
        <v>0</v>
      </c>
      <c r="P427" s="19" t="n">
        <v>0</v>
      </c>
      <c r="Q427" s="19" t="n">
        <v>0</v>
      </c>
      <c r="R427" s="19" t="n">
        <v>1</v>
      </c>
      <c r="S427" s="19" t="n">
        <v>0</v>
      </c>
      <c r="T427" s="19" t="n">
        <v>0</v>
      </c>
      <c r="U427" s="19" t="n">
        <v>0</v>
      </c>
      <c r="V427" s="19" t="n">
        <v>0</v>
      </c>
      <c r="W427" s="19" t="n">
        <v>0</v>
      </c>
      <c r="X427" s="19" t="n">
        <v>1</v>
      </c>
      <c r="Y427" s="19" t="n">
        <v>0</v>
      </c>
      <c r="Z427" s="19" t="n">
        <v>0</v>
      </c>
      <c r="AA427" s="19" t="n">
        <v>0</v>
      </c>
      <c r="AB427" s="19" t="n">
        <v>0</v>
      </c>
      <c r="AC427" s="19" t="n">
        <v>0</v>
      </c>
      <c r="AD427" s="19" t="n">
        <v>0</v>
      </c>
      <c r="AE427" s="19" t="n">
        <v>0</v>
      </c>
      <c r="AF427" s="19" t="n">
        <v>0</v>
      </c>
      <c r="AG427" s="19"/>
      <c r="AH427" s="19"/>
    </row>
    <row r="428" customFormat="false" ht="12.75" hidden="false" customHeight="true" outlineLevel="0" collapsed="false">
      <c r="A428" s="16" t="s">
        <v>165</v>
      </c>
      <c r="B428" s="17" t="n">
        <f aca="false">AVERAGE(E428:AE428)</f>
        <v>0.111111111111111</v>
      </c>
      <c r="C428" s="2" t="n">
        <f aca="false">MIN(E428:AE428)</f>
        <v>0</v>
      </c>
      <c r="D428" s="18" t="n">
        <f aca="false">MAX(E428:AE428)</f>
        <v>1</v>
      </c>
      <c r="E428" s="19" t="n">
        <v>0</v>
      </c>
      <c r="F428" s="19" t="n">
        <v>0</v>
      </c>
      <c r="G428" s="19" t="n">
        <v>0</v>
      </c>
      <c r="H428" s="19" t="n">
        <v>0</v>
      </c>
      <c r="I428" s="19" t="n">
        <v>0</v>
      </c>
      <c r="J428" s="19" t="n">
        <v>0</v>
      </c>
      <c r="K428" s="19" t="n">
        <v>0</v>
      </c>
      <c r="L428" s="19" t="n">
        <v>0</v>
      </c>
      <c r="M428" s="19" t="n">
        <v>1</v>
      </c>
      <c r="N428" s="19" t="n">
        <v>0</v>
      </c>
      <c r="O428" s="19" t="n">
        <v>0</v>
      </c>
      <c r="P428" s="19" t="n">
        <v>0</v>
      </c>
      <c r="Q428" s="19" t="n">
        <v>0</v>
      </c>
      <c r="R428" s="19" t="n">
        <v>1</v>
      </c>
      <c r="S428" s="19" t="n">
        <v>0</v>
      </c>
      <c r="T428" s="19" t="n">
        <v>0</v>
      </c>
      <c r="U428" s="19" t="n">
        <v>0</v>
      </c>
      <c r="V428" s="19" t="n">
        <v>0</v>
      </c>
      <c r="W428" s="19" t="n">
        <v>0</v>
      </c>
      <c r="X428" s="19" t="n">
        <v>1</v>
      </c>
      <c r="Y428" s="19" t="n">
        <v>0</v>
      </c>
      <c r="Z428" s="19" t="n">
        <v>0</v>
      </c>
      <c r="AA428" s="19" t="n">
        <v>0</v>
      </c>
      <c r="AB428" s="19" t="n">
        <v>0</v>
      </c>
      <c r="AC428" s="19" t="n">
        <v>0</v>
      </c>
      <c r="AD428" s="19" t="n">
        <v>0</v>
      </c>
      <c r="AE428" s="19" t="n">
        <v>0</v>
      </c>
      <c r="AF428" s="19" t="n">
        <v>0</v>
      </c>
      <c r="AG428" s="19"/>
      <c r="AH428" s="19"/>
    </row>
    <row r="429" customFormat="false" ht="12.75" hidden="false" customHeight="true" outlineLevel="0" collapsed="false">
      <c r="A429" s="16" t="s">
        <v>166</v>
      </c>
      <c r="B429" s="17" t="n">
        <f aca="false">AVERAGE(E429:AE429)</f>
        <v>0.148148148148148</v>
      </c>
      <c r="C429" s="2" t="n">
        <f aca="false">MIN(E429:AE429)</f>
        <v>0</v>
      </c>
      <c r="D429" s="18" t="n">
        <f aca="false">MAX(E429:AE429)</f>
        <v>1</v>
      </c>
      <c r="E429" s="19" t="n">
        <v>0</v>
      </c>
      <c r="F429" s="19" t="n">
        <v>0</v>
      </c>
      <c r="G429" s="19" t="n">
        <v>0</v>
      </c>
      <c r="H429" s="19" t="n">
        <v>1</v>
      </c>
      <c r="I429" s="19" t="n">
        <v>0</v>
      </c>
      <c r="J429" s="19" t="n">
        <v>0</v>
      </c>
      <c r="K429" s="19" t="n">
        <v>0</v>
      </c>
      <c r="L429" s="19" t="n">
        <v>0</v>
      </c>
      <c r="M429" s="19" t="n">
        <v>1</v>
      </c>
      <c r="N429" s="19" t="n">
        <v>0</v>
      </c>
      <c r="O429" s="19" t="n">
        <v>0</v>
      </c>
      <c r="P429" s="19" t="n">
        <v>0</v>
      </c>
      <c r="Q429" s="19" t="n">
        <v>0</v>
      </c>
      <c r="R429" s="19" t="n">
        <v>1</v>
      </c>
      <c r="S429" s="19" t="n">
        <v>0</v>
      </c>
      <c r="T429" s="19" t="n">
        <v>0</v>
      </c>
      <c r="U429" s="19" t="n">
        <v>0</v>
      </c>
      <c r="V429" s="19" t="n">
        <v>0</v>
      </c>
      <c r="W429" s="19" t="n">
        <v>0</v>
      </c>
      <c r="X429" s="19" t="n">
        <v>1</v>
      </c>
      <c r="Y429" s="19" t="n">
        <v>0</v>
      </c>
      <c r="Z429" s="19" t="n">
        <v>0</v>
      </c>
      <c r="AA429" s="19" t="n">
        <v>0</v>
      </c>
      <c r="AB429" s="19" t="n">
        <v>0</v>
      </c>
      <c r="AC429" s="19" t="n">
        <v>0</v>
      </c>
      <c r="AD429" s="19" t="n">
        <v>0</v>
      </c>
      <c r="AE429" s="19" t="n">
        <v>0</v>
      </c>
      <c r="AF429" s="19" t="n">
        <v>0</v>
      </c>
      <c r="AG429" s="19"/>
      <c r="AH429" s="19"/>
    </row>
    <row r="430" customFormat="false" ht="12.75" hidden="false" customHeight="true" outlineLevel="0" collapsed="false">
      <c r="A430" s="16" t="s">
        <v>167</v>
      </c>
      <c r="B430" s="17" t="n">
        <f aca="false">AVERAGE(E430:AE430)</f>
        <v>0.148148148148148</v>
      </c>
      <c r="C430" s="2" t="n">
        <f aca="false">MIN(E430:AE430)</f>
        <v>0</v>
      </c>
      <c r="D430" s="18" t="n">
        <f aca="false">MAX(E430:AE430)</f>
        <v>1</v>
      </c>
      <c r="E430" s="19" t="n">
        <v>0</v>
      </c>
      <c r="F430" s="19" t="n">
        <v>0</v>
      </c>
      <c r="G430" s="19" t="n">
        <v>0</v>
      </c>
      <c r="H430" s="19" t="n">
        <v>1</v>
      </c>
      <c r="I430" s="19" t="n">
        <v>0</v>
      </c>
      <c r="J430" s="19" t="n">
        <v>0</v>
      </c>
      <c r="K430" s="19" t="n">
        <v>0</v>
      </c>
      <c r="L430" s="19" t="n">
        <v>0</v>
      </c>
      <c r="M430" s="19" t="n">
        <v>1</v>
      </c>
      <c r="N430" s="19" t="n">
        <v>0</v>
      </c>
      <c r="O430" s="19" t="n">
        <v>0</v>
      </c>
      <c r="P430" s="19" t="n">
        <v>0</v>
      </c>
      <c r="Q430" s="19" t="n">
        <v>0</v>
      </c>
      <c r="R430" s="19" t="n">
        <v>1</v>
      </c>
      <c r="S430" s="19" t="n">
        <v>0</v>
      </c>
      <c r="T430" s="19" t="n">
        <v>0</v>
      </c>
      <c r="U430" s="19" t="n">
        <v>0</v>
      </c>
      <c r="V430" s="19" t="n">
        <v>0</v>
      </c>
      <c r="W430" s="19" t="n">
        <v>0</v>
      </c>
      <c r="X430" s="19" t="n">
        <v>1</v>
      </c>
      <c r="Y430" s="19" t="n">
        <v>0</v>
      </c>
      <c r="Z430" s="19" t="n">
        <v>0</v>
      </c>
      <c r="AA430" s="19" t="n">
        <v>0</v>
      </c>
      <c r="AB430" s="19" t="n">
        <v>0</v>
      </c>
      <c r="AC430" s="19" t="n">
        <v>0</v>
      </c>
      <c r="AD430" s="19" t="n">
        <v>0</v>
      </c>
      <c r="AE430" s="19" t="n">
        <v>0</v>
      </c>
      <c r="AF430" s="19" t="n">
        <v>0</v>
      </c>
      <c r="AG430" s="19"/>
      <c r="AH430" s="19"/>
    </row>
    <row r="431" customFormat="false" ht="12.75" hidden="false" customHeight="true" outlineLevel="0" collapsed="false">
      <c r="A431" s="16" t="s">
        <v>168</v>
      </c>
      <c r="B431" s="17" t="n">
        <f aca="false">AVERAGE(E431:AE431)</f>
        <v>0.148148148148148</v>
      </c>
      <c r="C431" s="2" t="n">
        <f aca="false">MIN(E431:AE431)</f>
        <v>0</v>
      </c>
      <c r="D431" s="18" t="n">
        <f aca="false">MAX(E431:AE431)</f>
        <v>1</v>
      </c>
      <c r="E431" s="19" t="n">
        <v>0</v>
      </c>
      <c r="F431" s="19" t="n">
        <v>0</v>
      </c>
      <c r="G431" s="19" t="n">
        <v>0</v>
      </c>
      <c r="H431" s="19" t="n">
        <v>1</v>
      </c>
      <c r="I431" s="19" t="n">
        <v>0</v>
      </c>
      <c r="J431" s="19" t="n">
        <v>0</v>
      </c>
      <c r="K431" s="19" t="n">
        <v>0</v>
      </c>
      <c r="L431" s="19" t="n">
        <v>0</v>
      </c>
      <c r="M431" s="19" t="n">
        <v>1</v>
      </c>
      <c r="N431" s="19" t="n">
        <v>0</v>
      </c>
      <c r="O431" s="19" t="n">
        <v>0</v>
      </c>
      <c r="P431" s="19" t="n">
        <v>0</v>
      </c>
      <c r="Q431" s="19" t="n">
        <v>0</v>
      </c>
      <c r="R431" s="19" t="n">
        <v>1</v>
      </c>
      <c r="S431" s="19" t="n">
        <v>0</v>
      </c>
      <c r="T431" s="19" t="n">
        <v>0</v>
      </c>
      <c r="U431" s="19" t="n">
        <v>0</v>
      </c>
      <c r="V431" s="19" t="n">
        <v>0</v>
      </c>
      <c r="W431" s="19" t="n">
        <v>0</v>
      </c>
      <c r="X431" s="19" t="n">
        <v>1</v>
      </c>
      <c r="Y431" s="19" t="n">
        <v>0</v>
      </c>
      <c r="Z431" s="19" t="n">
        <v>0</v>
      </c>
      <c r="AA431" s="19" t="n">
        <v>0</v>
      </c>
      <c r="AB431" s="19" t="n">
        <v>0</v>
      </c>
      <c r="AC431" s="19" t="n">
        <v>0</v>
      </c>
      <c r="AD431" s="19" t="n">
        <v>0</v>
      </c>
      <c r="AE431" s="19" t="n">
        <v>0</v>
      </c>
      <c r="AF431" s="19" t="n">
        <v>0</v>
      </c>
      <c r="AG431" s="19"/>
      <c r="AH431" s="19"/>
    </row>
    <row r="432" customFormat="false" ht="12.75" hidden="false" customHeight="true" outlineLevel="0" collapsed="false">
      <c r="A432" s="16" t="s">
        <v>169</v>
      </c>
      <c r="B432" s="17" t="n">
        <f aca="false">AVERAGE(E432:AE432)</f>
        <v>0.148148148148148</v>
      </c>
      <c r="C432" s="2" t="n">
        <f aca="false">MIN(E432:AE432)</f>
        <v>0</v>
      </c>
      <c r="D432" s="18" t="n">
        <f aca="false">MAX(E432:AE432)</f>
        <v>1</v>
      </c>
      <c r="E432" s="19" t="n">
        <v>0</v>
      </c>
      <c r="F432" s="19" t="n">
        <v>0</v>
      </c>
      <c r="G432" s="19" t="n">
        <v>0</v>
      </c>
      <c r="H432" s="19" t="n">
        <v>1</v>
      </c>
      <c r="I432" s="19" t="n">
        <v>0</v>
      </c>
      <c r="J432" s="19" t="n">
        <v>0</v>
      </c>
      <c r="K432" s="19" t="n">
        <v>0</v>
      </c>
      <c r="L432" s="19" t="n">
        <v>0</v>
      </c>
      <c r="M432" s="19" t="n">
        <v>1</v>
      </c>
      <c r="N432" s="19" t="n">
        <v>0</v>
      </c>
      <c r="O432" s="19" t="n">
        <v>0</v>
      </c>
      <c r="P432" s="19" t="n">
        <v>0</v>
      </c>
      <c r="Q432" s="19" t="n">
        <v>0</v>
      </c>
      <c r="R432" s="19" t="n">
        <v>1</v>
      </c>
      <c r="S432" s="19" t="n">
        <v>0</v>
      </c>
      <c r="T432" s="19" t="n">
        <v>0</v>
      </c>
      <c r="U432" s="19" t="n">
        <v>0</v>
      </c>
      <c r="V432" s="19" t="n">
        <v>0</v>
      </c>
      <c r="W432" s="19" t="n">
        <v>0</v>
      </c>
      <c r="X432" s="19" t="n">
        <v>1</v>
      </c>
      <c r="Y432" s="19" t="n">
        <v>0</v>
      </c>
      <c r="Z432" s="19" t="n">
        <v>0</v>
      </c>
      <c r="AA432" s="19" t="n">
        <v>0</v>
      </c>
      <c r="AB432" s="19" t="n">
        <v>0</v>
      </c>
      <c r="AC432" s="19" t="n">
        <v>0</v>
      </c>
      <c r="AD432" s="19" t="n">
        <v>0</v>
      </c>
      <c r="AE432" s="19" t="n">
        <v>0</v>
      </c>
      <c r="AF432" s="19" t="n">
        <v>0</v>
      </c>
      <c r="AG432" s="19"/>
      <c r="AH432" s="19"/>
    </row>
    <row r="433" customFormat="false" ht="12.75" hidden="false" customHeight="true" outlineLevel="0" collapsed="false">
      <c r="A433" s="16" t="s">
        <v>170</v>
      </c>
      <c r="B433" s="17" t="n">
        <f aca="false">AVERAGE(E433:AE433)</f>
        <v>0.148148148148148</v>
      </c>
      <c r="C433" s="2" t="n">
        <f aca="false">MIN(E433:AE433)</f>
        <v>0</v>
      </c>
      <c r="D433" s="18" t="n">
        <f aca="false">MAX(E433:AE433)</f>
        <v>1</v>
      </c>
      <c r="E433" s="19" t="n">
        <v>0</v>
      </c>
      <c r="F433" s="19" t="n">
        <v>0</v>
      </c>
      <c r="G433" s="19" t="n">
        <v>0</v>
      </c>
      <c r="H433" s="19" t="n">
        <v>1</v>
      </c>
      <c r="I433" s="19" t="n">
        <v>0</v>
      </c>
      <c r="J433" s="19" t="n">
        <v>0</v>
      </c>
      <c r="K433" s="19" t="n">
        <v>0</v>
      </c>
      <c r="L433" s="19" t="n">
        <v>0</v>
      </c>
      <c r="M433" s="19" t="n">
        <v>1</v>
      </c>
      <c r="N433" s="19" t="n">
        <v>0</v>
      </c>
      <c r="O433" s="19" t="n">
        <v>0</v>
      </c>
      <c r="P433" s="19" t="n">
        <v>0</v>
      </c>
      <c r="Q433" s="19" t="n">
        <v>0</v>
      </c>
      <c r="R433" s="19" t="n">
        <v>1</v>
      </c>
      <c r="S433" s="19" t="n">
        <v>0</v>
      </c>
      <c r="T433" s="19" t="n">
        <v>0</v>
      </c>
      <c r="U433" s="19" t="n">
        <v>0</v>
      </c>
      <c r="V433" s="19" t="n">
        <v>0</v>
      </c>
      <c r="W433" s="19" t="n">
        <v>0</v>
      </c>
      <c r="X433" s="19" t="n">
        <v>1</v>
      </c>
      <c r="Y433" s="19" t="n">
        <v>0</v>
      </c>
      <c r="Z433" s="19" t="n">
        <v>0</v>
      </c>
      <c r="AA433" s="19" t="n">
        <v>0</v>
      </c>
      <c r="AB433" s="19" t="n">
        <v>0</v>
      </c>
      <c r="AC433" s="19" t="n">
        <v>0</v>
      </c>
      <c r="AD433" s="19" t="n">
        <v>0</v>
      </c>
      <c r="AE433" s="19" t="n">
        <v>0</v>
      </c>
      <c r="AF433" s="19" t="n">
        <v>0</v>
      </c>
      <c r="AG433" s="19"/>
      <c r="AH433" s="19"/>
    </row>
    <row r="434" customFormat="false" ht="12.75" hidden="false" customHeight="true" outlineLevel="0" collapsed="false">
      <c r="A434" s="16" t="s">
        <v>171</v>
      </c>
      <c r="B434" s="17" t="n">
        <f aca="false">AVERAGE(E434:AE434)</f>
        <v>0.185185185185185</v>
      </c>
      <c r="C434" s="2" t="n">
        <f aca="false">MIN(E434:AE434)</f>
        <v>0</v>
      </c>
      <c r="D434" s="18" t="n">
        <f aca="false">MAX(E434:AE434)</f>
        <v>2</v>
      </c>
      <c r="E434" s="19" t="n">
        <v>0</v>
      </c>
      <c r="F434" s="19" t="n">
        <v>0</v>
      </c>
      <c r="G434" s="19" t="n">
        <v>0</v>
      </c>
      <c r="H434" s="19" t="n">
        <v>1</v>
      </c>
      <c r="I434" s="19" t="n">
        <v>0</v>
      </c>
      <c r="J434" s="19" t="n">
        <v>0</v>
      </c>
      <c r="K434" s="19" t="n">
        <v>0</v>
      </c>
      <c r="L434" s="19" t="n">
        <v>0</v>
      </c>
      <c r="M434" s="19" t="n">
        <v>2</v>
      </c>
      <c r="N434" s="19" t="n">
        <v>0</v>
      </c>
      <c r="O434" s="19" t="n">
        <v>0</v>
      </c>
      <c r="P434" s="19" t="n">
        <v>0</v>
      </c>
      <c r="Q434" s="19" t="n">
        <v>0</v>
      </c>
      <c r="R434" s="19" t="n">
        <v>1</v>
      </c>
      <c r="S434" s="19" t="n">
        <v>0</v>
      </c>
      <c r="T434" s="19" t="n">
        <v>0</v>
      </c>
      <c r="U434" s="19" t="n">
        <v>0</v>
      </c>
      <c r="V434" s="19" t="n">
        <v>0</v>
      </c>
      <c r="W434" s="19" t="n">
        <v>0</v>
      </c>
      <c r="X434" s="19" t="n">
        <v>1</v>
      </c>
      <c r="Y434" s="19" t="n">
        <v>0</v>
      </c>
      <c r="Z434" s="19" t="n">
        <v>0</v>
      </c>
      <c r="AA434" s="19" t="n">
        <v>0</v>
      </c>
      <c r="AB434" s="19" t="n">
        <v>0</v>
      </c>
      <c r="AC434" s="19" t="n">
        <v>0</v>
      </c>
      <c r="AD434" s="19" t="n">
        <v>0</v>
      </c>
      <c r="AE434" s="19" t="n">
        <v>0</v>
      </c>
      <c r="AF434" s="19" t="n">
        <v>0</v>
      </c>
      <c r="AG434" s="19"/>
      <c r="AH434" s="19"/>
    </row>
    <row r="435" customFormat="false" ht="12.75" hidden="false" customHeight="true" outlineLevel="0" collapsed="false">
      <c r="A435" s="16" t="s">
        <v>172</v>
      </c>
      <c r="B435" s="17" t="n">
        <f aca="false">AVERAGE(E435:AE435)</f>
        <v>0.185185185185185</v>
      </c>
      <c r="C435" s="2" t="n">
        <f aca="false">MIN(E435:AE435)</f>
        <v>0</v>
      </c>
      <c r="D435" s="18" t="n">
        <f aca="false">MAX(E435:AE435)</f>
        <v>2</v>
      </c>
      <c r="E435" s="19" t="n">
        <v>0</v>
      </c>
      <c r="F435" s="19" t="n">
        <v>0</v>
      </c>
      <c r="G435" s="19" t="n">
        <v>0</v>
      </c>
      <c r="H435" s="19" t="n">
        <v>1</v>
      </c>
      <c r="I435" s="19" t="n">
        <v>0</v>
      </c>
      <c r="J435" s="19" t="n">
        <v>0</v>
      </c>
      <c r="K435" s="19" t="n">
        <v>0</v>
      </c>
      <c r="L435" s="19" t="n">
        <v>0</v>
      </c>
      <c r="M435" s="19" t="n">
        <v>2</v>
      </c>
      <c r="N435" s="19" t="n">
        <v>0</v>
      </c>
      <c r="O435" s="19" t="n">
        <v>0</v>
      </c>
      <c r="P435" s="19" t="n">
        <v>0</v>
      </c>
      <c r="Q435" s="19" t="n">
        <v>0</v>
      </c>
      <c r="R435" s="19" t="n">
        <v>1</v>
      </c>
      <c r="S435" s="19" t="n">
        <v>0</v>
      </c>
      <c r="T435" s="19" t="n">
        <v>0</v>
      </c>
      <c r="U435" s="19" t="n">
        <v>0</v>
      </c>
      <c r="V435" s="19" t="n">
        <v>0</v>
      </c>
      <c r="W435" s="19" t="n">
        <v>0</v>
      </c>
      <c r="X435" s="19" t="n">
        <v>1</v>
      </c>
      <c r="Y435" s="19" t="n">
        <v>0</v>
      </c>
      <c r="Z435" s="19" t="n">
        <v>0</v>
      </c>
      <c r="AA435" s="19" t="n">
        <v>0</v>
      </c>
      <c r="AB435" s="19" t="n">
        <v>0</v>
      </c>
      <c r="AC435" s="19" t="n">
        <v>0</v>
      </c>
      <c r="AD435" s="19" t="n">
        <v>0</v>
      </c>
      <c r="AE435" s="19" t="n">
        <v>0</v>
      </c>
      <c r="AF435" s="19" t="n">
        <v>0</v>
      </c>
      <c r="AG435" s="19"/>
      <c r="AH435" s="19"/>
    </row>
    <row r="436" customFormat="false" ht="12.75" hidden="false" customHeight="true" outlineLevel="0" collapsed="false">
      <c r="A436" s="16" t="s">
        <v>173</v>
      </c>
      <c r="B436" s="17" t="n">
        <f aca="false">AVERAGE(E436:AE436)</f>
        <v>0.222222222222222</v>
      </c>
      <c r="C436" s="2" t="n">
        <f aca="false">MIN(E436:AE436)</f>
        <v>0</v>
      </c>
      <c r="D436" s="18" t="n">
        <f aca="false">MAX(E436:AE436)</f>
        <v>2</v>
      </c>
      <c r="E436" s="19" t="n">
        <v>0</v>
      </c>
      <c r="F436" s="19" t="n">
        <v>0</v>
      </c>
      <c r="G436" s="19" t="n">
        <v>0</v>
      </c>
      <c r="H436" s="19" t="n">
        <v>1</v>
      </c>
      <c r="I436" s="19" t="n">
        <v>0</v>
      </c>
      <c r="J436" s="19" t="n">
        <v>0</v>
      </c>
      <c r="K436" s="19" t="n">
        <v>0</v>
      </c>
      <c r="L436" s="19" t="n">
        <v>0</v>
      </c>
      <c r="M436" s="19" t="n">
        <v>2</v>
      </c>
      <c r="N436" s="19" t="n">
        <v>1</v>
      </c>
      <c r="O436" s="19" t="n">
        <v>0</v>
      </c>
      <c r="P436" s="19" t="n">
        <v>0</v>
      </c>
      <c r="Q436" s="19" t="n">
        <v>0</v>
      </c>
      <c r="R436" s="19" t="n">
        <v>1</v>
      </c>
      <c r="S436" s="19" t="n">
        <v>0</v>
      </c>
      <c r="T436" s="19" t="n">
        <v>0</v>
      </c>
      <c r="U436" s="19" t="n">
        <v>0</v>
      </c>
      <c r="V436" s="19" t="n">
        <v>0</v>
      </c>
      <c r="W436" s="19" t="n">
        <v>0</v>
      </c>
      <c r="X436" s="19" t="n">
        <v>1</v>
      </c>
      <c r="Y436" s="19" t="n">
        <v>0</v>
      </c>
      <c r="Z436" s="19" t="n">
        <v>0</v>
      </c>
      <c r="AA436" s="19" t="n">
        <v>0</v>
      </c>
      <c r="AB436" s="19" t="n">
        <v>0</v>
      </c>
      <c r="AC436" s="19" t="n">
        <v>0</v>
      </c>
      <c r="AD436" s="19" t="n">
        <v>0</v>
      </c>
      <c r="AE436" s="19" t="n">
        <v>0</v>
      </c>
      <c r="AF436" s="19" t="n">
        <v>0</v>
      </c>
      <c r="AG436" s="19"/>
      <c r="AH436" s="19"/>
    </row>
    <row r="437" customFormat="false" ht="12.75" hidden="false" customHeight="true" outlineLevel="0" collapsed="false">
      <c r="A437" s="16" t="s">
        <v>174</v>
      </c>
      <c r="B437" s="17" t="n">
        <f aca="false">AVERAGE(E437:AE437)</f>
        <v>0.222222222222222</v>
      </c>
      <c r="C437" s="2" t="n">
        <f aca="false">MIN(E437:AE437)</f>
        <v>0</v>
      </c>
      <c r="D437" s="18" t="n">
        <f aca="false">MAX(E437:AE437)</f>
        <v>2</v>
      </c>
      <c r="E437" s="19" t="n">
        <v>0</v>
      </c>
      <c r="F437" s="19" t="n">
        <v>0</v>
      </c>
      <c r="G437" s="19" t="n">
        <v>0</v>
      </c>
      <c r="H437" s="19" t="n">
        <v>1</v>
      </c>
      <c r="I437" s="19" t="n">
        <v>0</v>
      </c>
      <c r="J437" s="19" t="n">
        <v>0</v>
      </c>
      <c r="K437" s="19" t="n">
        <v>0</v>
      </c>
      <c r="L437" s="19" t="n">
        <v>0</v>
      </c>
      <c r="M437" s="19" t="n">
        <v>2</v>
      </c>
      <c r="N437" s="19" t="n">
        <v>1</v>
      </c>
      <c r="O437" s="19" t="n">
        <v>0</v>
      </c>
      <c r="P437" s="19" t="n">
        <v>0</v>
      </c>
      <c r="Q437" s="19" t="n">
        <v>0</v>
      </c>
      <c r="R437" s="19" t="n">
        <v>1</v>
      </c>
      <c r="S437" s="19" t="n">
        <v>0</v>
      </c>
      <c r="T437" s="19" t="n">
        <v>0</v>
      </c>
      <c r="U437" s="19" t="n">
        <v>0</v>
      </c>
      <c r="V437" s="19" t="n">
        <v>0</v>
      </c>
      <c r="W437" s="19" t="n">
        <v>0</v>
      </c>
      <c r="X437" s="19" t="n">
        <v>1</v>
      </c>
      <c r="Y437" s="19" t="n">
        <v>0</v>
      </c>
      <c r="Z437" s="19" t="n">
        <v>0</v>
      </c>
      <c r="AA437" s="19" t="n">
        <v>0</v>
      </c>
      <c r="AB437" s="19" t="n">
        <v>0</v>
      </c>
      <c r="AC437" s="19" t="n">
        <v>0</v>
      </c>
      <c r="AD437" s="19" t="n">
        <v>0</v>
      </c>
      <c r="AE437" s="19" t="n">
        <v>0</v>
      </c>
      <c r="AF437" s="19" t="n">
        <v>0</v>
      </c>
      <c r="AG437" s="19"/>
      <c r="AH437" s="19"/>
    </row>
    <row r="438" customFormat="false" ht="12.75" hidden="false" customHeight="true" outlineLevel="0" collapsed="false">
      <c r="A438" s="16" t="s">
        <v>175</v>
      </c>
      <c r="B438" s="17" t="n">
        <f aca="false">AVERAGE(E438:AE438)</f>
        <v>0.222222222222222</v>
      </c>
      <c r="C438" s="2" t="n">
        <f aca="false">MIN(E438:AE438)</f>
        <v>0</v>
      </c>
      <c r="D438" s="18" t="n">
        <f aca="false">MAX(E438:AE438)</f>
        <v>2</v>
      </c>
      <c r="E438" s="19" t="n">
        <v>0</v>
      </c>
      <c r="F438" s="19" t="n">
        <v>0</v>
      </c>
      <c r="G438" s="19" t="n">
        <v>0</v>
      </c>
      <c r="H438" s="19" t="n">
        <v>1</v>
      </c>
      <c r="I438" s="19" t="n">
        <v>0</v>
      </c>
      <c r="J438" s="19" t="n">
        <v>0</v>
      </c>
      <c r="K438" s="19" t="n">
        <v>0</v>
      </c>
      <c r="L438" s="19" t="n">
        <v>0</v>
      </c>
      <c r="M438" s="19" t="n">
        <v>2</v>
      </c>
      <c r="N438" s="19" t="n">
        <v>1</v>
      </c>
      <c r="O438" s="19" t="n">
        <v>0</v>
      </c>
      <c r="P438" s="19" t="n">
        <v>0</v>
      </c>
      <c r="Q438" s="19" t="n">
        <v>0</v>
      </c>
      <c r="R438" s="19" t="n">
        <v>1</v>
      </c>
      <c r="S438" s="19" t="n">
        <v>0</v>
      </c>
      <c r="T438" s="19" t="n">
        <v>0</v>
      </c>
      <c r="U438" s="19" t="n">
        <v>0</v>
      </c>
      <c r="V438" s="19" t="n">
        <v>0</v>
      </c>
      <c r="W438" s="19" t="n">
        <v>0</v>
      </c>
      <c r="X438" s="19" t="n">
        <v>1</v>
      </c>
      <c r="Y438" s="19" t="n">
        <v>0</v>
      </c>
      <c r="Z438" s="19" t="n">
        <v>0</v>
      </c>
      <c r="AA438" s="19" t="n">
        <v>0</v>
      </c>
      <c r="AB438" s="19" t="n">
        <v>0</v>
      </c>
      <c r="AC438" s="19" t="n">
        <v>0</v>
      </c>
      <c r="AD438" s="19" t="n">
        <v>0</v>
      </c>
      <c r="AE438" s="19" t="n">
        <v>0</v>
      </c>
      <c r="AF438" s="19" t="n">
        <v>0</v>
      </c>
      <c r="AG438" s="19"/>
      <c r="AH438" s="19"/>
    </row>
    <row r="439" customFormat="false" ht="12.75" hidden="false" customHeight="true" outlineLevel="0" collapsed="false">
      <c r="A439" s="16" t="s">
        <v>176</v>
      </c>
      <c r="B439" s="17" t="n">
        <f aca="false">AVERAGE(E439:AE439)</f>
        <v>0.222222222222222</v>
      </c>
      <c r="C439" s="2" t="n">
        <f aca="false">MIN(E439:AE439)</f>
        <v>0</v>
      </c>
      <c r="D439" s="18" t="n">
        <f aca="false">MAX(E439:AE439)</f>
        <v>2</v>
      </c>
      <c r="E439" s="19" t="n">
        <v>0</v>
      </c>
      <c r="F439" s="19" t="n">
        <v>0</v>
      </c>
      <c r="G439" s="19" t="n">
        <v>0</v>
      </c>
      <c r="H439" s="19" t="n">
        <v>1</v>
      </c>
      <c r="I439" s="19" t="n">
        <v>0</v>
      </c>
      <c r="J439" s="19" t="n">
        <v>0</v>
      </c>
      <c r="K439" s="19" t="n">
        <v>0</v>
      </c>
      <c r="L439" s="19" t="n">
        <v>0</v>
      </c>
      <c r="M439" s="19" t="n">
        <v>2</v>
      </c>
      <c r="N439" s="19" t="n">
        <v>1</v>
      </c>
      <c r="O439" s="19" t="n">
        <v>0</v>
      </c>
      <c r="P439" s="19" t="n">
        <v>0</v>
      </c>
      <c r="Q439" s="19" t="n">
        <v>0</v>
      </c>
      <c r="R439" s="19" t="n">
        <v>1</v>
      </c>
      <c r="S439" s="19" t="n">
        <v>0</v>
      </c>
      <c r="T439" s="19" t="n">
        <v>0</v>
      </c>
      <c r="U439" s="19" t="n">
        <v>0</v>
      </c>
      <c r="V439" s="19" t="n">
        <v>0</v>
      </c>
      <c r="W439" s="19" t="n">
        <v>0</v>
      </c>
      <c r="X439" s="19" t="n">
        <v>1</v>
      </c>
      <c r="Y439" s="19" t="n">
        <v>0</v>
      </c>
      <c r="Z439" s="19" t="n">
        <v>0</v>
      </c>
      <c r="AA439" s="19" t="n">
        <v>0</v>
      </c>
      <c r="AB439" s="19" t="n">
        <v>0</v>
      </c>
      <c r="AC439" s="19" t="n">
        <v>0</v>
      </c>
      <c r="AD439" s="19" t="n">
        <v>0</v>
      </c>
      <c r="AE439" s="19" t="n">
        <v>0</v>
      </c>
      <c r="AF439" s="19" t="n">
        <v>0</v>
      </c>
      <c r="AG439" s="19"/>
      <c r="AH439" s="19"/>
    </row>
    <row r="440" customFormat="false" ht="12.75" hidden="false" customHeight="true" outlineLevel="0" collapsed="false">
      <c r="A440" s="16" t="s">
        <v>177</v>
      </c>
      <c r="B440" s="17" t="n">
        <f aca="false">AVERAGE(E440:AE440)</f>
        <v>0.222222222222222</v>
      </c>
      <c r="C440" s="2" t="n">
        <f aca="false">MIN(E440:AE440)</f>
        <v>0</v>
      </c>
      <c r="D440" s="18" t="n">
        <f aca="false">MAX(E440:AE440)</f>
        <v>2</v>
      </c>
      <c r="E440" s="19" t="n">
        <v>0</v>
      </c>
      <c r="F440" s="19" t="n">
        <v>0</v>
      </c>
      <c r="G440" s="19" t="n">
        <v>0</v>
      </c>
      <c r="H440" s="19" t="n">
        <v>1</v>
      </c>
      <c r="I440" s="19" t="n">
        <v>0</v>
      </c>
      <c r="J440" s="19" t="n">
        <v>0</v>
      </c>
      <c r="K440" s="19" t="n">
        <v>0</v>
      </c>
      <c r="L440" s="19" t="n">
        <v>0</v>
      </c>
      <c r="M440" s="19" t="n">
        <v>2</v>
      </c>
      <c r="N440" s="19" t="n">
        <v>1</v>
      </c>
      <c r="O440" s="19" t="n">
        <v>0</v>
      </c>
      <c r="P440" s="19" t="n">
        <v>0</v>
      </c>
      <c r="Q440" s="19" t="n">
        <v>0</v>
      </c>
      <c r="R440" s="19" t="n">
        <v>1</v>
      </c>
      <c r="S440" s="19" t="n">
        <v>0</v>
      </c>
      <c r="T440" s="19" t="n">
        <v>0</v>
      </c>
      <c r="U440" s="19" t="n">
        <v>0</v>
      </c>
      <c r="V440" s="19" t="n">
        <v>0</v>
      </c>
      <c r="W440" s="19" t="n">
        <v>0</v>
      </c>
      <c r="X440" s="19" t="n">
        <v>1</v>
      </c>
      <c r="Y440" s="19" t="n">
        <v>0</v>
      </c>
      <c r="Z440" s="19" t="n">
        <v>0</v>
      </c>
      <c r="AA440" s="19" t="n">
        <v>0</v>
      </c>
      <c r="AB440" s="19" t="n">
        <v>0</v>
      </c>
      <c r="AC440" s="19" t="n">
        <v>0</v>
      </c>
      <c r="AD440" s="19" t="n">
        <v>0</v>
      </c>
      <c r="AE440" s="19" t="n">
        <v>0</v>
      </c>
      <c r="AF440" s="19" t="n">
        <v>0</v>
      </c>
      <c r="AG440" s="19"/>
      <c r="AH440" s="19"/>
    </row>
    <row r="441" customFormat="false" ht="12.75" hidden="false" customHeight="true" outlineLevel="0" collapsed="false">
      <c r="A441" s="16" t="s">
        <v>178</v>
      </c>
      <c r="B441" s="17" t="n">
        <f aca="false">AVERAGE(E441:AE441)</f>
        <v>0.222222222222222</v>
      </c>
      <c r="C441" s="2" t="n">
        <f aca="false">MIN(E441:AE441)</f>
        <v>0</v>
      </c>
      <c r="D441" s="18" t="n">
        <f aca="false">MAX(E441:AE441)</f>
        <v>2</v>
      </c>
      <c r="E441" s="19" t="n">
        <v>0</v>
      </c>
      <c r="F441" s="19" t="n">
        <v>0</v>
      </c>
      <c r="G441" s="19" t="n">
        <v>0</v>
      </c>
      <c r="H441" s="19" t="n">
        <v>1</v>
      </c>
      <c r="I441" s="19" t="n">
        <v>0</v>
      </c>
      <c r="J441" s="19" t="n">
        <v>0</v>
      </c>
      <c r="K441" s="19" t="n">
        <v>0</v>
      </c>
      <c r="L441" s="19" t="n">
        <v>0</v>
      </c>
      <c r="M441" s="19" t="n">
        <v>2</v>
      </c>
      <c r="N441" s="19" t="n">
        <v>1</v>
      </c>
      <c r="O441" s="19" t="n">
        <v>0</v>
      </c>
      <c r="P441" s="19" t="n">
        <v>0</v>
      </c>
      <c r="Q441" s="19" t="n">
        <v>0</v>
      </c>
      <c r="R441" s="19" t="n">
        <v>1</v>
      </c>
      <c r="S441" s="19" t="n">
        <v>0</v>
      </c>
      <c r="T441" s="19" t="n">
        <v>0</v>
      </c>
      <c r="U441" s="19" t="n">
        <v>0</v>
      </c>
      <c r="V441" s="19" t="n">
        <v>0</v>
      </c>
      <c r="W441" s="19" t="n">
        <v>0</v>
      </c>
      <c r="X441" s="19" t="n">
        <v>1</v>
      </c>
      <c r="Y441" s="19" t="n">
        <v>0</v>
      </c>
      <c r="Z441" s="19" t="n">
        <v>0</v>
      </c>
      <c r="AA441" s="19" t="n">
        <v>0</v>
      </c>
      <c r="AB441" s="19" t="n">
        <v>0</v>
      </c>
      <c r="AC441" s="19" t="n">
        <v>0</v>
      </c>
      <c r="AD441" s="19" t="n">
        <v>0</v>
      </c>
      <c r="AE441" s="19" t="n">
        <v>0</v>
      </c>
      <c r="AF441" s="19" t="n">
        <v>0</v>
      </c>
      <c r="AG441" s="19"/>
      <c r="AH441" s="19"/>
    </row>
    <row r="442" customFormat="false" ht="12.75" hidden="false" customHeight="true" outlineLevel="0" collapsed="false">
      <c r="A442" s="16" t="s">
        <v>179</v>
      </c>
      <c r="B442" s="17" t="n">
        <f aca="false">AVERAGE(E442:AE442)</f>
        <v>0.222222222222222</v>
      </c>
      <c r="C442" s="2" t="n">
        <f aca="false">MIN(E442:AE442)</f>
        <v>0</v>
      </c>
      <c r="D442" s="18" t="n">
        <f aca="false">MAX(E442:AE442)</f>
        <v>2</v>
      </c>
      <c r="E442" s="19" t="n">
        <v>0</v>
      </c>
      <c r="F442" s="19" t="n">
        <v>0</v>
      </c>
      <c r="G442" s="19" t="n">
        <v>0</v>
      </c>
      <c r="H442" s="19" t="n">
        <v>1</v>
      </c>
      <c r="I442" s="19" t="n">
        <v>0</v>
      </c>
      <c r="J442" s="19" t="n">
        <v>0</v>
      </c>
      <c r="K442" s="19" t="n">
        <v>0</v>
      </c>
      <c r="L442" s="19" t="n">
        <v>0</v>
      </c>
      <c r="M442" s="19" t="n">
        <v>2</v>
      </c>
      <c r="N442" s="19" t="n">
        <v>1</v>
      </c>
      <c r="O442" s="19" t="n">
        <v>0</v>
      </c>
      <c r="P442" s="19" t="n">
        <v>0</v>
      </c>
      <c r="Q442" s="19" t="n">
        <v>0</v>
      </c>
      <c r="R442" s="19" t="n">
        <v>1</v>
      </c>
      <c r="S442" s="19" t="n">
        <v>0</v>
      </c>
      <c r="T442" s="19" t="n">
        <v>0</v>
      </c>
      <c r="U442" s="19" t="n">
        <v>0</v>
      </c>
      <c r="V442" s="19" t="n">
        <v>0</v>
      </c>
      <c r="W442" s="19" t="n">
        <v>0</v>
      </c>
      <c r="X442" s="19" t="n">
        <v>1</v>
      </c>
      <c r="Y442" s="19" t="n">
        <v>0</v>
      </c>
      <c r="Z442" s="19" t="n">
        <v>0</v>
      </c>
      <c r="AA442" s="19" t="n">
        <v>0</v>
      </c>
      <c r="AB442" s="19" t="n">
        <v>0</v>
      </c>
      <c r="AC442" s="19" t="n">
        <v>0</v>
      </c>
      <c r="AD442" s="19" t="n">
        <v>0</v>
      </c>
      <c r="AE442" s="19" t="n">
        <v>0</v>
      </c>
      <c r="AF442" s="19" t="n">
        <v>0</v>
      </c>
      <c r="AG442" s="19"/>
      <c r="AH442" s="19"/>
    </row>
    <row r="443" customFormat="false" ht="12.75" hidden="false" customHeight="true" outlineLevel="0" collapsed="false">
      <c r="A443" s="16" t="s">
        <v>180</v>
      </c>
      <c r="B443" s="17" t="n">
        <f aca="false">AVERAGE(E443:AE443)</f>
        <v>0.222222222222222</v>
      </c>
      <c r="C443" s="2" t="n">
        <f aca="false">MIN(E443:AE443)</f>
        <v>0</v>
      </c>
      <c r="D443" s="18" t="n">
        <f aca="false">MAX(E443:AE443)</f>
        <v>2</v>
      </c>
      <c r="E443" s="19" t="n">
        <v>0</v>
      </c>
      <c r="F443" s="19" t="n">
        <v>0</v>
      </c>
      <c r="G443" s="19" t="n">
        <v>0</v>
      </c>
      <c r="H443" s="19" t="n">
        <v>1</v>
      </c>
      <c r="I443" s="19" t="n">
        <v>0</v>
      </c>
      <c r="J443" s="19" t="n">
        <v>0</v>
      </c>
      <c r="K443" s="19" t="n">
        <v>0</v>
      </c>
      <c r="L443" s="19" t="n">
        <v>0</v>
      </c>
      <c r="M443" s="19" t="n">
        <v>2</v>
      </c>
      <c r="N443" s="19" t="n">
        <v>1</v>
      </c>
      <c r="O443" s="19" t="n">
        <v>0</v>
      </c>
      <c r="P443" s="19" t="n">
        <v>0</v>
      </c>
      <c r="Q443" s="19" t="n">
        <v>0</v>
      </c>
      <c r="R443" s="19" t="n">
        <v>1</v>
      </c>
      <c r="S443" s="19" t="n">
        <v>0</v>
      </c>
      <c r="T443" s="19" t="n">
        <v>0</v>
      </c>
      <c r="U443" s="19" t="n">
        <v>0</v>
      </c>
      <c r="V443" s="19" t="n">
        <v>0</v>
      </c>
      <c r="W443" s="19" t="n">
        <v>0</v>
      </c>
      <c r="X443" s="19" t="n">
        <v>1</v>
      </c>
      <c r="Y443" s="19" t="n">
        <v>0</v>
      </c>
      <c r="Z443" s="19" t="n">
        <v>0</v>
      </c>
      <c r="AA443" s="19" t="n">
        <v>0</v>
      </c>
      <c r="AB443" s="19" t="n">
        <v>0</v>
      </c>
      <c r="AC443" s="19" t="n">
        <v>0</v>
      </c>
      <c r="AD443" s="19" t="n">
        <v>0</v>
      </c>
      <c r="AE443" s="19" t="n">
        <v>0</v>
      </c>
      <c r="AF443" s="19" t="n">
        <v>0</v>
      </c>
      <c r="AG443" s="19"/>
      <c r="AH443" s="19"/>
    </row>
    <row r="444" customFormat="false" ht="12.75" hidden="false" customHeight="true" outlineLevel="0" collapsed="false">
      <c r="A444" s="16" t="s">
        <v>181</v>
      </c>
      <c r="B444" s="17" t="n">
        <f aca="false">AVERAGE(E444:AE444)</f>
        <v>0.222222222222222</v>
      </c>
      <c r="C444" s="2" t="n">
        <f aca="false">MIN(E444:AE444)</f>
        <v>0</v>
      </c>
      <c r="D444" s="18" t="n">
        <f aca="false">MAX(E444:AE444)</f>
        <v>2</v>
      </c>
      <c r="E444" s="19" t="n">
        <v>0</v>
      </c>
      <c r="F444" s="19" t="n">
        <v>0</v>
      </c>
      <c r="G444" s="19" t="n">
        <v>0</v>
      </c>
      <c r="H444" s="19" t="n">
        <v>1</v>
      </c>
      <c r="I444" s="19" t="n">
        <v>0</v>
      </c>
      <c r="J444" s="19" t="n">
        <v>0</v>
      </c>
      <c r="K444" s="19" t="n">
        <v>0</v>
      </c>
      <c r="L444" s="19" t="n">
        <v>0</v>
      </c>
      <c r="M444" s="19" t="n">
        <v>2</v>
      </c>
      <c r="N444" s="19" t="n">
        <v>1</v>
      </c>
      <c r="O444" s="19" t="n">
        <v>0</v>
      </c>
      <c r="P444" s="19" t="n">
        <v>0</v>
      </c>
      <c r="Q444" s="19" t="n">
        <v>0</v>
      </c>
      <c r="R444" s="19" t="n">
        <v>1</v>
      </c>
      <c r="S444" s="19" t="n">
        <v>0</v>
      </c>
      <c r="T444" s="19" t="n">
        <v>0</v>
      </c>
      <c r="U444" s="19" t="n">
        <v>0</v>
      </c>
      <c r="V444" s="19" t="n">
        <v>0</v>
      </c>
      <c r="W444" s="19" t="n">
        <v>0</v>
      </c>
      <c r="X444" s="19" t="n">
        <v>1</v>
      </c>
      <c r="Y444" s="19" t="n">
        <v>0</v>
      </c>
      <c r="Z444" s="19" t="n">
        <v>0</v>
      </c>
      <c r="AA444" s="19" t="n">
        <v>0</v>
      </c>
      <c r="AB444" s="19" t="n">
        <v>0</v>
      </c>
      <c r="AC444" s="19" t="n">
        <v>0</v>
      </c>
      <c r="AD444" s="19" t="n">
        <v>0</v>
      </c>
      <c r="AE444" s="19" t="n">
        <v>0</v>
      </c>
      <c r="AF444" s="19" t="n">
        <v>0</v>
      </c>
      <c r="AG444" s="19"/>
      <c r="AH444" s="19"/>
    </row>
    <row r="445" customFormat="false" ht="12.75" hidden="false" customHeight="true" outlineLevel="0" collapsed="false">
      <c r="A445" s="16" t="s">
        <v>185</v>
      </c>
      <c r="B445" s="17" t="n">
        <f aca="false">AVERAGE(E445:AE445)</f>
        <v>0.259259259259259</v>
      </c>
      <c r="C445" s="2" t="n">
        <f aca="false">MIN(E445:AE445)</f>
        <v>0</v>
      </c>
      <c r="D445" s="18" t="n">
        <f aca="false">MAX(E445:AE445)</f>
        <v>2</v>
      </c>
      <c r="E445" s="19" t="n">
        <v>0</v>
      </c>
      <c r="F445" s="19" t="n">
        <v>0</v>
      </c>
      <c r="G445" s="19" t="n">
        <v>0</v>
      </c>
      <c r="H445" s="19" t="n">
        <v>1</v>
      </c>
      <c r="I445" s="19" t="n">
        <v>0</v>
      </c>
      <c r="J445" s="19" t="n">
        <v>0</v>
      </c>
      <c r="K445" s="19" t="n">
        <v>0</v>
      </c>
      <c r="L445" s="19" t="n">
        <v>0</v>
      </c>
      <c r="M445" s="19" t="n">
        <v>2</v>
      </c>
      <c r="N445" s="19" t="n">
        <v>1</v>
      </c>
      <c r="O445" s="19" t="n">
        <v>0</v>
      </c>
      <c r="P445" s="19" t="n">
        <v>0</v>
      </c>
      <c r="Q445" s="19" t="n">
        <v>0</v>
      </c>
      <c r="R445" s="19" t="n">
        <v>1</v>
      </c>
      <c r="S445" s="19" t="n">
        <v>0</v>
      </c>
      <c r="T445" s="19" t="n">
        <v>0</v>
      </c>
      <c r="U445" s="19" t="n">
        <v>0</v>
      </c>
      <c r="V445" s="19" t="n">
        <v>0</v>
      </c>
      <c r="W445" s="19" t="n">
        <v>0</v>
      </c>
      <c r="X445" s="19" t="n">
        <v>1</v>
      </c>
      <c r="Y445" s="19" t="n">
        <v>0</v>
      </c>
      <c r="Z445" s="19" t="n">
        <v>0</v>
      </c>
      <c r="AA445" s="19" t="n">
        <v>0</v>
      </c>
      <c r="AB445" s="19" t="n">
        <v>0</v>
      </c>
      <c r="AC445" s="19" t="n">
        <v>1</v>
      </c>
      <c r="AD445" s="19" t="n">
        <v>0</v>
      </c>
      <c r="AE445" s="19" t="n">
        <v>0</v>
      </c>
      <c r="AF445" s="19" t="n">
        <v>0</v>
      </c>
      <c r="AG445" s="19"/>
      <c r="AH445" s="19"/>
    </row>
    <row r="446" customFormat="false" ht="12.75" hidden="false" customHeight="true" outlineLevel="0" collapsed="false">
      <c r="A446" s="16" t="s">
        <v>186</v>
      </c>
      <c r="B446" s="17" t="n">
        <f aca="false">AVERAGE(E446:AE446)</f>
        <v>0.259259259259259</v>
      </c>
      <c r="C446" s="2" t="n">
        <f aca="false">MIN(E446:AE446)</f>
        <v>0</v>
      </c>
      <c r="D446" s="18" t="n">
        <f aca="false">MAX(E446:AE446)</f>
        <v>2</v>
      </c>
      <c r="E446" s="19" t="n">
        <v>0</v>
      </c>
      <c r="F446" s="19" t="n">
        <v>0</v>
      </c>
      <c r="G446" s="19" t="n">
        <v>0</v>
      </c>
      <c r="H446" s="19" t="n">
        <v>1</v>
      </c>
      <c r="I446" s="19" t="n">
        <v>0</v>
      </c>
      <c r="J446" s="19" t="n">
        <v>0</v>
      </c>
      <c r="K446" s="19" t="n">
        <v>0</v>
      </c>
      <c r="L446" s="19" t="n">
        <v>0</v>
      </c>
      <c r="M446" s="19" t="n">
        <v>2</v>
      </c>
      <c r="N446" s="19" t="n">
        <v>1</v>
      </c>
      <c r="O446" s="19" t="n">
        <v>0</v>
      </c>
      <c r="P446" s="19" t="n">
        <v>0</v>
      </c>
      <c r="Q446" s="19" t="n">
        <v>0</v>
      </c>
      <c r="R446" s="19" t="n">
        <v>1</v>
      </c>
      <c r="S446" s="19" t="n">
        <v>0</v>
      </c>
      <c r="T446" s="19" t="n">
        <v>0</v>
      </c>
      <c r="U446" s="19" t="n">
        <v>0</v>
      </c>
      <c r="V446" s="19" t="n">
        <v>0</v>
      </c>
      <c r="W446" s="19" t="n">
        <v>0</v>
      </c>
      <c r="X446" s="19" t="n">
        <v>1</v>
      </c>
      <c r="Y446" s="19" t="n">
        <v>0</v>
      </c>
      <c r="Z446" s="19" t="n">
        <v>0</v>
      </c>
      <c r="AA446" s="19" t="n">
        <v>0</v>
      </c>
      <c r="AB446" s="19" t="n">
        <v>0</v>
      </c>
      <c r="AC446" s="19" t="n">
        <v>1</v>
      </c>
      <c r="AD446" s="19" t="n">
        <v>0</v>
      </c>
      <c r="AE446" s="19" t="n">
        <v>0</v>
      </c>
      <c r="AF446" s="19" t="n">
        <v>0</v>
      </c>
      <c r="AG446" s="19"/>
      <c r="AH446" s="19"/>
    </row>
    <row r="447" customFormat="false" ht="12.75" hidden="false" customHeight="true" outlineLevel="0" collapsed="false">
      <c r="A447" s="16" t="s">
        <v>187</v>
      </c>
      <c r="B447" s="17" t="n">
        <f aca="false">AVERAGE(E447:AE447)</f>
        <v>0.259259259259259</v>
      </c>
      <c r="C447" s="2" t="n">
        <f aca="false">MIN(E447:AE447)</f>
        <v>0</v>
      </c>
      <c r="D447" s="18" t="n">
        <f aca="false">MAX(E447:AE447)</f>
        <v>2</v>
      </c>
      <c r="E447" s="19" t="n">
        <v>0</v>
      </c>
      <c r="F447" s="19" t="n">
        <v>0</v>
      </c>
      <c r="G447" s="19" t="n">
        <v>0</v>
      </c>
      <c r="H447" s="19" t="n">
        <v>1</v>
      </c>
      <c r="I447" s="19" t="n">
        <v>0</v>
      </c>
      <c r="J447" s="19" t="n">
        <v>0</v>
      </c>
      <c r="K447" s="19" t="n">
        <v>0</v>
      </c>
      <c r="L447" s="19" t="n">
        <v>0</v>
      </c>
      <c r="M447" s="19" t="n">
        <v>2</v>
      </c>
      <c r="N447" s="19" t="n">
        <v>1</v>
      </c>
      <c r="O447" s="19" t="n">
        <v>0</v>
      </c>
      <c r="P447" s="19" t="n">
        <v>0</v>
      </c>
      <c r="Q447" s="19" t="n">
        <v>0</v>
      </c>
      <c r="R447" s="19" t="n">
        <v>1</v>
      </c>
      <c r="S447" s="19" t="n">
        <v>0</v>
      </c>
      <c r="T447" s="19" t="n">
        <v>0</v>
      </c>
      <c r="U447" s="19" t="n">
        <v>0</v>
      </c>
      <c r="V447" s="19" t="n">
        <v>0</v>
      </c>
      <c r="W447" s="19" t="n">
        <v>0</v>
      </c>
      <c r="X447" s="19" t="n">
        <v>1</v>
      </c>
      <c r="Y447" s="19" t="n">
        <v>0</v>
      </c>
      <c r="Z447" s="19" t="n">
        <v>0</v>
      </c>
      <c r="AA447" s="19" t="n">
        <v>0</v>
      </c>
      <c r="AB447" s="19" t="n">
        <v>0</v>
      </c>
      <c r="AC447" s="19" t="n">
        <v>1</v>
      </c>
      <c r="AD447" s="19" t="n">
        <v>0</v>
      </c>
      <c r="AE447" s="19" t="n">
        <v>0</v>
      </c>
      <c r="AF447" s="19" t="n">
        <v>0</v>
      </c>
      <c r="AG447" s="19"/>
      <c r="AH447" s="19"/>
    </row>
    <row r="448" customFormat="false" ht="12.75" hidden="false" customHeight="true" outlineLevel="0" collapsed="false">
      <c r="A448" s="16" t="s">
        <v>188</v>
      </c>
      <c r="B448" s="17" t="n">
        <f aca="false">AVERAGE(E448:AE448)</f>
        <v>0.259259259259259</v>
      </c>
      <c r="C448" s="2" t="n">
        <f aca="false">MIN(E448:AE448)</f>
        <v>0</v>
      </c>
      <c r="D448" s="18" t="n">
        <f aca="false">MAX(E448:AE448)</f>
        <v>2</v>
      </c>
      <c r="E448" s="19" t="n">
        <v>0</v>
      </c>
      <c r="F448" s="19" t="n">
        <v>0</v>
      </c>
      <c r="G448" s="19" t="n">
        <v>0</v>
      </c>
      <c r="H448" s="19" t="n">
        <v>1</v>
      </c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2</v>
      </c>
      <c r="N448" s="19" t="n">
        <v>1</v>
      </c>
      <c r="O448" s="19" t="n">
        <v>0</v>
      </c>
      <c r="P448" s="19" t="n">
        <v>0</v>
      </c>
      <c r="Q448" s="19" t="n">
        <v>0</v>
      </c>
      <c r="R448" s="19" t="n">
        <v>1</v>
      </c>
      <c r="S448" s="19" t="n">
        <v>0</v>
      </c>
      <c r="T448" s="19" t="n">
        <v>0</v>
      </c>
      <c r="U448" s="19" t="n">
        <v>0</v>
      </c>
      <c r="V448" s="19" t="n">
        <v>0</v>
      </c>
      <c r="W448" s="19" t="n">
        <v>0</v>
      </c>
      <c r="X448" s="19" t="n">
        <v>1</v>
      </c>
      <c r="Y448" s="19" t="n">
        <v>0</v>
      </c>
      <c r="Z448" s="19" t="n">
        <v>0</v>
      </c>
      <c r="AA448" s="19" t="n">
        <v>0</v>
      </c>
      <c r="AB448" s="19" t="n">
        <v>0</v>
      </c>
      <c r="AC448" s="19" t="n">
        <v>1</v>
      </c>
      <c r="AD448" s="19" t="n">
        <v>0</v>
      </c>
      <c r="AE448" s="19" t="n">
        <v>0</v>
      </c>
      <c r="AF448" s="19" t="n">
        <v>0</v>
      </c>
      <c r="AG448" s="19"/>
      <c r="AH448" s="19"/>
    </row>
    <row r="449" customFormat="false" ht="12.75" hidden="false" customHeight="true" outlineLevel="0" collapsed="false">
      <c r="A449" s="16" t="s">
        <v>189</v>
      </c>
      <c r="B449" s="17" t="n">
        <f aca="false">AVERAGE(E449:AE449)</f>
        <v>0.259259259259259</v>
      </c>
      <c r="C449" s="2" t="n">
        <f aca="false">MIN(E449:AE449)</f>
        <v>0</v>
      </c>
      <c r="D449" s="18" t="n">
        <f aca="false">MAX(E449:AE449)</f>
        <v>2</v>
      </c>
      <c r="E449" s="19" t="n">
        <v>0</v>
      </c>
      <c r="F449" s="19" t="n">
        <v>0</v>
      </c>
      <c r="G449" s="19" t="n">
        <v>0</v>
      </c>
      <c r="H449" s="19" t="n">
        <v>1</v>
      </c>
      <c r="I449" s="19" t="n">
        <v>0</v>
      </c>
      <c r="J449" s="19" t="n">
        <v>0</v>
      </c>
      <c r="K449" s="19" t="n">
        <v>0</v>
      </c>
      <c r="L449" s="19" t="n">
        <v>0</v>
      </c>
      <c r="M449" s="19" t="n">
        <v>2</v>
      </c>
      <c r="N449" s="19" t="n">
        <v>1</v>
      </c>
      <c r="O449" s="19" t="n">
        <v>0</v>
      </c>
      <c r="P449" s="19" t="n">
        <v>0</v>
      </c>
      <c r="Q449" s="19" t="n">
        <v>0</v>
      </c>
      <c r="R449" s="19" t="n">
        <v>1</v>
      </c>
      <c r="S449" s="19" t="n">
        <v>0</v>
      </c>
      <c r="T449" s="19" t="n">
        <v>0</v>
      </c>
      <c r="U449" s="19" t="n">
        <v>0</v>
      </c>
      <c r="V449" s="19" t="n">
        <v>0</v>
      </c>
      <c r="W449" s="19" t="n">
        <v>0</v>
      </c>
      <c r="X449" s="19" t="n">
        <v>1</v>
      </c>
      <c r="Y449" s="19" t="n">
        <v>0</v>
      </c>
      <c r="Z449" s="19" t="n">
        <v>0</v>
      </c>
      <c r="AA449" s="19" t="n">
        <v>0</v>
      </c>
      <c r="AB449" s="19" t="n">
        <v>0</v>
      </c>
      <c r="AC449" s="19" t="n">
        <v>1</v>
      </c>
      <c r="AD449" s="19" t="n">
        <v>0</v>
      </c>
      <c r="AE449" s="19" t="n">
        <v>0</v>
      </c>
      <c r="AF449" s="19" t="n">
        <v>0</v>
      </c>
      <c r="AG449" s="19"/>
      <c r="AH449" s="19"/>
    </row>
    <row r="450" customFormat="false" ht="12.75" hidden="false" customHeight="true" outlineLevel="0" collapsed="false">
      <c r="A450" s="16" t="s">
        <v>190</v>
      </c>
      <c r="B450" s="17" t="n">
        <f aca="false">AVERAGE(E450:AE450)</f>
        <v>0.259259259259259</v>
      </c>
      <c r="C450" s="2" t="n">
        <f aca="false">MIN(E450:AE450)</f>
        <v>0</v>
      </c>
      <c r="D450" s="18" t="n">
        <f aca="false">MAX(E450:AE450)</f>
        <v>2</v>
      </c>
      <c r="E450" s="19" t="n">
        <v>0</v>
      </c>
      <c r="F450" s="19" t="n">
        <v>0</v>
      </c>
      <c r="G450" s="19" t="n">
        <v>0</v>
      </c>
      <c r="H450" s="19" t="n">
        <v>1</v>
      </c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2</v>
      </c>
      <c r="N450" s="19" t="n">
        <v>1</v>
      </c>
      <c r="O450" s="19" t="n">
        <v>0</v>
      </c>
      <c r="P450" s="19" t="n">
        <v>0</v>
      </c>
      <c r="Q450" s="19" t="n">
        <v>0</v>
      </c>
      <c r="R450" s="19" t="n">
        <v>1</v>
      </c>
      <c r="S450" s="19" t="n">
        <v>0</v>
      </c>
      <c r="T450" s="19" t="n">
        <v>0</v>
      </c>
      <c r="U450" s="19" t="n">
        <v>0</v>
      </c>
      <c r="V450" s="19" t="n">
        <v>0</v>
      </c>
      <c r="W450" s="19" t="n">
        <v>0</v>
      </c>
      <c r="X450" s="19" t="n">
        <v>1</v>
      </c>
      <c r="Y450" s="19" t="n">
        <v>0</v>
      </c>
      <c r="Z450" s="19" t="n">
        <v>0</v>
      </c>
      <c r="AA450" s="19" t="n">
        <v>0</v>
      </c>
      <c r="AB450" s="19" t="n">
        <v>0</v>
      </c>
      <c r="AC450" s="19" t="n">
        <v>1</v>
      </c>
      <c r="AD450" s="19" t="n">
        <v>0</v>
      </c>
      <c r="AE450" s="19" t="n">
        <v>0</v>
      </c>
      <c r="AF450" s="19" t="n">
        <v>0</v>
      </c>
      <c r="AG450" s="19"/>
      <c r="AH450" s="19"/>
    </row>
    <row r="451" customFormat="false" ht="12.75" hidden="false" customHeight="true" outlineLevel="0" collapsed="false">
      <c r="A451" s="16" t="s">
        <v>191</v>
      </c>
      <c r="B451" s="17" t="n">
        <f aca="false">AVERAGE(E451:AE451)</f>
        <v>0.259259259259259</v>
      </c>
      <c r="C451" s="2" t="n">
        <f aca="false">MIN(E451:AE451)</f>
        <v>0</v>
      </c>
      <c r="D451" s="18" t="n">
        <f aca="false">MAX(E451:AE451)</f>
        <v>2</v>
      </c>
      <c r="E451" s="19" t="n">
        <v>0</v>
      </c>
      <c r="F451" s="19" t="n">
        <v>0</v>
      </c>
      <c r="G451" s="19" t="n">
        <v>0</v>
      </c>
      <c r="H451" s="19" t="n">
        <v>1</v>
      </c>
      <c r="I451" s="19" t="n">
        <v>0</v>
      </c>
      <c r="J451" s="19" t="n">
        <v>0</v>
      </c>
      <c r="K451" s="19" t="n">
        <v>0</v>
      </c>
      <c r="L451" s="19" t="n">
        <v>0</v>
      </c>
      <c r="M451" s="19" t="n">
        <v>2</v>
      </c>
      <c r="N451" s="19" t="n">
        <v>1</v>
      </c>
      <c r="O451" s="19" t="n">
        <v>0</v>
      </c>
      <c r="P451" s="19" t="n">
        <v>0</v>
      </c>
      <c r="Q451" s="19" t="n">
        <v>0</v>
      </c>
      <c r="R451" s="19" t="n">
        <v>1</v>
      </c>
      <c r="S451" s="19" t="n">
        <v>0</v>
      </c>
      <c r="T451" s="19" t="n">
        <v>0</v>
      </c>
      <c r="U451" s="19" t="n">
        <v>0</v>
      </c>
      <c r="V451" s="19" t="n">
        <v>0</v>
      </c>
      <c r="W451" s="19" t="n">
        <v>0</v>
      </c>
      <c r="X451" s="19" t="n">
        <v>1</v>
      </c>
      <c r="Y451" s="19" t="n">
        <v>0</v>
      </c>
      <c r="Z451" s="19" t="n">
        <v>0</v>
      </c>
      <c r="AA451" s="19" t="n">
        <v>0</v>
      </c>
      <c r="AB451" s="19" t="n">
        <v>0</v>
      </c>
      <c r="AC451" s="19" t="n">
        <v>1</v>
      </c>
      <c r="AD451" s="19" t="n">
        <v>0</v>
      </c>
      <c r="AE451" s="19" t="n">
        <v>0</v>
      </c>
      <c r="AF451" s="19" t="n">
        <v>0</v>
      </c>
      <c r="AG451" s="19"/>
      <c r="AH451" s="19"/>
    </row>
    <row r="452" customFormat="false" ht="12.75" hidden="false" customHeight="true" outlineLevel="0" collapsed="false">
      <c r="A452" s="16" t="s">
        <v>192</v>
      </c>
      <c r="B452" s="17" t="n">
        <f aca="false">AVERAGE(E452:AE452)</f>
        <v>0.259259259259259</v>
      </c>
      <c r="C452" s="2" t="n">
        <f aca="false">MIN(E452:AE452)</f>
        <v>0</v>
      </c>
      <c r="D452" s="18" t="n">
        <f aca="false">MAX(E452:AE452)</f>
        <v>2</v>
      </c>
      <c r="E452" s="19" t="n">
        <v>0</v>
      </c>
      <c r="F452" s="19" t="n">
        <v>0</v>
      </c>
      <c r="G452" s="19" t="n">
        <v>0</v>
      </c>
      <c r="H452" s="19" t="n">
        <v>1</v>
      </c>
      <c r="I452" s="19" t="n">
        <v>0</v>
      </c>
      <c r="J452" s="19" t="n">
        <v>0</v>
      </c>
      <c r="K452" s="19" t="n">
        <v>0</v>
      </c>
      <c r="L452" s="19" t="n">
        <v>0</v>
      </c>
      <c r="M452" s="19" t="n">
        <v>2</v>
      </c>
      <c r="N452" s="19" t="n">
        <v>1</v>
      </c>
      <c r="O452" s="19" t="n">
        <v>0</v>
      </c>
      <c r="P452" s="19" t="n">
        <v>0</v>
      </c>
      <c r="Q452" s="19" t="n">
        <v>0</v>
      </c>
      <c r="R452" s="19" t="n">
        <v>1</v>
      </c>
      <c r="S452" s="19" t="n">
        <v>0</v>
      </c>
      <c r="T452" s="19" t="n">
        <v>0</v>
      </c>
      <c r="U452" s="19" t="n">
        <v>0</v>
      </c>
      <c r="V452" s="19" t="n">
        <v>0</v>
      </c>
      <c r="W452" s="19" t="n">
        <v>0</v>
      </c>
      <c r="X452" s="19" t="n">
        <v>1</v>
      </c>
      <c r="Y452" s="19" t="n">
        <v>0</v>
      </c>
      <c r="Z452" s="19" t="n">
        <v>0</v>
      </c>
      <c r="AA452" s="19" t="n">
        <v>0</v>
      </c>
      <c r="AB452" s="19" t="n">
        <v>0</v>
      </c>
      <c r="AC452" s="19" t="n">
        <v>1</v>
      </c>
      <c r="AD452" s="19" t="n">
        <v>0</v>
      </c>
      <c r="AE452" s="19" t="n">
        <v>0</v>
      </c>
      <c r="AF452" s="19" t="n">
        <v>0</v>
      </c>
      <c r="AG452" s="19"/>
      <c r="AH452" s="19"/>
    </row>
    <row r="453" customFormat="false" ht="12.75" hidden="false" customHeight="true" outlineLevel="0" collapsed="false">
      <c r="A453" s="16" t="s">
        <v>193</v>
      </c>
      <c r="B453" s="17" t="n">
        <f aca="false">AVERAGE(E453:AE453)</f>
        <v>0.259259259259259</v>
      </c>
      <c r="C453" s="2" t="n">
        <f aca="false">MIN(E453:AE453)</f>
        <v>0</v>
      </c>
      <c r="D453" s="18" t="n">
        <f aca="false">MAX(E453:AE453)</f>
        <v>2</v>
      </c>
      <c r="E453" s="19" t="n">
        <v>0</v>
      </c>
      <c r="F453" s="19" t="n">
        <v>0</v>
      </c>
      <c r="G453" s="19" t="n">
        <v>0</v>
      </c>
      <c r="H453" s="19" t="n">
        <v>1</v>
      </c>
      <c r="I453" s="19" t="n">
        <v>0</v>
      </c>
      <c r="J453" s="19" t="n">
        <v>0</v>
      </c>
      <c r="K453" s="19" t="n">
        <v>0</v>
      </c>
      <c r="L453" s="19" t="n">
        <v>0</v>
      </c>
      <c r="M453" s="19" t="n">
        <v>2</v>
      </c>
      <c r="N453" s="19" t="n">
        <v>1</v>
      </c>
      <c r="O453" s="19" t="n">
        <v>0</v>
      </c>
      <c r="P453" s="19" t="n">
        <v>0</v>
      </c>
      <c r="Q453" s="19" t="n">
        <v>0</v>
      </c>
      <c r="R453" s="19" t="n">
        <v>1</v>
      </c>
      <c r="S453" s="19" t="n">
        <v>0</v>
      </c>
      <c r="T453" s="19" t="n">
        <v>0</v>
      </c>
      <c r="U453" s="19" t="n">
        <v>0</v>
      </c>
      <c r="V453" s="19" t="n">
        <v>0</v>
      </c>
      <c r="W453" s="19" t="n">
        <v>0</v>
      </c>
      <c r="X453" s="19" t="n">
        <v>1</v>
      </c>
      <c r="Y453" s="19" t="n">
        <v>0</v>
      </c>
      <c r="Z453" s="19" t="n">
        <v>0</v>
      </c>
      <c r="AA453" s="19" t="n">
        <v>0</v>
      </c>
      <c r="AB453" s="19" t="n">
        <v>0</v>
      </c>
      <c r="AC453" s="19" t="n">
        <v>1</v>
      </c>
      <c r="AD453" s="19" t="n">
        <v>0</v>
      </c>
      <c r="AE453" s="19" t="n">
        <v>0</v>
      </c>
      <c r="AF453" s="19" t="n">
        <v>0</v>
      </c>
      <c r="AG453" s="19"/>
      <c r="AH453" s="19"/>
    </row>
    <row r="454" customFormat="false" ht="12.75" hidden="false" customHeight="true" outlineLevel="0" collapsed="false">
      <c r="A454" s="16" t="s">
        <v>194</v>
      </c>
      <c r="B454" s="17" t="n">
        <f aca="false">AVERAGE(E454:AE454)</f>
        <v>0.259259259259259</v>
      </c>
      <c r="C454" s="2" t="n">
        <f aca="false">MIN(E454:AE454)</f>
        <v>0</v>
      </c>
      <c r="D454" s="18" t="n">
        <f aca="false">MAX(E454:AE454)</f>
        <v>2</v>
      </c>
      <c r="E454" s="19" t="n">
        <v>0</v>
      </c>
      <c r="F454" s="19" t="n">
        <v>0</v>
      </c>
      <c r="G454" s="19" t="n">
        <v>0</v>
      </c>
      <c r="H454" s="19" t="n">
        <v>1</v>
      </c>
      <c r="I454" s="19" t="n">
        <v>0</v>
      </c>
      <c r="J454" s="19" t="n">
        <v>0</v>
      </c>
      <c r="K454" s="19" t="n">
        <v>0</v>
      </c>
      <c r="L454" s="19" t="n">
        <v>0</v>
      </c>
      <c r="M454" s="19" t="n">
        <v>2</v>
      </c>
      <c r="N454" s="19" t="n">
        <v>1</v>
      </c>
      <c r="O454" s="19" t="n">
        <v>0</v>
      </c>
      <c r="P454" s="19" t="n">
        <v>0</v>
      </c>
      <c r="Q454" s="19" t="n">
        <v>0</v>
      </c>
      <c r="R454" s="19" t="n">
        <v>1</v>
      </c>
      <c r="S454" s="19" t="n">
        <v>0</v>
      </c>
      <c r="T454" s="19" t="n">
        <v>0</v>
      </c>
      <c r="U454" s="19" t="n">
        <v>0</v>
      </c>
      <c r="V454" s="19" t="n">
        <v>0</v>
      </c>
      <c r="W454" s="19" t="n">
        <v>0</v>
      </c>
      <c r="X454" s="19" t="n">
        <v>1</v>
      </c>
      <c r="Y454" s="19" t="n">
        <v>0</v>
      </c>
      <c r="Z454" s="19" t="n">
        <v>0</v>
      </c>
      <c r="AA454" s="19" t="n">
        <v>0</v>
      </c>
      <c r="AB454" s="19" t="n">
        <v>0</v>
      </c>
      <c r="AC454" s="19" t="n">
        <v>1</v>
      </c>
      <c r="AD454" s="19" t="n">
        <v>0</v>
      </c>
      <c r="AE454" s="19" t="n">
        <v>0</v>
      </c>
      <c r="AF454" s="19" t="n">
        <v>0</v>
      </c>
      <c r="AG454" s="19"/>
      <c r="AH454" s="19"/>
    </row>
    <row r="455" customFormat="false" ht="12.75" hidden="false" customHeight="true" outlineLevel="0" collapsed="false">
      <c r="A455" s="16" t="s">
        <v>195</v>
      </c>
      <c r="B455" s="17" t="n">
        <f aca="false">AVERAGE(E455:AE455)</f>
        <v>0.259259259259259</v>
      </c>
      <c r="C455" s="2" t="n">
        <f aca="false">MIN(E455:AE455)</f>
        <v>0</v>
      </c>
      <c r="D455" s="18" t="n">
        <f aca="false">MAX(E455:AE455)</f>
        <v>2</v>
      </c>
      <c r="E455" s="19" t="n">
        <v>0</v>
      </c>
      <c r="F455" s="19" t="n">
        <v>0</v>
      </c>
      <c r="G455" s="19" t="n">
        <v>0</v>
      </c>
      <c r="H455" s="19" t="n">
        <v>1</v>
      </c>
      <c r="I455" s="19" t="n">
        <v>0</v>
      </c>
      <c r="J455" s="19" t="n">
        <v>0</v>
      </c>
      <c r="K455" s="19" t="n">
        <v>0</v>
      </c>
      <c r="L455" s="19" t="n">
        <v>0</v>
      </c>
      <c r="M455" s="19" t="n">
        <v>2</v>
      </c>
      <c r="N455" s="19" t="n">
        <v>1</v>
      </c>
      <c r="O455" s="19" t="n">
        <v>0</v>
      </c>
      <c r="P455" s="19" t="n">
        <v>0</v>
      </c>
      <c r="Q455" s="19" t="n">
        <v>0</v>
      </c>
      <c r="R455" s="19" t="n">
        <v>1</v>
      </c>
      <c r="S455" s="19" t="n">
        <v>0</v>
      </c>
      <c r="T455" s="19" t="n">
        <v>0</v>
      </c>
      <c r="U455" s="19" t="n">
        <v>0</v>
      </c>
      <c r="V455" s="19" t="n">
        <v>0</v>
      </c>
      <c r="W455" s="19" t="n">
        <v>0</v>
      </c>
      <c r="X455" s="19" t="n">
        <v>1</v>
      </c>
      <c r="Y455" s="19" t="n">
        <v>0</v>
      </c>
      <c r="Z455" s="19" t="n">
        <v>0</v>
      </c>
      <c r="AA455" s="19" t="n">
        <v>0</v>
      </c>
      <c r="AB455" s="19" t="n">
        <v>0</v>
      </c>
      <c r="AC455" s="19" t="n">
        <v>1</v>
      </c>
      <c r="AD455" s="19" t="n">
        <v>0</v>
      </c>
      <c r="AE455" s="19" t="n">
        <v>0</v>
      </c>
      <c r="AF455" s="19" t="n">
        <v>0</v>
      </c>
      <c r="AG455" s="19"/>
      <c r="AH455" s="19"/>
    </row>
    <row r="456" customFormat="false" ht="12.75" hidden="false" customHeight="true" outlineLevel="0" collapsed="false">
      <c r="A456" s="16" t="s">
        <v>196</v>
      </c>
      <c r="B456" s="17" t="n">
        <f aca="false">AVERAGE(E456:AE456)</f>
        <v>0.259259259259259</v>
      </c>
      <c r="C456" s="2" t="n">
        <f aca="false">MIN(E456:AE456)</f>
        <v>0</v>
      </c>
      <c r="D456" s="18" t="n">
        <f aca="false">MAX(E456:AE456)</f>
        <v>2</v>
      </c>
      <c r="E456" s="19" t="n">
        <v>0</v>
      </c>
      <c r="F456" s="19" t="n">
        <v>0</v>
      </c>
      <c r="G456" s="19" t="n">
        <v>0</v>
      </c>
      <c r="H456" s="19" t="n">
        <v>1</v>
      </c>
      <c r="I456" s="19" t="n">
        <v>0</v>
      </c>
      <c r="J456" s="19" t="n">
        <v>0</v>
      </c>
      <c r="K456" s="19" t="n">
        <v>0</v>
      </c>
      <c r="L456" s="19" t="n">
        <v>0</v>
      </c>
      <c r="M456" s="19" t="n">
        <v>2</v>
      </c>
      <c r="N456" s="19" t="n">
        <v>1</v>
      </c>
      <c r="O456" s="19" t="n">
        <v>0</v>
      </c>
      <c r="P456" s="19" t="n">
        <v>0</v>
      </c>
      <c r="Q456" s="19" t="n">
        <v>0</v>
      </c>
      <c r="R456" s="19" t="n">
        <v>1</v>
      </c>
      <c r="S456" s="19" t="n">
        <v>0</v>
      </c>
      <c r="T456" s="19" t="n">
        <v>0</v>
      </c>
      <c r="U456" s="19" t="n">
        <v>0</v>
      </c>
      <c r="V456" s="19" t="n">
        <v>0</v>
      </c>
      <c r="W456" s="19" t="n">
        <v>0</v>
      </c>
      <c r="X456" s="19" t="n">
        <v>1</v>
      </c>
      <c r="Y456" s="19" t="n">
        <v>0</v>
      </c>
      <c r="Z456" s="19" t="n">
        <v>0</v>
      </c>
      <c r="AA456" s="19" t="n">
        <v>0</v>
      </c>
      <c r="AB456" s="19" t="n">
        <v>0</v>
      </c>
      <c r="AC456" s="19" t="n">
        <v>1</v>
      </c>
      <c r="AD456" s="19" t="n">
        <v>0</v>
      </c>
      <c r="AE456" s="19" t="n">
        <v>0</v>
      </c>
      <c r="AF456" s="19" t="n">
        <v>0</v>
      </c>
      <c r="AG456" s="19"/>
      <c r="AH456" s="19"/>
    </row>
    <row r="457" customFormat="false" ht="12.75" hidden="false" customHeight="true" outlineLevel="0" collapsed="false">
      <c r="A457" s="16" t="s">
        <v>197</v>
      </c>
      <c r="B457" s="17" t="n">
        <f aca="false">AVERAGE(E457:AE457)</f>
        <v>0.259259259259259</v>
      </c>
      <c r="C457" s="2" t="n">
        <f aca="false">MIN(E457:AE457)</f>
        <v>0</v>
      </c>
      <c r="D457" s="18" t="n">
        <f aca="false">MAX(E457:AE457)</f>
        <v>2</v>
      </c>
      <c r="E457" s="19" t="n">
        <v>0</v>
      </c>
      <c r="F457" s="19" t="n">
        <v>0</v>
      </c>
      <c r="G457" s="19" t="n">
        <v>0</v>
      </c>
      <c r="H457" s="19" t="n">
        <v>1</v>
      </c>
      <c r="I457" s="19" t="n">
        <v>0</v>
      </c>
      <c r="J457" s="19" t="n">
        <v>0</v>
      </c>
      <c r="K457" s="19" t="n">
        <v>0</v>
      </c>
      <c r="L457" s="19" t="n">
        <v>0</v>
      </c>
      <c r="M457" s="19" t="n">
        <v>2</v>
      </c>
      <c r="N457" s="19" t="n">
        <v>1</v>
      </c>
      <c r="O457" s="19" t="n">
        <v>0</v>
      </c>
      <c r="P457" s="19" t="n">
        <v>0</v>
      </c>
      <c r="Q457" s="19" t="n">
        <v>0</v>
      </c>
      <c r="R457" s="19" t="n">
        <v>1</v>
      </c>
      <c r="S457" s="19" t="n">
        <v>0</v>
      </c>
      <c r="T457" s="19" t="n">
        <v>0</v>
      </c>
      <c r="U457" s="19" t="n">
        <v>0</v>
      </c>
      <c r="V457" s="19" t="n">
        <v>0</v>
      </c>
      <c r="W457" s="19" t="n">
        <v>0</v>
      </c>
      <c r="X457" s="19" t="n">
        <v>1</v>
      </c>
      <c r="Y457" s="19" t="n">
        <v>0</v>
      </c>
      <c r="Z457" s="19" t="n">
        <v>0</v>
      </c>
      <c r="AA457" s="19" t="n">
        <v>0</v>
      </c>
      <c r="AB457" s="19" t="n">
        <v>0</v>
      </c>
      <c r="AC457" s="19" t="n">
        <v>1</v>
      </c>
      <c r="AD457" s="19" t="n">
        <v>0</v>
      </c>
      <c r="AE457" s="19" t="n">
        <v>0</v>
      </c>
      <c r="AF457" s="19" t="n">
        <v>0</v>
      </c>
      <c r="AG457" s="19"/>
      <c r="AH457" s="19"/>
    </row>
    <row r="458" customFormat="false" ht="12.75" hidden="false" customHeight="true" outlineLevel="0" collapsed="false">
      <c r="A458" s="16" t="s">
        <v>198</v>
      </c>
      <c r="B458" s="17" t="n">
        <f aca="false">AVERAGE(E458:AE458)</f>
        <v>0.296296296296296</v>
      </c>
      <c r="C458" s="2" t="n">
        <f aca="false">MIN(E458:AE458)</f>
        <v>0</v>
      </c>
      <c r="D458" s="18" t="n">
        <f aca="false">MAX(E458:AE458)</f>
        <v>2</v>
      </c>
      <c r="E458" s="19" t="n">
        <v>0</v>
      </c>
      <c r="F458" s="19" t="n">
        <v>0</v>
      </c>
      <c r="G458" s="19" t="n">
        <v>0</v>
      </c>
      <c r="H458" s="19" t="n">
        <v>1</v>
      </c>
      <c r="I458" s="19" t="n">
        <v>0</v>
      </c>
      <c r="J458" s="19" t="n">
        <v>0</v>
      </c>
      <c r="K458" s="19" t="n">
        <v>0</v>
      </c>
      <c r="L458" s="19" t="n">
        <v>0</v>
      </c>
      <c r="M458" s="19" t="n">
        <v>2</v>
      </c>
      <c r="N458" s="19" t="n">
        <v>1</v>
      </c>
      <c r="O458" s="2" t="n">
        <v>1</v>
      </c>
      <c r="P458" s="19" t="n">
        <v>0</v>
      </c>
      <c r="Q458" s="19" t="n">
        <v>0</v>
      </c>
      <c r="R458" s="19" t="n">
        <v>1</v>
      </c>
      <c r="S458" s="19" t="n">
        <v>0</v>
      </c>
      <c r="T458" s="19" t="n">
        <v>0</v>
      </c>
      <c r="U458" s="19" t="n">
        <v>0</v>
      </c>
      <c r="V458" s="19" t="n">
        <v>0</v>
      </c>
      <c r="W458" s="19" t="n">
        <v>0</v>
      </c>
      <c r="X458" s="19" t="n">
        <v>1</v>
      </c>
      <c r="Y458" s="19" t="n">
        <v>0</v>
      </c>
      <c r="Z458" s="19" t="n">
        <v>0</v>
      </c>
      <c r="AA458" s="19" t="n">
        <v>0</v>
      </c>
      <c r="AB458" s="19" t="n">
        <v>0</v>
      </c>
      <c r="AC458" s="19" t="n">
        <v>1</v>
      </c>
      <c r="AD458" s="19" t="n">
        <v>0</v>
      </c>
      <c r="AE458" s="19" t="n">
        <v>0</v>
      </c>
      <c r="AF458" s="19" t="n">
        <v>0</v>
      </c>
      <c r="AG458" s="19"/>
      <c r="AH458" s="19"/>
    </row>
    <row r="459" customFormat="false" ht="12.75" hidden="false" customHeight="true" outlineLevel="0" collapsed="false">
      <c r="A459" s="16" t="s">
        <v>199</v>
      </c>
      <c r="B459" s="17" t="n">
        <f aca="false">AVERAGE(E459:AE459)</f>
        <v>0.296296296296296</v>
      </c>
      <c r="C459" s="2" t="n">
        <f aca="false">MIN(E459:AE459)</f>
        <v>0</v>
      </c>
      <c r="D459" s="18" t="n">
        <f aca="false">MAX(E459:AE459)</f>
        <v>2</v>
      </c>
      <c r="E459" s="19" t="n">
        <v>0</v>
      </c>
      <c r="F459" s="19" t="n">
        <v>0</v>
      </c>
      <c r="G459" s="19" t="n">
        <v>0</v>
      </c>
      <c r="H459" s="19" t="n">
        <v>1</v>
      </c>
      <c r="I459" s="19" t="n">
        <v>0</v>
      </c>
      <c r="J459" s="19" t="n">
        <v>0</v>
      </c>
      <c r="K459" s="19" t="n">
        <v>0</v>
      </c>
      <c r="L459" s="19" t="n">
        <v>0</v>
      </c>
      <c r="M459" s="19" t="n">
        <v>2</v>
      </c>
      <c r="N459" s="19" t="n">
        <v>1</v>
      </c>
      <c r="O459" s="19" t="n">
        <v>1</v>
      </c>
      <c r="P459" s="19" t="n">
        <v>0</v>
      </c>
      <c r="Q459" s="19" t="n">
        <v>0</v>
      </c>
      <c r="R459" s="19" t="n">
        <v>1</v>
      </c>
      <c r="S459" s="19" t="n">
        <v>0</v>
      </c>
      <c r="T459" s="19" t="n">
        <v>0</v>
      </c>
      <c r="U459" s="19" t="n">
        <v>0</v>
      </c>
      <c r="V459" s="19" t="n">
        <v>0</v>
      </c>
      <c r="W459" s="19" t="n">
        <v>0</v>
      </c>
      <c r="X459" s="19" t="n">
        <v>1</v>
      </c>
      <c r="Y459" s="19" t="n">
        <v>0</v>
      </c>
      <c r="Z459" s="19" t="n">
        <v>0</v>
      </c>
      <c r="AA459" s="19" t="n">
        <v>0</v>
      </c>
      <c r="AB459" s="19" t="n">
        <v>0</v>
      </c>
      <c r="AC459" s="19" t="n">
        <v>1</v>
      </c>
      <c r="AD459" s="19" t="n">
        <v>0</v>
      </c>
      <c r="AE459" s="19" t="n">
        <v>0</v>
      </c>
      <c r="AF459" s="19" t="n">
        <v>0</v>
      </c>
      <c r="AG459" s="19"/>
      <c r="AH459" s="19"/>
    </row>
    <row r="460" customFormat="false" ht="12.75" hidden="false" customHeight="true" outlineLevel="0" collapsed="false">
      <c r="A460" s="16" t="s">
        <v>200</v>
      </c>
      <c r="B460" s="17" t="n">
        <f aca="false">AVERAGE(E460:AE460)</f>
        <v>0.296296296296296</v>
      </c>
      <c r="C460" s="2" t="n">
        <f aca="false">MIN(E460:AE460)</f>
        <v>0</v>
      </c>
      <c r="D460" s="18" t="n">
        <f aca="false">MAX(E460:AE460)</f>
        <v>2</v>
      </c>
      <c r="E460" s="19" t="n">
        <v>0</v>
      </c>
      <c r="F460" s="19" t="n">
        <v>0</v>
      </c>
      <c r="G460" s="19" t="n">
        <v>0</v>
      </c>
      <c r="H460" s="19" t="n">
        <v>1</v>
      </c>
      <c r="I460" s="19" t="n">
        <v>0</v>
      </c>
      <c r="J460" s="19" t="n">
        <v>0</v>
      </c>
      <c r="K460" s="19" t="n">
        <v>0</v>
      </c>
      <c r="L460" s="19" t="n">
        <v>0</v>
      </c>
      <c r="M460" s="19" t="n">
        <v>2</v>
      </c>
      <c r="N460" s="19" t="n">
        <v>1</v>
      </c>
      <c r="O460" s="19" t="n">
        <v>1</v>
      </c>
      <c r="P460" s="19" t="n">
        <v>0</v>
      </c>
      <c r="Q460" s="19" t="n">
        <v>0</v>
      </c>
      <c r="R460" s="19" t="n">
        <v>1</v>
      </c>
      <c r="S460" s="19" t="n">
        <v>0</v>
      </c>
      <c r="T460" s="19" t="n">
        <v>0</v>
      </c>
      <c r="U460" s="19" t="n">
        <v>0</v>
      </c>
      <c r="V460" s="19" t="n">
        <v>0</v>
      </c>
      <c r="W460" s="19" t="n">
        <v>0</v>
      </c>
      <c r="X460" s="19" t="n">
        <v>1</v>
      </c>
      <c r="Y460" s="19" t="n">
        <v>0</v>
      </c>
      <c r="Z460" s="19" t="n">
        <v>0</v>
      </c>
      <c r="AA460" s="19" t="n">
        <v>0</v>
      </c>
      <c r="AB460" s="19" t="n">
        <v>0</v>
      </c>
      <c r="AC460" s="19" t="n">
        <v>1</v>
      </c>
      <c r="AD460" s="19" t="n">
        <v>0</v>
      </c>
      <c r="AE460" s="19" t="n">
        <v>0</v>
      </c>
      <c r="AF460" s="19" t="n">
        <v>0</v>
      </c>
      <c r="AG460" s="19"/>
      <c r="AH460" s="19"/>
    </row>
    <row r="461" customFormat="false" ht="12.75" hidden="false" customHeight="true" outlineLevel="0" collapsed="false">
      <c r="A461" s="16" t="s">
        <v>201</v>
      </c>
      <c r="B461" s="17" t="n">
        <f aca="false">AVERAGE(E461:AE461)</f>
        <v>0.333333333333333</v>
      </c>
      <c r="C461" s="2" t="n">
        <f aca="false">MIN(E461:AE461)</f>
        <v>0</v>
      </c>
      <c r="D461" s="18" t="n">
        <f aca="false">MAX(E461:AE461)</f>
        <v>2</v>
      </c>
      <c r="E461" s="19" t="n">
        <v>0</v>
      </c>
      <c r="F461" s="19" t="n">
        <v>0</v>
      </c>
      <c r="G461" s="19" t="n">
        <v>0</v>
      </c>
      <c r="H461" s="19" t="n">
        <v>1</v>
      </c>
      <c r="I461" s="19" t="n">
        <v>0</v>
      </c>
      <c r="J461" s="19" t="n">
        <v>0</v>
      </c>
      <c r="K461" s="19" t="n">
        <v>0</v>
      </c>
      <c r="L461" s="19" t="n">
        <v>0</v>
      </c>
      <c r="M461" s="19" t="n">
        <v>2</v>
      </c>
      <c r="N461" s="19" t="n">
        <v>1</v>
      </c>
      <c r="O461" s="19" t="n">
        <v>1</v>
      </c>
      <c r="P461" s="19" t="n">
        <v>1</v>
      </c>
      <c r="Q461" s="19" t="n">
        <v>0</v>
      </c>
      <c r="R461" s="19" t="n">
        <v>1</v>
      </c>
      <c r="S461" s="19" t="n">
        <v>0</v>
      </c>
      <c r="T461" s="19" t="n">
        <v>0</v>
      </c>
      <c r="U461" s="19" t="n">
        <v>0</v>
      </c>
      <c r="V461" s="19" t="n">
        <v>0</v>
      </c>
      <c r="W461" s="19" t="n">
        <v>0</v>
      </c>
      <c r="X461" s="19" t="n">
        <v>1</v>
      </c>
      <c r="Y461" s="19" t="n">
        <v>0</v>
      </c>
      <c r="Z461" s="19" t="n">
        <v>0</v>
      </c>
      <c r="AA461" s="19" t="n">
        <v>0</v>
      </c>
      <c r="AB461" s="19" t="n">
        <v>0</v>
      </c>
      <c r="AC461" s="19" t="n">
        <v>1</v>
      </c>
      <c r="AD461" s="19" t="n">
        <v>0</v>
      </c>
      <c r="AE461" s="19" t="n">
        <v>0</v>
      </c>
      <c r="AF461" s="19" t="n">
        <v>0</v>
      </c>
      <c r="AG461" s="19"/>
      <c r="AH461" s="19"/>
    </row>
    <row r="462" customFormat="false" ht="12.75" hidden="false" customHeight="true" outlineLevel="0" collapsed="false">
      <c r="A462" s="16" t="s">
        <v>202</v>
      </c>
      <c r="B462" s="17" t="n">
        <f aca="false">AVERAGE(E462:AE462)</f>
        <v>0.333333333333333</v>
      </c>
      <c r="C462" s="2" t="n">
        <f aca="false">MIN(E462:AE462)</f>
        <v>0</v>
      </c>
      <c r="D462" s="18" t="n">
        <f aca="false">MAX(E462:AE462)</f>
        <v>2</v>
      </c>
      <c r="E462" s="19" t="n">
        <v>0</v>
      </c>
      <c r="F462" s="19" t="n">
        <v>0</v>
      </c>
      <c r="G462" s="19" t="n">
        <v>0</v>
      </c>
      <c r="H462" s="19" t="n">
        <v>1</v>
      </c>
      <c r="I462" s="19" t="n">
        <v>0</v>
      </c>
      <c r="J462" s="19" t="n">
        <v>0</v>
      </c>
      <c r="K462" s="19" t="n">
        <v>0</v>
      </c>
      <c r="L462" s="19" t="n">
        <v>0</v>
      </c>
      <c r="M462" s="19" t="n">
        <v>2</v>
      </c>
      <c r="N462" s="19" t="n">
        <v>1</v>
      </c>
      <c r="O462" s="19" t="n">
        <v>1</v>
      </c>
      <c r="P462" s="19" t="n">
        <v>1</v>
      </c>
      <c r="Q462" s="19" t="n">
        <v>0</v>
      </c>
      <c r="R462" s="19" t="n">
        <v>1</v>
      </c>
      <c r="S462" s="19" t="n">
        <v>0</v>
      </c>
      <c r="T462" s="19" t="n">
        <v>0</v>
      </c>
      <c r="U462" s="19" t="n">
        <v>0</v>
      </c>
      <c r="V462" s="19" t="n">
        <v>0</v>
      </c>
      <c r="W462" s="19" t="n">
        <v>0</v>
      </c>
      <c r="X462" s="19" t="n">
        <v>1</v>
      </c>
      <c r="Y462" s="19" t="n">
        <v>0</v>
      </c>
      <c r="Z462" s="19" t="n">
        <v>0</v>
      </c>
      <c r="AA462" s="19" t="n">
        <v>0</v>
      </c>
      <c r="AB462" s="19" t="n">
        <v>0</v>
      </c>
      <c r="AC462" s="19" t="n">
        <v>1</v>
      </c>
      <c r="AD462" s="19" t="n">
        <v>0</v>
      </c>
      <c r="AE462" s="19" t="n">
        <v>0</v>
      </c>
      <c r="AF462" s="19" t="n">
        <v>0</v>
      </c>
      <c r="AG462" s="19"/>
      <c r="AH462" s="19"/>
    </row>
    <row r="463" customFormat="false" ht="12.75" hidden="false" customHeight="true" outlineLevel="0" collapsed="false">
      <c r="A463" s="16" t="s">
        <v>203</v>
      </c>
      <c r="B463" s="17" t="n">
        <f aca="false">AVERAGE(E463:AE463)</f>
        <v>0.333333333333333</v>
      </c>
      <c r="C463" s="2" t="n">
        <f aca="false">MIN(E463:AE463)</f>
        <v>0</v>
      </c>
      <c r="D463" s="18" t="n">
        <f aca="false">MAX(E463:AE463)</f>
        <v>2</v>
      </c>
      <c r="E463" s="19" t="n">
        <v>0</v>
      </c>
      <c r="F463" s="19" t="n">
        <v>0</v>
      </c>
      <c r="G463" s="19" t="n">
        <v>0</v>
      </c>
      <c r="H463" s="19" t="n">
        <v>1</v>
      </c>
      <c r="I463" s="19" t="n">
        <v>0</v>
      </c>
      <c r="J463" s="19" t="n">
        <v>0</v>
      </c>
      <c r="K463" s="19" t="n">
        <v>0</v>
      </c>
      <c r="L463" s="19" t="n">
        <v>0</v>
      </c>
      <c r="M463" s="19" t="n">
        <v>2</v>
      </c>
      <c r="N463" s="19" t="n">
        <v>1</v>
      </c>
      <c r="O463" s="19" t="n">
        <v>1</v>
      </c>
      <c r="P463" s="19" t="n">
        <v>1</v>
      </c>
      <c r="Q463" s="19" t="n">
        <v>0</v>
      </c>
      <c r="R463" s="19" t="n">
        <v>1</v>
      </c>
      <c r="S463" s="19" t="n">
        <v>0</v>
      </c>
      <c r="T463" s="19" t="n">
        <v>0</v>
      </c>
      <c r="U463" s="19" t="n">
        <v>0</v>
      </c>
      <c r="V463" s="19" t="n">
        <v>0</v>
      </c>
      <c r="W463" s="19" t="n">
        <v>0</v>
      </c>
      <c r="X463" s="19" t="n">
        <v>1</v>
      </c>
      <c r="Y463" s="19" t="n">
        <v>0</v>
      </c>
      <c r="Z463" s="19" t="n">
        <v>0</v>
      </c>
      <c r="AA463" s="19" t="n">
        <v>0</v>
      </c>
      <c r="AB463" s="19" t="n">
        <v>0</v>
      </c>
      <c r="AC463" s="19" t="n">
        <v>1</v>
      </c>
      <c r="AD463" s="19" t="n">
        <v>0</v>
      </c>
      <c r="AE463" s="19" t="n">
        <v>0</v>
      </c>
      <c r="AF463" s="19" t="n">
        <v>0</v>
      </c>
      <c r="AG463" s="19"/>
      <c r="AH463" s="19"/>
    </row>
    <row r="464" customFormat="false" ht="12.75" hidden="false" customHeight="true" outlineLevel="0" collapsed="false">
      <c r="A464" s="16" t="s">
        <v>204</v>
      </c>
      <c r="B464" s="17" t="n">
        <f aca="false">AVERAGE(E464:AE464)</f>
        <v>0.333333333333333</v>
      </c>
      <c r="C464" s="2" t="n">
        <f aca="false">MIN(E464:AE464)</f>
        <v>0</v>
      </c>
      <c r="D464" s="18" t="n">
        <f aca="false">MAX(E464:AE464)</f>
        <v>2</v>
      </c>
      <c r="E464" s="19" t="n">
        <v>0</v>
      </c>
      <c r="F464" s="19" t="n">
        <v>0</v>
      </c>
      <c r="G464" s="19" t="n">
        <v>0</v>
      </c>
      <c r="H464" s="19" t="n">
        <v>1</v>
      </c>
      <c r="I464" s="19" t="n">
        <v>0</v>
      </c>
      <c r="J464" s="19" t="n">
        <v>0</v>
      </c>
      <c r="K464" s="19" t="n">
        <v>0</v>
      </c>
      <c r="L464" s="19" t="n">
        <v>0</v>
      </c>
      <c r="M464" s="19" t="n">
        <v>2</v>
      </c>
      <c r="N464" s="19" t="n">
        <v>1</v>
      </c>
      <c r="O464" s="19" t="n">
        <v>1</v>
      </c>
      <c r="P464" s="19" t="n">
        <v>1</v>
      </c>
      <c r="Q464" s="19" t="n">
        <v>0</v>
      </c>
      <c r="R464" s="19" t="n">
        <v>1</v>
      </c>
      <c r="S464" s="19" t="n">
        <v>0</v>
      </c>
      <c r="T464" s="19" t="n">
        <v>0</v>
      </c>
      <c r="U464" s="19" t="n">
        <v>0</v>
      </c>
      <c r="V464" s="19" t="n">
        <v>0</v>
      </c>
      <c r="W464" s="19" t="n">
        <v>0</v>
      </c>
      <c r="X464" s="19" t="n">
        <v>1</v>
      </c>
      <c r="Y464" s="19" t="n">
        <v>0</v>
      </c>
      <c r="Z464" s="19" t="n">
        <v>0</v>
      </c>
      <c r="AA464" s="19" t="n">
        <v>0</v>
      </c>
      <c r="AB464" s="19" t="n">
        <v>0</v>
      </c>
      <c r="AC464" s="19" t="n">
        <v>1</v>
      </c>
      <c r="AD464" s="19" t="n">
        <v>0</v>
      </c>
      <c r="AE464" s="19" t="n">
        <v>0</v>
      </c>
      <c r="AF464" s="19" t="n">
        <v>0</v>
      </c>
      <c r="AG464" s="19"/>
      <c r="AH464" s="19"/>
    </row>
    <row r="465" customFormat="false" ht="12.75" hidden="false" customHeight="true" outlineLevel="0" collapsed="false">
      <c r="A465" s="16" t="s">
        <v>205</v>
      </c>
      <c r="B465" s="17" t="n">
        <f aca="false">AVERAGE(E465:AE465)</f>
        <v>0.333333333333333</v>
      </c>
      <c r="C465" s="2" t="n">
        <f aca="false">MIN(E465:AE465)</f>
        <v>0</v>
      </c>
      <c r="D465" s="18" t="n">
        <f aca="false">MAX(E465:AE465)</f>
        <v>2</v>
      </c>
      <c r="E465" s="19" t="n">
        <v>0</v>
      </c>
      <c r="F465" s="19" t="n">
        <v>0</v>
      </c>
      <c r="G465" s="19" t="n">
        <v>0</v>
      </c>
      <c r="H465" s="19" t="n">
        <v>1</v>
      </c>
      <c r="I465" s="19" t="n">
        <v>0</v>
      </c>
      <c r="J465" s="19" t="n">
        <v>0</v>
      </c>
      <c r="K465" s="19" t="n">
        <v>0</v>
      </c>
      <c r="L465" s="19" t="n">
        <v>0</v>
      </c>
      <c r="M465" s="19" t="n">
        <v>2</v>
      </c>
      <c r="N465" s="19" t="n">
        <v>1</v>
      </c>
      <c r="O465" s="19" t="n">
        <v>1</v>
      </c>
      <c r="P465" s="19" t="n">
        <v>1</v>
      </c>
      <c r="Q465" s="19" t="n">
        <v>0</v>
      </c>
      <c r="R465" s="19" t="n">
        <v>1</v>
      </c>
      <c r="S465" s="19" t="n">
        <v>0</v>
      </c>
      <c r="T465" s="19" t="n">
        <v>0</v>
      </c>
      <c r="U465" s="19" t="n">
        <v>0</v>
      </c>
      <c r="V465" s="19" t="n">
        <v>0</v>
      </c>
      <c r="W465" s="19" t="n">
        <v>0</v>
      </c>
      <c r="X465" s="19" t="n">
        <v>1</v>
      </c>
      <c r="Y465" s="19" t="n">
        <v>0</v>
      </c>
      <c r="Z465" s="19" t="n">
        <v>0</v>
      </c>
      <c r="AA465" s="19" t="n">
        <v>0</v>
      </c>
      <c r="AB465" s="19" t="n">
        <v>0</v>
      </c>
      <c r="AC465" s="19" t="n">
        <v>1</v>
      </c>
      <c r="AD465" s="19" t="n">
        <v>0</v>
      </c>
      <c r="AE465" s="19" t="n">
        <v>0</v>
      </c>
      <c r="AF465" s="19" t="n">
        <v>0</v>
      </c>
      <c r="AG465" s="19"/>
      <c r="AH465" s="19"/>
    </row>
    <row r="466" customFormat="false" ht="12.75" hidden="false" customHeight="true" outlineLevel="0" collapsed="false">
      <c r="A466" s="16" t="s">
        <v>206</v>
      </c>
      <c r="B466" s="17" t="n">
        <f aca="false">AVERAGE(E466:AE466)</f>
        <v>0.37037037037037</v>
      </c>
      <c r="C466" s="2" t="n">
        <f aca="false">MIN(E466:AE466)</f>
        <v>0</v>
      </c>
      <c r="D466" s="18" t="n">
        <f aca="false">MAX(E466:AE466)</f>
        <v>2</v>
      </c>
      <c r="E466" s="19" t="n">
        <v>0</v>
      </c>
      <c r="F466" s="19" t="n">
        <v>0</v>
      </c>
      <c r="G466" s="19" t="n">
        <v>0</v>
      </c>
      <c r="H466" s="19" t="n">
        <v>1</v>
      </c>
      <c r="I466" s="19" t="n">
        <v>0</v>
      </c>
      <c r="J466" s="19" t="n">
        <v>0</v>
      </c>
      <c r="K466" s="19" t="n">
        <v>0</v>
      </c>
      <c r="L466" s="19" t="n">
        <v>0</v>
      </c>
      <c r="M466" s="19" t="n">
        <v>2</v>
      </c>
      <c r="N466" s="19" t="n">
        <v>1</v>
      </c>
      <c r="O466" s="19" t="n">
        <v>1</v>
      </c>
      <c r="P466" s="19" t="n">
        <v>1</v>
      </c>
      <c r="Q466" s="19" t="n">
        <v>0</v>
      </c>
      <c r="R466" s="19" t="n">
        <v>1</v>
      </c>
      <c r="S466" s="19" t="n">
        <v>0</v>
      </c>
      <c r="T466" s="19" t="n">
        <v>0</v>
      </c>
      <c r="U466" s="19" t="n">
        <v>1</v>
      </c>
      <c r="V466" s="19" t="n">
        <v>0</v>
      </c>
      <c r="W466" s="19" t="n">
        <v>0</v>
      </c>
      <c r="X466" s="19" t="n">
        <v>1</v>
      </c>
      <c r="Y466" s="19" t="n">
        <v>0</v>
      </c>
      <c r="Z466" s="19" t="n">
        <v>0</v>
      </c>
      <c r="AA466" s="19" t="n">
        <v>0</v>
      </c>
      <c r="AB466" s="19" t="n">
        <v>0</v>
      </c>
      <c r="AC466" s="19" t="n">
        <v>1</v>
      </c>
      <c r="AD466" s="19" t="n">
        <v>0</v>
      </c>
      <c r="AE466" s="19" t="n">
        <v>0</v>
      </c>
      <c r="AF466" s="19" t="n">
        <v>0</v>
      </c>
      <c r="AG466" s="19"/>
      <c r="AH466" s="19"/>
    </row>
    <row r="467" customFormat="false" ht="12.75" hidden="false" customHeight="true" outlineLevel="0" collapsed="false">
      <c r="A467" s="16" t="s">
        <v>207</v>
      </c>
      <c r="B467" s="17" t="n">
        <f aca="false">AVERAGE(E467:AE467)</f>
        <v>0.37037037037037</v>
      </c>
      <c r="C467" s="2" t="n">
        <f aca="false">MIN(E467:AE467)</f>
        <v>0</v>
      </c>
      <c r="D467" s="18" t="n">
        <f aca="false">MAX(E467:AE467)</f>
        <v>2</v>
      </c>
      <c r="E467" s="19" t="n">
        <v>0</v>
      </c>
      <c r="F467" s="19" t="n">
        <v>0</v>
      </c>
      <c r="G467" s="19" t="n">
        <v>0</v>
      </c>
      <c r="H467" s="19" t="n">
        <v>1</v>
      </c>
      <c r="I467" s="19" t="n">
        <v>0</v>
      </c>
      <c r="J467" s="19" t="n">
        <v>0</v>
      </c>
      <c r="K467" s="19" t="n">
        <v>0</v>
      </c>
      <c r="L467" s="19" t="n">
        <v>0</v>
      </c>
      <c r="M467" s="19" t="n">
        <v>2</v>
      </c>
      <c r="N467" s="19" t="n">
        <v>1</v>
      </c>
      <c r="O467" s="19" t="n">
        <v>1</v>
      </c>
      <c r="P467" s="19" t="n">
        <v>1</v>
      </c>
      <c r="Q467" s="19" t="n">
        <v>0</v>
      </c>
      <c r="R467" s="19" t="n">
        <v>1</v>
      </c>
      <c r="S467" s="19" t="n">
        <v>0</v>
      </c>
      <c r="T467" s="19" t="n">
        <v>0</v>
      </c>
      <c r="U467" s="19" t="n">
        <v>1</v>
      </c>
      <c r="V467" s="19" t="n">
        <v>0</v>
      </c>
      <c r="W467" s="19" t="n">
        <v>0</v>
      </c>
      <c r="X467" s="19" t="n">
        <v>1</v>
      </c>
      <c r="Y467" s="19" t="n">
        <v>0</v>
      </c>
      <c r="Z467" s="19" t="n">
        <v>0</v>
      </c>
      <c r="AA467" s="19" t="n">
        <v>0</v>
      </c>
      <c r="AB467" s="19" t="n">
        <v>0</v>
      </c>
      <c r="AC467" s="19" t="n">
        <v>1</v>
      </c>
      <c r="AD467" s="19" t="n">
        <v>0</v>
      </c>
      <c r="AE467" s="19" t="n">
        <v>0</v>
      </c>
      <c r="AF467" s="19" t="n">
        <v>0</v>
      </c>
      <c r="AG467" s="19"/>
      <c r="AH467" s="19"/>
    </row>
    <row r="468" customFormat="false" ht="12.75" hidden="false" customHeight="true" outlineLevel="0" collapsed="false">
      <c r="A468" s="16" t="s">
        <v>208</v>
      </c>
      <c r="B468" s="17" t="n">
        <f aca="false">AVERAGE(E468:AE468)</f>
        <v>0.37037037037037</v>
      </c>
      <c r="C468" s="2" t="n">
        <f aca="false">MIN(E468:AE468)</f>
        <v>0</v>
      </c>
      <c r="D468" s="18" t="n">
        <f aca="false">MAX(E468:AE468)</f>
        <v>2</v>
      </c>
      <c r="E468" s="19" t="n">
        <v>0</v>
      </c>
      <c r="F468" s="19" t="n">
        <v>0</v>
      </c>
      <c r="G468" s="19" t="n">
        <v>0</v>
      </c>
      <c r="H468" s="19" t="n">
        <v>1</v>
      </c>
      <c r="I468" s="19" t="n">
        <v>0</v>
      </c>
      <c r="J468" s="19" t="n">
        <v>0</v>
      </c>
      <c r="K468" s="19" t="n">
        <v>0</v>
      </c>
      <c r="L468" s="19" t="n">
        <v>0</v>
      </c>
      <c r="M468" s="19" t="n">
        <v>2</v>
      </c>
      <c r="N468" s="19" t="n">
        <v>1</v>
      </c>
      <c r="O468" s="19" t="n">
        <v>1</v>
      </c>
      <c r="P468" s="19" t="n">
        <v>1</v>
      </c>
      <c r="Q468" s="19" t="n">
        <v>0</v>
      </c>
      <c r="R468" s="19" t="n">
        <v>1</v>
      </c>
      <c r="S468" s="19" t="n">
        <v>0</v>
      </c>
      <c r="T468" s="19" t="n">
        <v>0</v>
      </c>
      <c r="U468" s="19" t="n">
        <v>1</v>
      </c>
      <c r="V468" s="19" t="n">
        <v>0</v>
      </c>
      <c r="W468" s="19" t="n">
        <v>0</v>
      </c>
      <c r="X468" s="19" t="n">
        <v>1</v>
      </c>
      <c r="Y468" s="19" t="n">
        <v>0</v>
      </c>
      <c r="Z468" s="19" t="n">
        <v>0</v>
      </c>
      <c r="AA468" s="19" t="n">
        <v>0</v>
      </c>
      <c r="AB468" s="19" t="n">
        <v>0</v>
      </c>
      <c r="AC468" s="19" t="n">
        <v>1</v>
      </c>
      <c r="AD468" s="19" t="n">
        <v>0</v>
      </c>
      <c r="AE468" s="19" t="n">
        <v>0</v>
      </c>
      <c r="AF468" s="19" t="n">
        <v>0</v>
      </c>
      <c r="AG468" s="19"/>
      <c r="AH468" s="19"/>
    </row>
    <row r="469" customFormat="false" ht="12.75" hidden="false" customHeight="true" outlineLevel="0" collapsed="false">
      <c r="A469" s="16" t="s">
        <v>209</v>
      </c>
      <c r="B469" s="17" t="n">
        <f aca="false">AVERAGE(E469:AE469)</f>
        <v>0.407407407407407</v>
      </c>
      <c r="C469" s="2" t="n">
        <f aca="false">MIN(E469:AE469)</f>
        <v>0</v>
      </c>
      <c r="D469" s="18" t="n">
        <f aca="false">MAX(E469:AE469)</f>
        <v>2</v>
      </c>
      <c r="E469" s="19" t="n">
        <v>0</v>
      </c>
      <c r="F469" s="19" t="n">
        <v>0</v>
      </c>
      <c r="G469" s="19" t="n">
        <v>0</v>
      </c>
      <c r="H469" s="19" t="n">
        <v>1</v>
      </c>
      <c r="I469" s="19" t="n">
        <v>0</v>
      </c>
      <c r="J469" s="19" t="n">
        <v>0</v>
      </c>
      <c r="K469" s="19" t="n">
        <v>0</v>
      </c>
      <c r="L469" s="19" t="n">
        <v>0</v>
      </c>
      <c r="M469" s="19" t="n">
        <v>2</v>
      </c>
      <c r="N469" s="19" t="n">
        <v>1</v>
      </c>
      <c r="O469" s="19" t="n">
        <v>1</v>
      </c>
      <c r="P469" s="19" t="n">
        <v>1</v>
      </c>
      <c r="Q469" s="19" t="n">
        <v>0</v>
      </c>
      <c r="R469" s="19" t="n">
        <v>1</v>
      </c>
      <c r="S469" s="19" t="n">
        <v>0</v>
      </c>
      <c r="T469" s="19" t="n">
        <v>1</v>
      </c>
      <c r="U469" s="19" t="n">
        <v>1</v>
      </c>
      <c r="V469" s="19" t="n">
        <v>0</v>
      </c>
      <c r="W469" s="19" t="n">
        <v>0</v>
      </c>
      <c r="X469" s="19" t="n">
        <v>1</v>
      </c>
      <c r="Y469" s="19" t="n">
        <v>0</v>
      </c>
      <c r="Z469" s="19" t="n">
        <v>0</v>
      </c>
      <c r="AA469" s="19" t="n">
        <v>0</v>
      </c>
      <c r="AB469" s="19" t="n">
        <v>0</v>
      </c>
      <c r="AC469" s="19" t="n">
        <v>1</v>
      </c>
      <c r="AD469" s="19" t="n">
        <v>0</v>
      </c>
      <c r="AE469" s="19" t="n">
        <v>0</v>
      </c>
      <c r="AF469" s="19" t="n">
        <v>0</v>
      </c>
      <c r="AG469" s="19"/>
      <c r="AH469" s="19"/>
    </row>
    <row r="470" customFormat="false" ht="12.75" hidden="false" customHeight="true" outlineLevel="0" collapsed="false">
      <c r="A470" s="16" t="s">
        <v>210</v>
      </c>
      <c r="B470" s="17" t="n">
        <f aca="false">AVERAGE(E470:AE470)</f>
        <v>0.444444444444444</v>
      </c>
      <c r="C470" s="2" t="n">
        <f aca="false">MIN(E470:AE470)</f>
        <v>0</v>
      </c>
      <c r="D470" s="18" t="n">
        <f aca="false">MAX(E470:AE470)</f>
        <v>2</v>
      </c>
      <c r="E470" s="19" t="n">
        <v>0</v>
      </c>
      <c r="F470" s="19" t="n">
        <v>0</v>
      </c>
      <c r="G470" s="19" t="n">
        <v>0</v>
      </c>
      <c r="H470" s="19" t="n">
        <v>1</v>
      </c>
      <c r="I470" s="19" t="n">
        <v>0</v>
      </c>
      <c r="J470" s="19" t="n">
        <v>0</v>
      </c>
      <c r="K470" s="19" t="n">
        <v>0</v>
      </c>
      <c r="L470" s="19" t="n">
        <v>0</v>
      </c>
      <c r="M470" s="19" t="n">
        <v>2</v>
      </c>
      <c r="N470" s="19" t="n">
        <v>1</v>
      </c>
      <c r="O470" s="19" t="n">
        <v>1</v>
      </c>
      <c r="P470" s="19" t="n">
        <v>1</v>
      </c>
      <c r="Q470" s="19" t="n">
        <v>0</v>
      </c>
      <c r="R470" s="19" t="n">
        <v>1</v>
      </c>
      <c r="S470" s="19" t="n">
        <v>0</v>
      </c>
      <c r="T470" s="19" t="n">
        <v>1</v>
      </c>
      <c r="U470" s="19" t="n">
        <v>1</v>
      </c>
      <c r="V470" s="19" t="n">
        <v>0</v>
      </c>
      <c r="W470" s="19" t="n">
        <v>0</v>
      </c>
      <c r="X470" s="19" t="n">
        <v>2</v>
      </c>
      <c r="Y470" s="19" t="n">
        <v>0</v>
      </c>
      <c r="Z470" s="19" t="n">
        <v>0</v>
      </c>
      <c r="AA470" s="19" t="n">
        <v>0</v>
      </c>
      <c r="AB470" s="19" t="n">
        <v>0</v>
      </c>
      <c r="AC470" s="19" t="n">
        <v>1</v>
      </c>
      <c r="AD470" s="19" t="n">
        <v>0</v>
      </c>
      <c r="AE470" s="19" t="n">
        <v>0</v>
      </c>
      <c r="AF470" s="19" t="n">
        <v>0</v>
      </c>
      <c r="AG470" s="19"/>
      <c r="AH470" s="19"/>
    </row>
    <row r="471" customFormat="false" ht="12.75" hidden="false" customHeight="true" outlineLevel="0" collapsed="false">
      <c r="A471" s="16" t="s">
        <v>211</v>
      </c>
      <c r="B471" s="17" t="n">
        <f aca="false">AVERAGE(E471:AE471)</f>
        <v>0.481481481481481</v>
      </c>
      <c r="C471" s="2" t="n">
        <f aca="false">MIN(E471:AE471)</f>
        <v>0</v>
      </c>
      <c r="D471" s="18" t="n">
        <f aca="false">MAX(E471:AE471)</f>
        <v>2</v>
      </c>
      <c r="E471" s="19" t="n">
        <v>0</v>
      </c>
      <c r="F471" s="19" t="n">
        <v>0</v>
      </c>
      <c r="G471" s="19" t="n">
        <v>0</v>
      </c>
      <c r="H471" s="19" t="n">
        <v>1</v>
      </c>
      <c r="I471" s="19" t="n">
        <v>0</v>
      </c>
      <c r="J471" s="19" t="n">
        <v>1</v>
      </c>
      <c r="K471" s="19" t="n">
        <v>0</v>
      </c>
      <c r="L471" s="19" t="n">
        <v>0</v>
      </c>
      <c r="M471" s="19" t="n">
        <v>2</v>
      </c>
      <c r="N471" s="19" t="n">
        <v>1</v>
      </c>
      <c r="O471" s="19" t="n">
        <v>1</v>
      </c>
      <c r="P471" s="19" t="n">
        <v>1</v>
      </c>
      <c r="Q471" s="19" t="n">
        <v>0</v>
      </c>
      <c r="R471" s="19" t="n">
        <v>1</v>
      </c>
      <c r="S471" s="19" t="n">
        <v>0</v>
      </c>
      <c r="T471" s="19" t="n">
        <v>1</v>
      </c>
      <c r="U471" s="19" t="n">
        <v>1</v>
      </c>
      <c r="V471" s="19" t="n">
        <v>0</v>
      </c>
      <c r="W471" s="19" t="n">
        <v>0</v>
      </c>
      <c r="X471" s="19" t="n">
        <v>2</v>
      </c>
      <c r="Y471" s="19" t="n">
        <v>0</v>
      </c>
      <c r="Z471" s="19" t="n">
        <v>0</v>
      </c>
      <c r="AA471" s="19" t="n">
        <v>0</v>
      </c>
      <c r="AB471" s="19" t="n">
        <v>0</v>
      </c>
      <c r="AC471" s="19" t="n">
        <v>1</v>
      </c>
      <c r="AD471" s="19" t="n">
        <v>0</v>
      </c>
      <c r="AE471" s="19" t="n">
        <v>0</v>
      </c>
      <c r="AF471" s="19" t="n">
        <v>0</v>
      </c>
      <c r="AG471" s="19"/>
      <c r="AH471" s="19"/>
    </row>
    <row r="472" customFormat="false" ht="12.75" hidden="false" customHeight="true" outlineLevel="0" collapsed="false">
      <c r="A472" s="16" t="s">
        <v>212</v>
      </c>
      <c r="B472" s="17" t="n">
        <f aca="false">AVERAGE(E472:AE472)</f>
        <v>0.481481481481481</v>
      </c>
      <c r="C472" s="2" t="n">
        <f aca="false">MIN(E472:AE472)</f>
        <v>0</v>
      </c>
      <c r="D472" s="18" t="n">
        <f aca="false">MAX(E472:AE472)</f>
        <v>2</v>
      </c>
      <c r="E472" s="19" t="n">
        <v>0</v>
      </c>
      <c r="F472" s="19" t="n">
        <v>0</v>
      </c>
      <c r="G472" s="19" t="n">
        <v>0</v>
      </c>
      <c r="H472" s="19" t="n">
        <v>1</v>
      </c>
      <c r="I472" s="19" t="n">
        <v>0</v>
      </c>
      <c r="J472" s="19" t="n">
        <v>1</v>
      </c>
      <c r="K472" s="19" t="n">
        <v>0</v>
      </c>
      <c r="L472" s="19" t="n">
        <v>0</v>
      </c>
      <c r="M472" s="19" t="n">
        <v>2</v>
      </c>
      <c r="N472" s="19" t="n">
        <v>1</v>
      </c>
      <c r="O472" s="19" t="n">
        <v>1</v>
      </c>
      <c r="P472" s="19" t="n">
        <v>1</v>
      </c>
      <c r="Q472" s="19" t="n">
        <v>0</v>
      </c>
      <c r="R472" s="19" t="n">
        <v>1</v>
      </c>
      <c r="S472" s="19" t="n">
        <v>0</v>
      </c>
      <c r="T472" s="19" t="n">
        <v>1</v>
      </c>
      <c r="U472" s="19" t="n">
        <v>1</v>
      </c>
      <c r="V472" s="19" t="n">
        <v>0</v>
      </c>
      <c r="W472" s="19" t="n">
        <v>0</v>
      </c>
      <c r="X472" s="19" t="n">
        <v>2</v>
      </c>
      <c r="Y472" s="19" t="n">
        <v>0</v>
      </c>
      <c r="Z472" s="19" t="n">
        <v>0</v>
      </c>
      <c r="AA472" s="19" t="n">
        <v>0</v>
      </c>
      <c r="AB472" s="19" t="n">
        <v>0</v>
      </c>
      <c r="AC472" s="19" t="n">
        <v>1</v>
      </c>
      <c r="AD472" s="19" t="n">
        <v>0</v>
      </c>
      <c r="AE472" s="19" t="n">
        <v>0</v>
      </c>
      <c r="AF472" s="19" t="n">
        <v>0</v>
      </c>
      <c r="AG472" s="19"/>
      <c r="AH472" s="19"/>
    </row>
    <row r="473" customFormat="false" ht="12.75" hidden="false" customHeight="true" outlineLevel="0" collapsed="false">
      <c r="A473" s="16" t="s">
        <v>213</v>
      </c>
      <c r="B473" s="17" t="n">
        <f aca="false">AVERAGE(E473:AE473)</f>
        <v>0.481481481481481</v>
      </c>
      <c r="C473" s="2" t="n">
        <f aca="false">MIN(E473:AE473)</f>
        <v>0</v>
      </c>
      <c r="D473" s="18" t="n">
        <f aca="false">MAX(E473:AE473)</f>
        <v>2</v>
      </c>
      <c r="E473" s="19" t="n">
        <v>0</v>
      </c>
      <c r="F473" s="19" t="n">
        <v>0</v>
      </c>
      <c r="G473" s="19" t="n">
        <v>0</v>
      </c>
      <c r="H473" s="19" t="n">
        <v>1</v>
      </c>
      <c r="I473" s="19" t="n">
        <v>0</v>
      </c>
      <c r="J473" s="19" t="n">
        <v>1</v>
      </c>
      <c r="K473" s="19" t="n">
        <v>0</v>
      </c>
      <c r="L473" s="19" t="n">
        <v>0</v>
      </c>
      <c r="M473" s="19" t="n">
        <v>2</v>
      </c>
      <c r="N473" s="19" t="n">
        <v>1</v>
      </c>
      <c r="O473" s="19" t="n">
        <v>1</v>
      </c>
      <c r="P473" s="19" t="n">
        <v>1</v>
      </c>
      <c r="Q473" s="19" t="n">
        <v>0</v>
      </c>
      <c r="R473" s="19" t="n">
        <v>1</v>
      </c>
      <c r="S473" s="19" t="n">
        <v>0</v>
      </c>
      <c r="T473" s="19" t="n">
        <v>1</v>
      </c>
      <c r="U473" s="19" t="n">
        <v>1</v>
      </c>
      <c r="V473" s="19" t="n">
        <v>0</v>
      </c>
      <c r="W473" s="19" t="n">
        <v>0</v>
      </c>
      <c r="X473" s="19" t="n">
        <v>2</v>
      </c>
      <c r="Y473" s="19" t="n">
        <v>0</v>
      </c>
      <c r="Z473" s="19" t="n">
        <v>0</v>
      </c>
      <c r="AA473" s="19" t="n">
        <v>0</v>
      </c>
      <c r="AB473" s="19" t="n">
        <v>0</v>
      </c>
      <c r="AC473" s="19" t="n">
        <v>1</v>
      </c>
      <c r="AD473" s="19" t="n">
        <v>0</v>
      </c>
      <c r="AE473" s="19" t="n">
        <v>0</v>
      </c>
      <c r="AF473" s="19" t="n">
        <v>0</v>
      </c>
      <c r="AG473" s="19"/>
      <c r="AH473" s="19"/>
    </row>
    <row r="474" customFormat="false" ht="12.75" hidden="false" customHeight="true" outlineLevel="0" collapsed="false">
      <c r="A474" s="16" t="s">
        <v>214</v>
      </c>
      <c r="B474" s="17" t="n">
        <f aca="false">AVERAGE(E474:AE474)</f>
        <v>0.481481481481481</v>
      </c>
      <c r="C474" s="2" t="n">
        <f aca="false">MIN(E474:AE474)</f>
        <v>0</v>
      </c>
      <c r="D474" s="18" t="n">
        <f aca="false">MAX(E474:AE474)</f>
        <v>2</v>
      </c>
      <c r="E474" s="19" t="n">
        <v>0</v>
      </c>
      <c r="F474" s="19" t="n">
        <v>0</v>
      </c>
      <c r="G474" s="19" t="n">
        <v>0</v>
      </c>
      <c r="H474" s="19" t="n">
        <v>1</v>
      </c>
      <c r="I474" s="19" t="n">
        <v>0</v>
      </c>
      <c r="J474" s="19" t="n">
        <v>1</v>
      </c>
      <c r="K474" s="19" t="n">
        <v>0</v>
      </c>
      <c r="L474" s="19" t="n">
        <v>0</v>
      </c>
      <c r="M474" s="19" t="n">
        <v>2</v>
      </c>
      <c r="N474" s="19" t="n">
        <v>1</v>
      </c>
      <c r="O474" s="19" t="n">
        <v>1</v>
      </c>
      <c r="P474" s="19" t="n">
        <v>1</v>
      </c>
      <c r="Q474" s="19" t="n">
        <v>0</v>
      </c>
      <c r="R474" s="19" t="n">
        <v>1</v>
      </c>
      <c r="S474" s="19" t="n">
        <v>0</v>
      </c>
      <c r="T474" s="19" t="n">
        <v>1</v>
      </c>
      <c r="U474" s="19" t="n">
        <v>1</v>
      </c>
      <c r="V474" s="19" t="n">
        <v>0</v>
      </c>
      <c r="W474" s="19" t="n">
        <v>0</v>
      </c>
      <c r="X474" s="19" t="n">
        <v>2</v>
      </c>
      <c r="Y474" s="19" t="n">
        <v>0</v>
      </c>
      <c r="Z474" s="19" t="n">
        <v>0</v>
      </c>
      <c r="AA474" s="19" t="n">
        <v>0</v>
      </c>
      <c r="AB474" s="19" t="n">
        <v>0</v>
      </c>
      <c r="AC474" s="19" t="n">
        <v>1</v>
      </c>
      <c r="AD474" s="19" t="n">
        <v>0</v>
      </c>
      <c r="AE474" s="19" t="n">
        <v>0</v>
      </c>
      <c r="AF474" s="19" t="n">
        <v>0</v>
      </c>
      <c r="AG474" s="19"/>
      <c r="AH474" s="19"/>
    </row>
    <row r="475" customFormat="false" ht="12.75" hidden="false" customHeight="true" outlineLevel="0" collapsed="false">
      <c r="A475" s="16" t="s">
        <v>215</v>
      </c>
      <c r="B475" s="17" t="n">
        <f aca="false">AVERAGE(E475:AE475)</f>
        <v>0.481481481481481</v>
      </c>
      <c r="C475" s="2" t="n">
        <f aca="false">MIN(E475:AE475)</f>
        <v>0</v>
      </c>
      <c r="D475" s="18" t="n">
        <f aca="false">MAX(E475:AE475)</f>
        <v>2</v>
      </c>
      <c r="E475" s="19" t="n">
        <v>0</v>
      </c>
      <c r="F475" s="19" t="n">
        <v>0</v>
      </c>
      <c r="G475" s="19" t="n">
        <v>0</v>
      </c>
      <c r="H475" s="19" t="n">
        <v>1</v>
      </c>
      <c r="I475" s="19" t="n">
        <v>0</v>
      </c>
      <c r="J475" s="19" t="n">
        <v>1</v>
      </c>
      <c r="K475" s="19" t="n">
        <v>0</v>
      </c>
      <c r="L475" s="19" t="n">
        <v>0</v>
      </c>
      <c r="M475" s="19" t="n">
        <v>2</v>
      </c>
      <c r="N475" s="19" t="n">
        <v>1</v>
      </c>
      <c r="O475" s="19" t="n">
        <v>1</v>
      </c>
      <c r="P475" s="19" t="n">
        <v>1</v>
      </c>
      <c r="Q475" s="19" t="n">
        <v>0</v>
      </c>
      <c r="R475" s="19" t="n">
        <v>1</v>
      </c>
      <c r="S475" s="19" t="n">
        <v>0</v>
      </c>
      <c r="T475" s="19" t="n">
        <v>1</v>
      </c>
      <c r="U475" s="19" t="n">
        <v>1</v>
      </c>
      <c r="V475" s="19" t="n">
        <v>0</v>
      </c>
      <c r="W475" s="19" t="n">
        <v>0</v>
      </c>
      <c r="X475" s="19" t="n">
        <v>2</v>
      </c>
      <c r="Y475" s="19" t="n">
        <v>0</v>
      </c>
      <c r="Z475" s="19" t="n">
        <v>0</v>
      </c>
      <c r="AA475" s="19" t="n">
        <v>0</v>
      </c>
      <c r="AB475" s="19" t="n">
        <v>0</v>
      </c>
      <c r="AC475" s="19" t="n">
        <v>1</v>
      </c>
      <c r="AD475" s="19" t="n">
        <v>0</v>
      </c>
      <c r="AE475" s="19" t="n">
        <v>0</v>
      </c>
      <c r="AF475" s="19" t="n">
        <v>0</v>
      </c>
      <c r="AG475" s="19"/>
      <c r="AH475" s="19"/>
    </row>
    <row r="476" customFormat="false" ht="12.75" hidden="false" customHeight="true" outlineLevel="0" collapsed="false">
      <c r="A476" s="16" t="s">
        <v>216</v>
      </c>
      <c r="B476" s="17" t="n">
        <f aca="false">AVERAGE(E476:AE476)</f>
        <v>0.481481481481481</v>
      </c>
      <c r="C476" s="2" t="n">
        <f aca="false">MIN(E476:AE476)</f>
        <v>0</v>
      </c>
      <c r="D476" s="18" t="n">
        <f aca="false">MAX(E476:AE476)</f>
        <v>2</v>
      </c>
      <c r="E476" s="19" t="n">
        <v>0</v>
      </c>
      <c r="F476" s="19" t="n">
        <v>0</v>
      </c>
      <c r="G476" s="19" t="n">
        <v>0</v>
      </c>
      <c r="H476" s="19" t="n">
        <v>1</v>
      </c>
      <c r="I476" s="19" t="n">
        <v>0</v>
      </c>
      <c r="J476" s="19" t="n">
        <v>1</v>
      </c>
      <c r="K476" s="19" t="n">
        <v>0</v>
      </c>
      <c r="L476" s="19" t="n">
        <v>0</v>
      </c>
      <c r="M476" s="19" t="n">
        <v>2</v>
      </c>
      <c r="N476" s="19" t="n">
        <v>1</v>
      </c>
      <c r="O476" s="19" t="n">
        <v>1</v>
      </c>
      <c r="P476" s="19" t="n">
        <v>1</v>
      </c>
      <c r="Q476" s="19" t="n">
        <v>0</v>
      </c>
      <c r="R476" s="19" t="n">
        <v>1</v>
      </c>
      <c r="S476" s="19" t="n">
        <v>0</v>
      </c>
      <c r="T476" s="19" t="n">
        <v>1</v>
      </c>
      <c r="U476" s="19" t="n">
        <v>1</v>
      </c>
      <c r="V476" s="19" t="n">
        <v>0</v>
      </c>
      <c r="W476" s="19" t="n">
        <v>0</v>
      </c>
      <c r="X476" s="19" t="n">
        <v>2</v>
      </c>
      <c r="Y476" s="19" t="n">
        <v>0</v>
      </c>
      <c r="Z476" s="19" t="n">
        <v>0</v>
      </c>
      <c r="AA476" s="19" t="n">
        <v>0</v>
      </c>
      <c r="AB476" s="19" t="n">
        <v>0</v>
      </c>
      <c r="AC476" s="19" t="n">
        <v>1</v>
      </c>
      <c r="AD476" s="19" t="n">
        <v>0</v>
      </c>
      <c r="AE476" s="19" t="n">
        <v>0</v>
      </c>
      <c r="AF476" s="19" t="n">
        <v>0</v>
      </c>
      <c r="AG476" s="19"/>
      <c r="AH476" s="19"/>
    </row>
    <row r="477" customFormat="false" ht="12.75" hidden="false" customHeight="true" outlineLevel="0" collapsed="false">
      <c r="A477" s="16" t="s">
        <v>217</v>
      </c>
      <c r="B477" s="17" t="n">
        <f aca="false">AVERAGE(E477:AE477)</f>
        <v>0.518518518518519</v>
      </c>
      <c r="C477" s="2" t="n">
        <f aca="false">MIN(E477:AE477)</f>
        <v>0</v>
      </c>
      <c r="D477" s="18" t="n">
        <f aca="false">MAX(E477:AE477)</f>
        <v>2</v>
      </c>
      <c r="E477" s="19" t="n">
        <v>0</v>
      </c>
      <c r="F477" s="19" t="n">
        <v>0</v>
      </c>
      <c r="G477" s="19" t="n">
        <v>0</v>
      </c>
      <c r="H477" s="19" t="n">
        <v>1</v>
      </c>
      <c r="I477" s="19" t="n">
        <v>0</v>
      </c>
      <c r="J477" s="19" t="n">
        <v>1</v>
      </c>
      <c r="K477" s="19" t="n">
        <v>0</v>
      </c>
      <c r="L477" s="19" t="n">
        <v>0</v>
      </c>
      <c r="M477" s="19" t="n">
        <v>2</v>
      </c>
      <c r="N477" s="19" t="n">
        <v>2</v>
      </c>
      <c r="O477" s="19" t="n">
        <v>1</v>
      </c>
      <c r="P477" s="19" t="n">
        <v>1</v>
      </c>
      <c r="Q477" s="19" t="n">
        <v>0</v>
      </c>
      <c r="R477" s="19" t="n">
        <v>1</v>
      </c>
      <c r="S477" s="19" t="n">
        <v>0</v>
      </c>
      <c r="T477" s="19" t="n">
        <v>1</v>
      </c>
      <c r="U477" s="19" t="n">
        <v>1</v>
      </c>
      <c r="V477" s="19" t="n">
        <v>0</v>
      </c>
      <c r="W477" s="19" t="n">
        <v>0</v>
      </c>
      <c r="X477" s="19" t="n">
        <v>2</v>
      </c>
      <c r="Y477" s="19" t="n">
        <v>0</v>
      </c>
      <c r="Z477" s="19" t="n">
        <v>0</v>
      </c>
      <c r="AA477" s="19" t="n">
        <v>0</v>
      </c>
      <c r="AB477" s="19" t="n">
        <v>0</v>
      </c>
      <c r="AC477" s="19" t="n">
        <v>1</v>
      </c>
      <c r="AD477" s="19" t="n">
        <v>0</v>
      </c>
      <c r="AE477" s="19" t="n">
        <v>0</v>
      </c>
      <c r="AF477" s="19" t="n">
        <v>0</v>
      </c>
      <c r="AG477" s="19"/>
      <c r="AH477" s="19"/>
    </row>
    <row r="478" customFormat="false" ht="12.75" hidden="false" customHeight="true" outlineLevel="0" collapsed="false">
      <c r="A478" s="16" t="s">
        <v>218</v>
      </c>
      <c r="B478" s="17" t="n">
        <f aca="false">AVERAGE(E478:AE478)</f>
        <v>0.518518518518519</v>
      </c>
      <c r="C478" s="2" t="n">
        <f aca="false">MIN(E478:AE478)</f>
        <v>0</v>
      </c>
      <c r="D478" s="18" t="n">
        <f aca="false">MAX(E478:AE478)</f>
        <v>2</v>
      </c>
      <c r="E478" s="19" t="n">
        <v>0</v>
      </c>
      <c r="F478" s="19" t="n">
        <v>0</v>
      </c>
      <c r="G478" s="19" t="n">
        <v>0</v>
      </c>
      <c r="H478" s="19" t="n">
        <v>1</v>
      </c>
      <c r="I478" s="19" t="n">
        <v>0</v>
      </c>
      <c r="J478" s="19" t="n">
        <v>1</v>
      </c>
      <c r="K478" s="19" t="n">
        <v>0</v>
      </c>
      <c r="L478" s="19" t="n">
        <v>0</v>
      </c>
      <c r="M478" s="19" t="n">
        <v>2</v>
      </c>
      <c r="N478" s="2" t="n">
        <v>2</v>
      </c>
      <c r="O478" s="19" t="n">
        <v>1</v>
      </c>
      <c r="P478" s="19" t="n">
        <v>1</v>
      </c>
      <c r="Q478" s="19" t="n">
        <v>0</v>
      </c>
      <c r="R478" s="19" t="n">
        <v>1</v>
      </c>
      <c r="S478" s="19" t="n">
        <v>0</v>
      </c>
      <c r="T478" s="19" t="n">
        <v>1</v>
      </c>
      <c r="U478" s="19" t="n">
        <v>1</v>
      </c>
      <c r="V478" s="19" t="n">
        <v>0</v>
      </c>
      <c r="W478" s="19" t="n">
        <v>0</v>
      </c>
      <c r="X478" s="19" t="n">
        <v>2</v>
      </c>
      <c r="Y478" s="19" t="n">
        <v>0</v>
      </c>
      <c r="Z478" s="19" t="n">
        <v>0</v>
      </c>
      <c r="AA478" s="19" t="n">
        <v>0</v>
      </c>
      <c r="AB478" s="19" t="n">
        <v>0</v>
      </c>
      <c r="AC478" s="19" t="n">
        <v>1</v>
      </c>
      <c r="AD478" s="19" t="n">
        <v>0</v>
      </c>
      <c r="AE478" s="19" t="n">
        <v>0</v>
      </c>
      <c r="AF478" s="19" t="n">
        <v>0</v>
      </c>
      <c r="AG478" s="19"/>
      <c r="AH478" s="19"/>
    </row>
    <row r="479" customFormat="false" ht="12.75" hidden="false" customHeight="true" outlineLevel="0" collapsed="false">
      <c r="A479" s="16" t="s">
        <v>219</v>
      </c>
      <c r="B479" s="17" t="n">
        <f aca="false">AVERAGE(E479:AE479)</f>
        <v>0.518518518518519</v>
      </c>
      <c r="C479" s="2" t="n">
        <f aca="false">MIN(E479:AE479)</f>
        <v>0</v>
      </c>
      <c r="D479" s="18" t="n">
        <f aca="false">MAX(E479:AE479)</f>
        <v>2</v>
      </c>
      <c r="E479" s="19" t="n">
        <v>0</v>
      </c>
      <c r="F479" s="19" t="n">
        <v>0</v>
      </c>
      <c r="G479" s="19" t="n">
        <v>0</v>
      </c>
      <c r="H479" s="19" t="n">
        <v>1</v>
      </c>
      <c r="I479" s="19" t="n">
        <v>0</v>
      </c>
      <c r="J479" s="19" t="n">
        <v>1</v>
      </c>
      <c r="K479" s="19" t="n">
        <v>0</v>
      </c>
      <c r="L479" s="19" t="n">
        <v>0</v>
      </c>
      <c r="M479" s="19" t="n">
        <v>2</v>
      </c>
      <c r="N479" s="19" t="n">
        <v>2</v>
      </c>
      <c r="O479" s="19" t="n">
        <v>1</v>
      </c>
      <c r="P479" s="19" t="n">
        <v>1</v>
      </c>
      <c r="Q479" s="19" t="n">
        <v>0</v>
      </c>
      <c r="R479" s="19" t="n">
        <v>1</v>
      </c>
      <c r="S479" s="19" t="n">
        <v>0</v>
      </c>
      <c r="T479" s="19" t="n">
        <v>1</v>
      </c>
      <c r="U479" s="19" t="n">
        <v>1</v>
      </c>
      <c r="V479" s="19" t="n">
        <v>0</v>
      </c>
      <c r="W479" s="19" t="n">
        <v>0</v>
      </c>
      <c r="X479" s="19" t="n">
        <v>2</v>
      </c>
      <c r="Y479" s="19" t="n">
        <v>0</v>
      </c>
      <c r="Z479" s="19" t="n">
        <v>0</v>
      </c>
      <c r="AA479" s="19" t="n">
        <v>0</v>
      </c>
      <c r="AB479" s="19" t="n">
        <v>0</v>
      </c>
      <c r="AC479" s="19" t="n">
        <v>1</v>
      </c>
      <c r="AD479" s="19" t="n">
        <v>0</v>
      </c>
      <c r="AE479" s="19" t="n">
        <v>0</v>
      </c>
      <c r="AF479" s="19" t="n">
        <v>0</v>
      </c>
      <c r="AG479" s="19"/>
      <c r="AH479" s="19"/>
    </row>
    <row r="480" customFormat="false" ht="12.75" hidden="false" customHeight="true" outlineLevel="0" collapsed="false">
      <c r="A480" s="16" t="s">
        <v>220</v>
      </c>
      <c r="B480" s="17" t="n">
        <f aca="false">AVERAGE(E480:AE480)</f>
        <v>0.555555555555556</v>
      </c>
      <c r="C480" s="2" t="n">
        <f aca="false">MIN(E480:AE480)</f>
        <v>0</v>
      </c>
      <c r="D480" s="18" t="n">
        <f aca="false">MAX(E480:AE480)</f>
        <v>2</v>
      </c>
      <c r="E480" s="19" t="n">
        <v>0</v>
      </c>
      <c r="F480" s="19" t="n">
        <v>0</v>
      </c>
      <c r="G480" s="19" t="n">
        <v>0</v>
      </c>
      <c r="H480" s="19" t="n">
        <v>1</v>
      </c>
      <c r="I480" s="19" t="n">
        <v>0</v>
      </c>
      <c r="J480" s="19" t="n">
        <v>1</v>
      </c>
      <c r="K480" s="19" t="n">
        <v>0</v>
      </c>
      <c r="L480" s="19" t="n">
        <v>0</v>
      </c>
      <c r="M480" s="19" t="n">
        <v>2</v>
      </c>
      <c r="N480" s="19" t="n">
        <v>2</v>
      </c>
      <c r="O480" s="19" t="n">
        <v>1</v>
      </c>
      <c r="P480" s="19" t="n">
        <v>1</v>
      </c>
      <c r="Q480" s="19" t="n">
        <v>0</v>
      </c>
      <c r="R480" s="19" t="n">
        <v>1</v>
      </c>
      <c r="S480" s="19" t="n">
        <v>0</v>
      </c>
      <c r="T480" s="19" t="n">
        <v>2</v>
      </c>
      <c r="U480" s="19" t="n">
        <v>1</v>
      </c>
      <c r="V480" s="19" t="n">
        <v>0</v>
      </c>
      <c r="W480" s="19" t="n">
        <v>0</v>
      </c>
      <c r="X480" s="19" t="n">
        <v>2</v>
      </c>
      <c r="Y480" s="19" t="n">
        <v>0</v>
      </c>
      <c r="Z480" s="19" t="n">
        <v>0</v>
      </c>
      <c r="AA480" s="19" t="n">
        <v>0</v>
      </c>
      <c r="AB480" s="19" t="n">
        <v>0</v>
      </c>
      <c r="AC480" s="19" t="n">
        <v>1</v>
      </c>
      <c r="AD480" s="19" t="n">
        <v>0</v>
      </c>
      <c r="AE480" s="19" t="n">
        <v>0</v>
      </c>
      <c r="AF480" s="19" t="n">
        <v>0</v>
      </c>
      <c r="AG480" s="19"/>
      <c r="AH480" s="19"/>
    </row>
    <row r="481" customFormat="false" ht="12.75" hidden="false" customHeight="true" outlineLevel="0" collapsed="false">
      <c r="A481" s="16" t="s">
        <v>221</v>
      </c>
      <c r="B481" s="17" t="n">
        <f aca="false">AVERAGE(E481:AE481)</f>
        <v>0.555555555555556</v>
      </c>
      <c r="C481" s="2" t="n">
        <f aca="false">MIN(E481:AE481)</f>
        <v>0</v>
      </c>
      <c r="D481" s="18" t="n">
        <f aca="false">MAX(E481:AE481)</f>
        <v>2</v>
      </c>
      <c r="E481" s="19" t="n">
        <v>0</v>
      </c>
      <c r="F481" s="19" t="n">
        <v>0</v>
      </c>
      <c r="G481" s="19" t="n">
        <v>0</v>
      </c>
      <c r="H481" s="19" t="n">
        <v>1</v>
      </c>
      <c r="I481" s="19" t="n">
        <v>0</v>
      </c>
      <c r="J481" s="19" t="n">
        <v>1</v>
      </c>
      <c r="K481" s="19" t="n">
        <v>0</v>
      </c>
      <c r="L481" s="19" t="n">
        <v>0</v>
      </c>
      <c r="M481" s="19" t="n">
        <v>2</v>
      </c>
      <c r="N481" s="19" t="n">
        <v>2</v>
      </c>
      <c r="O481" s="19" t="n">
        <v>1</v>
      </c>
      <c r="P481" s="19" t="n">
        <v>1</v>
      </c>
      <c r="Q481" s="19" t="n">
        <v>0</v>
      </c>
      <c r="R481" s="19" t="n">
        <v>1</v>
      </c>
      <c r="S481" s="19" t="n">
        <v>0</v>
      </c>
      <c r="T481" s="19" t="n">
        <v>2</v>
      </c>
      <c r="U481" s="19" t="n">
        <v>1</v>
      </c>
      <c r="V481" s="19" t="n">
        <v>0</v>
      </c>
      <c r="W481" s="19" t="n">
        <v>0</v>
      </c>
      <c r="X481" s="19" t="n">
        <v>2</v>
      </c>
      <c r="Y481" s="19" t="n">
        <v>0</v>
      </c>
      <c r="Z481" s="19" t="n">
        <v>0</v>
      </c>
      <c r="AA481" s="19" t="n">
        <v>0</v>
      </c>
      <c r="AB481" s="19" t="n">
        <v>0</v>
      </c>
      <c r="AC481" s="19" t="n">
        <v>1</v>
      </c>
      <c r="AD481" s="19" t="n">
        <v>0</v>
      </c>
      <c r="AE481" s="19" t="n">
        <v>0</v>
      </c>
      <c r="AF481" s="19" t="n">
        <v>0</v>
      </c>
      <c r="AG481" s="19"/>
      <c r="AH481" s="19"/>
    </row>
    <row r="482" customFormat="false" ht="12.75" hidden="false" customHeight="true" outlineLevel="0" collapsed="false">
      <c r="A482" s="16" t="s">
        <v>222</v>
      </c>
      <c r="B482" s="17" t="n">
        <f aca="false">AVERAGE(E482:AE482)</f>
        <v>0.555555555555556</v>
      </c>
      <c r="C482" s="2" t="n">
        <f aca="false">MIN(E482:AE482)</f>
        <v>0</v>
      </c>
      <c r="D482" s="18" t="n">
        <f aca="false">MAX(E482:AE482)</f>
        <v>2</v>
      </c>
      <c r="E482" s="19" t="n">
        <v>0</v>
      </c>
      <c r="F482" s="19" t="n">
        <v>0</v>
      </c>
      <c r="G482" s="19" t="n">
        <v>0</v>
      </c>
      <c r="H482" s="19" t="n">
        <v>1</v>
      </c>
      <c r="I482" s="19" t="n">
        <v>0</v>
      </c>
      <c r="J482" s="19" t="n">
        <v>1</v>
      </c>
      <c r="K482" s="19" t="n">
        <v>0</v>
      </c>
      <c r="L482" s="19" t="n">
        <v>0</v>
      </c>
      <c r="M482" s="19" t="n">
        <v>2</v>
      </c>
      <c r="N482" s="19" t="n">
        <v>2</v>
      </c>
      <c r="O482" s="19" t="n">
        <v>1</v>
      </c>
      <c r="P482" s="19" t="n">
        <v>1</v>
      </c>
      <c r="Q482" s="19" t="n">
        <v>0</v>
      </c>
      <c r="R482" s="19" t="n">
        <v>1</v>
      </c>
      <c r="S482" s="19" t="n">
        <v>0</v>
      </c>
      <c r="T482" s="19" t="n">
        <v>2</v>
      </c>
      <c r="U482" s="19" t="n">
        <v>1</v>
      </c>
      <c r="V482" s="19" t="n">
        <v>0</v>
      </c>
      <c r="W482" s="19" t="n">
        <v>0</v>
      </c>
      <c r="X482" s="19" t="n">
        <v>2</v>
      </c>
      <c r="Y482" s="19" t="n">
        <v>0</v>
      </c>
      <c r="Z482" s="19" t="n">
        <v>0</v>
      </c>
      <c r="AA482" s="19" t="n">
        <v>0</v>
      </c>
      <c r="AB482" s="19" t="n">
        <v>0</v>
      </c>
      <c r="AC482" s="19" t="n">
        <v>1</v>
      </c>
      <c r="AD482" s="19" t="n">
        <v>0</v>
      </c>
      <c r="AE482" s="19" t="n">
        <v>0</v>
      </c>
      <c r="AF482" s="19" t="n">
        <v>0</v>
      </c>
      <c r="AG482" s="19"/>
      <c r="AH482" s="19"/>
    </row>
    <row r="483" customFormat="false" ht="12.75" hidden="false" customHeight="true" outlineLevel="0" collapsed="false">
      <c r="A483" s="16" t="s">
        <v>223</v>
      </c>
      <c r="B483" s="17" t="n">
        <f aca="false">AVERAGE(E483:AE483)</f>
        <v>0.555555555555556</v>
      </c>
      <c r="C483" s="2" t="n">
        <f aca="false">MIN(E483:AE483)</f>
        <v>0</v>
      </c>
      <c r="D483" s="18" t="n">
        <f aca="false">MAX(E483:AE483)</f>
        <v>2</v>
      </c>
      <c r="E483" s="19" t="n">
        <v>0</v>
      </c>
      <c r="F483" s="19" t="n">
        <v>0</v>
      </c>
      <c r="G483" s="19" t="n">
        <v>0</v>
      </c>
      <c r="H483" s="19" t="n">
        <v>1</v>
      </c>
      <c r="I483" s="19" t="n">
        <v>0</v>
      </c>
      <c r="J483" s="19" t="n">
        <v>1</v>
      </c>
      <c r="K483" s="19" t="n">
        <v>0</v>
      </c>
      <c r="L483" s="19" t="n">
        <v>0</v>
      </c>
      <c r="M483" s="19" t="n">
        <v>2</v>
      </c>
      <c r="N483" s="19" t="n">
        <v>2</v>
      </c>
      <c r="O483" s="19" t="n">
        <v>1</v>
      </c>
      <c r="P483" s="19" t="n">
        <v>1</v>
      </c>
      <c r="Q483" s="19" t="n">
        <v>0</v>
      </c>
      <c r="R483" s="19" t="n">
        <v>1</v>
      </c>
      <c r="S483" s="19" t="n">
        <v>0</v>
      </c>
      <c r="T483" s="19" t="n">
        <v>2</v>
      </c>
      <c r="U483" s="19" t="n">
        <v>1</v>
      </c>
      <c r="V483" s="19" t="n">
        <v>0</v>
      </c>
      <c r="W483" s="19" t="n">
        <v>0</v>
      </c>
      <c r="X483" s="19" t="n">
        <v>2</v>
      </c>
      <c r="Y483" s="19" t="n">
        <v>0</v>
      </c>
      <c r="Z483" s="19" t="n">
        <v>0</v>
      </c>
      <c r="AA483" s="19" t="n">
        <v>0</v>
      </c>
      <c r="AB483" s="19" t="n">
        <v>0</v>
      </c>
      <c r="AC483" s="19" t="n">
        <v>1</v>
      </c>
      <c r="AD483" s="19" t="n">
        <v>0</v>
      </c>
      <c r="AE483" s="19" t="n">
        <v>0</v>
      </c>
      <c r="AF483" s="19" t="n">
        <v>0</v>
      </c>
      <c r="AG483" s="19"/>
      <c r="AH483" s="19"/>
    </row>
    <row r="484" customFormat="false" ht="12.75" hidden="false" customHeight="true" outlineLevel="0" collapsed="false">
      <c r="A484" s="16" t="s">
        <v>224</v>
      </c>
      <c r="B484" s="17" t="n">
        <f aca="false">AVERAGE(E484:AE484)</f>
        <v>0.555555555555556</v>
      </c>
      <c r="C484" s="2" t="n">
        <f aca="false">MIN(E484:AE484)</f>
        <v>0</v>
      </c>
      <c r="D484" s="18" t="n">
        <f aca="false">MAX(E484:AE484)</f>
        <v>2</v>
      </c>
      <c r="E484" s="19" t="n">
        <v>0</v>
      </c>
      <c r="F484" s="19" t="n">
        <v>0</v>
      </c>
      <c r="G484" s="19" t="n">
        <v>0</v>
      </c>
      <c r="H484" s="19" t="n">
        <v>1</v>
      </c>
      <c r="I484" s="19" t="n">
        <v>0</v>
      </c>
      <c r="J484" s="19" t="n">
        <v>1</v>
      </c>
      <c r="K484" s="19" t="n">
        <v>0</v>
      </c>
      <c r="L484" s="19" t="n">
        <v>0</v>
      </c>
      <c r="M484" s="19" t="n">
        <v>2</v>
      </c>
      <c r="N484" s="19" t="n">
        <v>2</v>
      </c>
      <c r="O484" s="19" t="n">
        <v>1</v>
      </c>
      <c r="P484" s="19" t="n">
        <v>1</v>
      </c>
      <c r="Q484" s="19" t="n">
        <v>0</v>
      </c>
      <c r="R484" s="19" t="n">
        <v>1</v>
      </c>
      <c r="S484" s="19" t="n">
        <v>0</v>
      </c>
      <c r="T484" s="19" t="n">
        <v>2</v>
      </c>
      <c r="U484" s="19" t="n">
        <v>1</v>
      </c>
      <c r="V484" s="19" t="n">
        <v>0</v>
      </c>
      <c r="W484" s="19" t="n">
        <v>0</v>
      </c>
      <c r="X484" s="19" t="n">
        <v>2</v>
      </c>
      <c r="Y484" s="19" t="n">
        <v>0</v>
      </c>
      <c r="Z484" s="19" t="n">
        <v>0</v>
      </c>
      <c r="AA484" s="19" t="n">
        <v>0</v>
      </c>
      <c r="AB484" s="19" t="n">
        <v>0</v>
      </c>
      <c r="AC484" s="19" t="n">
        <v>1</v>
      </c>
      <c r="AD484" s="19" t="n">
        <v>0</v>
      </c>
      <c r="AE484" s="19" t="n">
        <v>0</v>
      </c>
      <c r="AF484" s="19" t="n">
        <v>0</v>
      </c>
      <c r="AG484" s="19"/>
      <c r="AH484" s="19"/>
    </row>
    <row r="485" customFormat="false" ht="12.75" hidden="false" customHeight="true" outlineLevel="0" collapsed="false">
      <c r="A485" s="16" t="s">
        <v>225</v>
      </c>
      <c r="B485" s="17" t="n">
        <f aca="false">AVERAGE(E485:AE485)</f>
        <v>0.555555555555556</v>
      </c>
      <c r="C485" s="2" t="n">
        <f aca="false">MIN(E485:AE485)</f>
        <v>0</v>
      </c>
      <c r="D485" s="18" t="n">
        <f aca="false">MAX(E485:AE485)</f>
        <v>2</v>
      </c>
      <c r="E485" s="19" t="n">
        <v>0</v>
      </c>
      <c r="F485" s="19" t="n">
        <v>0</v>
      </c>
      <c r="G485" s="19" t="n">
        <v>0</v>
      </c>
      <c r="H485" s="19" t="n">
        <v>1</v>
      </c>
      <c r="I485" s="19" t="n">
        <v>0</v>
      </c>
      <c r="J485" s="19" t="n">
        <v>1</v>
      </c>
      <c r="K485" s="19" t="n">
        <v>0</v>
      </c>
      <c r="L485" s="19" t="n">
        <v>0</v>
      </c>
      <c r="M485" s="19" t="n">
        <v>2</v>
      </c>
      <c r="N485" s="19" t="n">
        <v>2</v>
      </c>
      <c r="O485" s="19" t="n">
        <v>1</v>
      </c>
      <c r="P485" s="19" t="n">
        <v>1</v>
      </c>
      <c r="Q485" s="19" t="n">
        <v>0</v>
      </c>
      <c r="R485" s="19" t="n">
        <v>1</v>
      </c>
      <c r="S485" s="19" t="n">
        <v>0</v>
      </c>
      <c r="T485" s="19" t="n">
        <v>2</v>
      </c>
      <c r="U485" s="19" t="n">
        <v>1</v>
      </c>
      <c r="V485" s="19" t="n">
        <v>0</v>
      </c>
      <c r="W485" s="19" t="n">
        <v>0</v>
      </c>
      <c r="X485" s="19" t="n">
        <v>2</v>
      </c>
      <c r="Y485" s="19" t="n">
        <v>0</v>
      </c>
      <c r="Z485" s="19" t="n">
        <v>0</v>
      </c>
      <c r="AA485" s="19" t="n">
        <v>0</v>
      </c>
      <c r="AB485" s="19" t="n">
        <v>0</v>
      </c>
      <c r="AC485" s="19" t="n">
        <v>1</v>
      </c>
      <c r="AD485" s="19" t="n">
        <v>0</v>
      </c>
      <c r="AE485" s="19" t="n">
        <v>0</v>
      </c>
      <c r="AF485" s="19" t="n">
        <v>0</v>
      </c>
      <c r="AG485" s="19"/>
      <c r="AH485" s="19"/>
    </row>
    <row r="486" customFormat="false" ht="12.75" hidden="false" customHeight="true" outlineLevel="0" collapsed="false">
      <c r="A486" s="16" t="s">
        <v>226</v>
      </c>
      <c r="B486" s="17" t="n">
        <f aca="false">AVERAGE(E486:AE486)</f>
        <v>0.555555555555556</v>
      </c>
      <c r="C486" s="2" t="n">
        <f aca="false">MIN(E486:AE486)</f>
        <v>0</v>
      </c>
      <c r="D486" s="18" t="n">
        <f aca="false">MAX(E486:AE486)</f>
        <v>2</v>
      </c>
      <c r="E486" s="19" t="n">
        <v>0</v>
      </c>
      <c r="F486" s="19" t="n">
        <v>0</v>
      </c>
      <c r="G486" s="19" t="n">
        <v>0</v>
      </c>
      <c r="H486" s="19" t="n">
        <v>1</v>
      </c>
      <c r="I486" s="19" t="n">
        <v>0</v>
      </c>
      <c r="J486" s="19" t="n">
        <v>1</v>
      </c>
      <c r="K486" s="19" t="n">
        <v>0</v>
      </c>
      <c r="L486" s="19" t="n">
        <v>0</v>
      </c>
      <c r="M486" s="19" t="n">
        <v>2</v>
      </c>
      <c r="N486" s="19" t="n">
        <v>2</v>
      </c>
      <c r="O486" s="19" t="n">
        <v>1</v>
      </c>
      <c r="P486" s="19" t="n">
        <v>1</v>
      </c>
      <c r="Q486" s="19" t="n">
        <v>0</v>
      </c>
      <c r="R486" s="19" t="n">
        <v>1</v>
      </c>
      <c r="S486" s="19" t="n">
        <v>0</v>
      </c>
      <c r="T486" s="19" t="n">
        <v>2</v>
      </c>
      <c r="U486" s="19" t="n">
        <v>1</v>
      </c>
      <c r="V486" s="19" t="n">
        <v>0</v>
      </c>
      <c r="W486" s="19" t="n">
        <v>0</v>
      </c>
      <c r="X486" s="19" t="n">
        <v>2</v>
      </c>
      <c r="Y486" s="19" t="n">
        <v>0</v>
      </c>
      <c r="Z486" s="19" t="n">
        <v>0</v>
      </c>
      <c r="AA486" s="19" t="n">
        <v>0</v>
      </c>
      <c r="AB486" s="19" t="n">
        <v>0</v>
      </c>
      <c r="AC486" s="19" t="n">
        <v>1</v>
      </c>
      <c r="AD486" s="19" t="n">
        <v>0</v>
      </c>
      <c r="AE486" s="19" t="n">
        <v>0</v>
      </c>
      <c r="AF486" s="19" t="n">
        <v>0</v>
      </c>
      <c r="AG486" s="19"/>
      <c r="AH486" s="19"/>
    </row>
    <row r="487" customFormat="false" ht="12.75" hidden="false" customHeight="true" outlineLevel="0" collapsed="false">
      <c r="A487" s="16" t="s">
        <v>227</v>
      </c>
      <c r="B487" s="17" t="n">
        <f aca="false">AVERAGE(E487:AE487)</f>
        <v>0.555555555555556</v>
      </c>
      <c r="C487" s="2" t="n">
        <f aca="false">MIN(E487:AE487)</f>
        <v>0</v>
      </c>
      <c r="D487" s="18" t="n">
        <f aca="false">MAX(E487:AE487)</f>
        <v>2</v>
      </c>
      <c r="E487" s="19" t="n">
        <v>0</v>
      </c>
      <c r="F487" s="19" t="n">
        <v>0</v>
      </c>
      <c r="G487" s="19" t="n">
        <v>0</v>
      </c>
      <c r="H487" s="19" t="n">
        <v>1</v>
      </c>
      <c r="I487" s="19" t="n">
        <v>0</v>
      </c>
      <c r="J487" s="19" t="n">
        <v>1</v>
      </c>
      <c r="K487" s="19" t="n">
        <v>0</v>
      </c>
      <c r="L487" s="19" t="n">
        <v>0</v>
      </c>
      <c r="M487" s="19" t="n">
        <v>2</v>
      </c>
      <c r="N487" s="19" t="n">
        <v>2</v>
      </c>
      <c r="O487" s="19" t="n">
        <v>1</v>
      </c>
      <c r="P487" s="19" t="n">
        <v>1</v>
      </c>
      <c r="Q487" s="19" t="n">
        <v>0</v>
      </c>
      <c r="R487" s="19" t="n">
        <v>1</v>
      </c>
      <c r="S487" s="19" t="n">
        <v>0</v>
      </c>
      <c r="T487" s="19" t="n">
        <v>2</v>
      </c>
      <c r="U487" s="19" t="n">
        <v>1</v>
      </c>
      <c r="V487" s="19" t="n">
        <v>0</v>
      </c>
      <c r="W487" s="19" t="n">
        <v>0</v>
      </c>
      <c r="X487" s="19" t="n">
        <v>2</v>
      </c>
      <c r="Y487" s="19" t="n">
        <v>0</v>
      </c>
      <c r="Z487" s="19" t="n">
        <v>0</v>
      </c>
      <c r="AA487" s="19" t="n">
        <v>0</v>
      </c>
      <c r="AB487" s="19" t="n">
        <v>0</v>
      </c>
      <c r="AC487" s="19" t="n">
        <v>1</v>
      </c>
      <c r="AD487" s="19" t="n">
        <v>0</v>
      </c>
      <c r="AE487" s="19" t="n">
        <v>0</v>
      </c>
      <c r="AF487" s="19" t="n">
        <v>0</v>
      </c>
      <c r="AG487" s="19"/>
      <c r="AH487" s="19"/>
    </row>
    <row r="488" customFormat="false" ht="12.75" hidden="false" customHeight="true" outlineLevel="0" collapsed="false">
      <c r="A488" s="16" t="s">
        <v>228</v>
      </c>
      <c r="B488" s="17" t="n">
        <f aca="false">AVERAGE(E488:AE488)</f>
        <v>0.592592592592593</v>
      </c>
      <c r="C488" s="2" t="n">
        <f aca="false">MIN(E488:AE488)</f>
        <v>0</v>
      </c>
      <c r="D488" s="18" t="n">
        <f aca="false">MAX(E488:AE488)</f>
        <v>2</v>
      </c>
      <c r="E488" s="19" t="n">
        <v>0</v>
      </c>
      <c r="F488" s="19" t="n">
        <v>0</v>
      </c>
      <c r="G488" s="19" t="n">
        <v>0</v>
      </c>
      <c r="H488" s="19" t="n">
        <v>1</v>
      </c>
      <c r="I488" s="19" t="n">
        <v>0</v>
      </c>
      <c r="J488" s="19" t="n">
        <v>1</v>
      </c>
      <c r="K488" s="19" t="n">
        <v>0</v>
      </c>
      <c r="L488" s="19" t="n">
        <v>1</v>
      </c>
      <c r="M488" s="19" t="n">
        <v>2</v>
      </c>
      <c r="N488" s="19" t="n">
        <v>2</v>
      </c>
      <c r="O488" s="19" t="n">
        <v>1</v>
      </c>
      <c r="P488" s="19" t="n">
        <v>1</v>
      </c>
      <c r="Q488" s="19" t="n">
        <v>0</v>
      </c>
      <c r="R488" s="19" t="n">
        <v>1</v>
      </c>
      <c r="S488" s="19" t="n">
        <v>0</v>
      </c>
      <c r="T488" s="19" t="n">
        <v>2</v>
      </c>
      <c r="U488" s="19" t="n">
        <v>1</v>
      </c>
      <c r="V488" s="19" t="n">
        <v>0</v>
      </c>
      <c r="W488" s="19" t="n">
        <v>0</v>
      </c>
      <c r="X488" s="19" t="n">
        <v>2</v>
      </c>
      <c r="Y488" s="19" t="n">
        <v>0</v>
      </c>
      <c r="Z488" s="19" t="n">
        <v>0</v>
      </c>
      <c r="AA488" s="19" t="n">
        <v>0</v>
      </c>
      <c r="AB488" s="19" t="n">
        <v>0</v>
      </c>
      <c r="AC488" s="19" t="n">
        <v>1</v>
      </c>
      <c r="AD488" s="19" t="n">
        <v>0</v>
      </c>
      <c r="AE488" s="19" t="n">
        <v>0</v>
      </c>
      <c r="AF488" s="19" t="n">
        <v>0</v>
      </c>
      <c r="AG488" s="19"/>
      <c r="AH488" s="19"/>
    </row>
    <row r="489" customFormat="false" ht="12.75" hidden="false" customHeight="true" outlineLevel="0" collapsed="false">
      <c r="A489" s="16" t="s">
        <v>229</v>
      </c>
      <c r="B489" s="17" t="n">
        <f aca="false">AVERAGE(E489:AE489)</f>
        <v>0.666666666666667</v>
      </c>
      <c r="C489" s="2" t="n">
        <f aca="false">MIN(E489:AE489)</f>
        <v>0</v>
      </c>
      <c r="D489" s="18" t="n">
        <f aca="false">MAX(E489:AE489)</f>
        <v>3</v>
      </c>
      <c r="E489" s="19" t="n">
        <v>0</v>
      </c>
      <c r="F489" s="19" t="n">
        <v>0</v>
      </c>
      <c r="G489" s="19" t="n">
        <v>0</v>
      </c>
      <c r="H489" s="19" t="n">
        <v>1</v>
      </c>
      <c r="I489" s="19" t="n">
        <v>0</v>
      </c>
      <c r="J489" s="19" t="n">
        <v>1</v>
      </c>
      <c r="K489" s="19" t="n">
        <v>0</v>
      </c>
      <c r="L489" s="19" t="n">
        <v>2</v>
      </c>
      <c r="M489" s="19" t="n">
        <v>2</v>
      </c>
      <c r="N489" s="19" t="n">
        <v>2</v>
      </c>
      <c r="O489" s="19" t="n">
        <v>1</v>
      </c>
      <c r="P489" s="19" t="n">
        <v>1</v>
      </c>
      <c r="Q489" s="19" t="n">
        <v>0</v>
      </c>
      <c r="R489" s="19" t="n">
        <v>1</v>
      </c>
      <c r="S489" s="19" t="n">
        <v>0</v>
      </c>
      <c r="T489" s="19" t="n">
        <v>2</v>
      </c>
      <c r="U489" s="19" t="n">
        <v>1</v>
      </c>
      <c r="V489" s="19" t="n">
        <v>0</v>
      </c>
      <c r="W489" s="19" t="n">
        <v>0</v>
      </c>
      <c r="X489" s="19" t="n">
        <v>3</v>
      </c>
      <c r="Y489" s="19" t="n">
        <v>0</v>
      </c>
      <c r="Z489" s="19" t="n">
        <v>0</v>
      </c>
      <c r="AA489" s="19" t="n">
        <v>0</v>
      </c>
      <c r="AB489" s="19" t="n">
        <v>0</v>
      </c>
      <c r="AC489" s="19" t="n">
        <v>1</v>
      </c>
      <c r="AD489" s="19" t="n">
        <v>0</v>
      </c>
      <c r="AE489" s="19" t="n">
        <v>0</v>
      </c>
      <c r="AF489" s="19" t="n">
        <v>0</v>
      </c>
      <c r="AG489" s="19"/>
      <c r="AH489" s="19"/>
    </row>
    <row r="490" customFormat="false" ht="12.75" hidden="false" customHeight="true" outlineLevel="0" collapsed="false">
      <c r="A490" s="16" t="s">
        <v>230</v>
      </c>
      <c r="B490" s="17" t="n">
        <f aca="false">AVERAGE(E490:AE490)</f>
        <v>0.666666666666667</v>
      </c>
      <c r="C490" s="2" t="n">
        <f aca="false">MIN(E490:AE490)</f>
        <v>0</v>
      </c>
      <c r="D490" s="18" t="n">
        <f aca="false">MAX(E490:AE490)</f>
        <v>3</v>
      </c>
      <c r="E490" s="19" t="n">
        <v>0</v>
      </c>
      <c r="F490" s="19" t="n">
        <v>0</v>
      </c>
      <c r="G490" s="19" t="n">
        <v>0</v>
      </c>
      <c r="H490" s="19" t="n">
        <v>1</v>
      </c>
      <c r="I490" s="19" t="n">
        <v>0</v>
      </c>
      <c r="J490" s="19" t="n">
        <v>1</v>
      </c>
      <c r="K490" s="19" t="n">
        <v>0</v>
      </c>
      <c r="L490" s="19" t="n">
        <v>2</v>
      </c>
      <c r="M490" s="19" t="n">
        <v>2</v>
      </c>
      <c r="N490" s="19" t="n">
        <v>2</v>
      </c>
      <c r="O490" s="19" t="n">
        <v>1</v>
      </c>
      <c r="P490" s="19" t="n">
        <v>1</v>
      </c>
      <c r="Q490" s="19" t="n">
        <v>0</v>
      </c>
      <c r="R490" s="19" t="n">
        <v>1</v>
      </c>
      <c r="S490" s="19" t="n">
        <v>0</v>
      </c>
      <c r="T490" s="19" t="n">
        <v>2</v>
      </c>
      <c r="U490" s="19" t="n">
        <v>1</v>
      </c>
      <c r="V490" s="19" t="n">
        <v>0</v>
      </c>
      <c r="W490" s="19" t="n">
        <v>0</v>
      </c>
      <c r="X490" s="19" t="n">
        <v>3</v>
      </c>
      <c r="Y490" s="19" t="n">
        <v>0</v>
      </c>
      <c r="Z490" s="19" t="n">
        <v>0</v>
      </c>
      <c r="AA490" s="19" t="n">
        <v>0</v>
      </c>
      <c r="AB490" s="19" t="n">
        <v>0</v>
      </c>
      <c r="AC490" s="19" t="n">
        <v>1</v>
      </c>
      <c r="AD490" s="19" t="n">
        <v>0</v>
      </c>
      <c r="AE490" s="19" t="n">
        <v>0</v>
      </c>
      <c r="AF490" s="19" t="n">
        <v>0</v>
      </c>
      <c r="AG490" s="19"/>
      <c r="AH490" s="19"/>
    </row>
    <row r="491" customFormat="false" ht="12.75" hidden="false" customHeight="true" outlineLevel="0" collapsed="false">
      <c r="A491" s="16" t="s">
        <v>231</v>
      </c>
      <c r="B491" s="17" t="n">
        <f aca="false">AVERAGE(E491:AE491)</f>
        <v>0.703703703703704</v>
      </c>
      <c r="C491" s="2" t="n">
        <f aca="false">MIN(E491:AE491)</f>
        <v>0</v>
      </c>
      <c r="D491" s="18" t="n">
        <f aca="false">MAX(E491:AE491)</f>
        <v>3</v>
      </c>
      <c r="E491" s="19" t="n">
        <v>1</v>
      </c>
      <c r="F491" s="19" t="n">
        <v>0</v>
      </c>
      <c r="G491" s="19" t="n">
        <v>0</v>
      </c>
      <c r="H491" s="19" t="n">
        <v>1</v>
      </c>
      <c r="I491" s="19" t="n">
        <v>0</v>
      </c>
      <c r="J491" s="19" t="n">
        <v>1</v>
      </c>
      <c r="K491" s="19" t="n">
        <v>0</v>
      </c>
      <c r="L491" s="19" t="n">
        <v>2</v>
      </c>
      <c r="M491" s="19" t="n">
        <v>2</v>
      </c>
      <c r="N491" s="19" t="n">
        <v>2</v>
      </c>
      <c r="O491" s="19" t="n">
        <v>1</v>
      </c>
      <c r="P491" s="19" t="n">
        <v>1</v>
      </c>
      <c r="Q491" s="19" t="n">
        <v>0</v>
      </c>
      <c r="R491" s="19" t="n">
        <v>1</v>
      </c>
      <c r="S491" s="19" t="n">
        <v>0</v>
      </c>
      <c r="T491" s="19" t="n">
        <v>2</v>
      </c>
      <c r="U491" s="19" t="n">
        <v>1</v>
      </c>
      <c r="V491" s="19" t="n">
        <v>0</v>
      </c>
      <c r="W491" s="19" t="n">
        <v>0</v>
      </c>
      <c r="X491" s="19" t="n">
        <v>3</v>
      </c>
      <c r="Y491" s="19" t="n">
        <v>0</v>
      </c>
      <c r="Z491" s="19" t="n">
        <v>0</v>
      </c>
      <c r="AA491" s="19" t="n">
        <v>0</v>
      </c>
      <c r="AB491" s="19" t="n">
        <v>0</v>
      </c>
      <c r="AC491" s="19" t="n">
        <v>1</v>
      </c>
      <c r="AD491" s="19" t="n">
        <v>0</v>
      </c>
      <c r="AE491" s="19" t="n">
        <v>0</v>
      </c>
      <c r="AF491" s="19" t="n">
        <v>0</v>
      </c>
      <c r="AG491" s="19"/>
      <c r="AH491" s="19"/>
    </row>
    <row r="492" customFormat="false" ht="12.75" hidden="false" customHeight="true" outlineLevel="0" collapsed="false">
      <c r="A492" s="16" t="s">
        <v>232</v>
      </c>
      <c r="B492" s="17" t="n">
        <f aca="false">AVERAGE(E492:AE492)</f>
        <v>0.814814814814815</v>
      </c>
      <c r="C492" s="2" t="n">
        <f aca="false">MIN(E492:AE492)</f>
        <v>0</v>
      </c>
      <c r="D492" s="18" t="n">
        <f aca="false">MAX(E492:AE492)</f>
        <v>3</v>
      </c>
      <c r="E492" s="19" t="n">
        <v>1</v>
      </c>
      <c r="F492" s="19" t="n">
        <v>0</v>
      </c>
      <c r="G492" s="19" t="n">
        <v>0</v>
      </c>
      <c r="H492" s="19" t="n">
        <v>1</v>
      </c>
      <c r="I492" s="19" t="n">
        <v>0</v>
      </c>
      <c r="J492" s="19" t="n">
        <v>1</v>
      </c>
      <c r="K492" s="19" t="n">
        <v>0</v>
      </c>
      <c r="L492" s="19" t="n">
        <v>2</v>
      </c>
      <c r="M492" s="19" t="n">
        <v>2</v>
      </c>
      <c r="N492" s="19" t="n">
        <v>2</v>
      </c>
      <c r="O492" s="19" t="n">
        <v>1</v>
      </c>
      <c r="P492" s="19" t="n">
        <v>1</v>
      </c>
      <c r="Q492" s="19" t="n">
        <v>0</v>
      </c>
      <c r="R492" s="19" t="n">
        <v>1</v>
      </c>
      <c r="S492" s="19" t="n">
        <v>0</v>
      </c>
      <c r="T492" s="19" t="n">
        <v>3</v>
      </c>
      <c r="U492" s="19" t="n">
        <v>2</v>
      </c>
      <c r="V492" s="19" t="n">
        <v>0</v>
      </c>
      <c r="W492" s="19" t="n">
        <v>0</v>
      </c>
      <c r="X492" s="19" t="n">
        <v>3</v>
      </c>
      <c r="Y492" s="19" t="n">
        <v>1</v>
      </c>
      <c r="Z492" s="19" t="n">
        <v>0</v>
      </c>
      <c r="AA492" s="19" t="n">
        <v>0</v>
      </c>
      <c r="AB492" s="19" t="n">
        <v>0</v>
      </c>
      <c r="AC492" s="19" t="n">
        <v>1</v>
      </c>
      <c r="AD492" s="19" t="n">
        <v>0</v>
      </c>
      <c r="AE492" s="19" t="n">
        <v>0</v>
      </c>
      <c r="AF492" s="19" t="n">
        <v>0</v>
      </c>
      <c r="AG492" s="19"/>
      <c r="AH492" s="19"/>
    </row>
    <row r="493" customFormat="false" ht="12.75" hidden="false" customHeight="true" outlineLevel="0" collapsed="false">
      <c r="A493" s="16" t="s">
        <v>233</v>
      </c>
      <c r="B493" s="17" t="n">
        <f aca="false">AVERAGE(E493:AE493)</f>
        <v>0.925925925925926</v>
      </c>
      <c r="C493" s="2" t="n">
        <f aca="false">MIN(E493:AE493)</f>
        <v>0</v>
      </c>
      <c r="D493" s="18" t="n">
        <f aca="false">MAX(E493:AE493)</f>
        <v>3</v>
      </c>
      <c r="E493" s="19" t="n">
        <v>1</v>
      </c>
      <c r="F493" s="19" t="n">
        <v>0</v>
      </c>
      <c r="G493" s="19" t="n">
        <v>0</v>
      </c>
      <c r="H493" s="19" t="n">
        <v>1</v>
      </c>
      <c r="I493" s="19" t="n">
        <v>0</v>
      </c>
      <c r="J493" s="19" t="n">
        <v>1</v>
      </c>
      <c r="K493" s="19" t="n">
        <v>1</v>
      </c>
      <c r="L493" s="19" t="n">
        <v>3</v>
      </c>
      <c r="M493" s="19" t="n">
        <v>2</v>
      </c>
      <c r="N493" s="19" t="n">
        <v>2</v>
      </c>
      <c r="O493" s="19" t="n">
        <v>1</v>
      </c>
      <c r="P493" s="19" t="n">
        <v>1</v>
      </c>
      <c r="Q493" s="19" t="n">
        <v>0</v>
      </c>
      <c r="R493" s="19" t="n">
        <v>1</v>
      </c>
      <c r="S493" s="19" t="n">
        <v>0</v>
      </c>
      <c r="T493" s="19" t="n">
        <v>3</v>
      </c>
      <c r="U493" s="19" t="n">
        <v>3</v>
      </c>
      <c r="V493" s="19" t="n">
        <v>0</v>
      </c>
      <c r="W493" s="19" t="n">
        <v>0</v>
      </c>
      <c r="X493" s="19" t="n">
        <v>3</v>
      </c>
      <c r="Y493" s="19" t="n">
        <v>1</v>
      </c>
      <c r="Z493" s="19" t="n">
        <v>0</v>
      </c>
      <c r="AA493" s="19" t="n">
        <v>0</v>
      </c>
      <c r="AB493" s="19" t="n">
        <v>0</v>
      </c>
      <c r="AC493" s="19" t="n">
        <v>1</v>
      </c>
      <c r="AD493" s="19" t="n">
        <v>0</v>
      </c>
      <c r="AE493" s="19" t="n">
        <v>0</v>
      </c>
      <c r="AF493" s="19" t="n">
        <v>0</v>
      </c>
      <c r="AG493" s="19"/>
      <c r="AH493" s="19"/>
    </row>
    <row r="494" customFormat="false" ht="12.75" hidden="false" customHeight="true" outlineLevel="0" collapsed="false">
      <c r="A494" s="16" t="s">
        <v>234</v>
      </c>
      <c r="B494" s="17" t="n">
        <f aca="false">AVERAGE(E494:AE494)</f>
        <v>0.925925925925926</v>
      </c>
      <c r="C494" s="2" t="n">
        <f aca="false">MIN(E494:AE494)</f>
        <v>0</v>
      </c>
      <c r="D494" s="18" t="n">
        <f aca="false">MAX(E494:AE494)</f>
        <v>3</v>
      </c>
      <c r="E494" s="19" t="n">
        <v>1</v>
      </c>
      <c r="F494" s="19" t="n">
        <v>0</v>
      </c>
      <c r="G494" s="19" t="n">
        <v>0</v>
      </c>
      <c r="H494" s="19" t="n">
        <v>1</v>
      </c>
      <c r="I494" s="19" t="n">
        <v>0</v>
      </c>
      <c r="J494" s="19" t="n">
        <v>1</v>
      </c>
      <c r="K494" s="19" t="n">
        <v>1</v>
      </c>
      <c r="L494" s="19" t="n">
        <v>3</v>
      </c>
      <c r="M494" s="19" t="n">
        <v>2</v>
      </c>
      <c r="N494" s="19" t="n">
        <v>2</v>
      </c>
      <c r="O494" s="19" t="n">
        <v>1</v>
      </c>
      <c r="P494" s="19" t="n">
        <v>1</v>
      </c>
      <c r="Q494" s="19" t="n">
        <v>0</v>
      </c>
      <c r="R494" s="19" t="n">
        <v>1</v>
      </c>
      <c r="S494" s="19" t="n">
        <v>0</v>
      </c>
      <c r="T494" s="19" t="n">
        <v>3</v>
      </c>
      <c r="U494" s="19" t="n">
        <v>3</v>
      </c>
      <c r="V494" s="19" t="n">
        <v>0</v>
      </c>
      <c r="W494" s="19" t="n">
        <v>0</v>
      </c>
      <c r="X494" s="19" t="n">
        <v>3</v>
      </c>
      <c r="Y494" s="19" t="n">
        <v>1</v>
      </c>
      <c r="Z494" s="19" t="n">
        <v>0</v>
      </c>
      <c r="AA494" s="19" t="n">
        <v>0</v>
      </c>
      <c r="AB494" s="19" t="n">
        <v>0</v>
      </c>
      <c r="AC494" s="19" t="n">
        <v>1</v>
      </c>
      <c r="AD494" s="19" t="n">
        <v>0</v>
      </c>
      <c r="AE494" s="19" t="n">
        <v>0</v>
      </c>
      <c r="AF494" s="19" t="n">
        <v>0</v>
      </c>
      <c r="AG494" s="19"/>
      <c r="AH494" s="19"/>
    </row>
    <row r="495" customFormat="false" ht="12.75" hidden="false" customHeight="true" outlineLevel="0" collapsed="false">
      <c r="A495" s="16" t="s">
        <v>235</v>
      </c>
      <c r="B495" s="17" t="n">
        <f aca="false">AVERAGE(E495:AE495)</f>
        <v>0.925925925925926</v>
      </c>
      <c r="C495" s="2" t="n">
        <f aca="false">MIN(E495:AE495)</f>
        <v>0</v>
      </c>
      <c r="D495" s="18" t="n">
        <f aca="false">MAX(E495:AE495)</f>
        <v>3</v>
      </c>
      <c r="E495" s="19" t="n">
        <v>1</v>
      </c>
      <c r="F495" s="19" t="n">
        <v>0</v>
      </c>
      <c r="G495" s="19" t="n">
        <v>0</v>
      </c>
      <c r="H495" s="19" t="n">
        <v>1</v>
      </c>
      <c r="I495" s="19" t="n">
        <v>0</v>
      </c>
      <c r="J495" s="19" t="n">
        <v>1</v>
      </c>
      <c r="K495" s="19" t="n">
        <v>1</v>
      </c>
      <c r="L495" s="19" t="n">
        <v>3</v>
      </c>
      <c r="M495" s="19" t="n">
        <v>2</v>
      </c>
      <c r="N495" s="19" t="n">
        <v>2</v>
      </c>
      <c r="O495" s="19" t="n">
        <v>1</v>
      </c>
      <c r="P495" s="19" t="n">
        <v>1</v>
      </c>
      <c r="Q495" s="19" t="n">
        <v>0</v>
      </c>
      <c r="R495" s="19" t="n">
        <v>1</v>
      </c>
      <c r="S495" s="19" t="n">
        <v>0</v>
      </c>
      <c r="T495" s="19" t="n">
        <v>3</v>
      </c>
      <c r="U495" s="19" t="n">
        <v>3</v>
      </c>
      <c r="V495" s="19" t="n">
        <v>0</v>
      </c>
      <c r="W495" s="19" t="n">
        <v>0</v>
      </c>
      <c r="X495" s="19" t="n">
        <v>3</v>
      </c>
      <c r="Y495" s="19" t="n">
        <v>1</v>
      </c>
      <c r="Z495" s="19" t="n">
        <v>0</v>
      </c>
      <c r="AA495" s="19" t="n">
        <v>0</v>
      </c>
      <c r="AB495" s="19" t="n">
        <v>0</v>
      </c>
      <c r="AC495" s="19" t="n">
        <v>1</v>
      </c>
      <c r="AD495" s="19" t="n">
        <v>0</v>
      </c>
      <c r="AE495" s="19" t="n">
        <v>0</v>
      </c>
      <c r="AF495" s="19" t="n">
        <v>0</v>
      </c>
      <c r="AG495" s="19"/>
      <c r="AH495" s="19"/>
    </row>
    <row r="496" customFormat="false" ht="12.75" hidden="false" customHeight="true" outlineLevel="0" collapsed="false">
      <c r="A496" s="16" t="s">
        <v>236</v>
      </c>
      <c r="B496" s="17" t="n">
        <f aca="false">AVERAGE(E496:AE496)</f>
        <v>0.962962962962963</v>
      </c>
      <c r="C496" s="2" t="n">
        <f aca="false">MIN(E496:AE496)</f>
        <v>0</v>
      </c>
      <c r="D496" s="18" t="n">
        <f aca="false">MAX(E496:AE496)</f>
        <v>3</v>
      </c>
      <c r="E496" s="19" t="n">
        <v>1</v>
      </c>
      <c r="F496" s="19" t="n">
        <v>0</v>
      </c>
      <c r="G496" s="19" t="n">
        <v>0</v>
      </c>
      <c r="H496" s="19" t="n">
        <v>1</v>
      </c>
      <c r="I496" s="19" t="n">
        <v>0</v>
      </c>
      <c r="J496" s="19" t="n">
        <v>1</v>
      </c>
      <c r="K496" s="19" t="n">
        <v>1</v>
      </c>
      <c r="L496" s="19" t="n">
        <v>3</v>
      </c>
      <c r="M496" s="19" t="n">
        <v>2</v>
      </c>
      <c r="N496" s="19" t="n">
        <v>2</v>
      </c>
      <c r="O496" s="19" t="n">
        <v>1</v>
      </c>
      <c r="P496" s="19" t="n">
        <v>1</v>
      </c>
      <c r="Q496" s="19" t="n">
        <v>1</v>
      </c>
      <c r="R496" s="19" t="n">
        <v>1</v>
      </c>
      <c r="S496" s="19" t="n">
        <v>0</v>
      </c>
      <c r="T496" s="19" t="n">
        <v>3</v>
      </c>
      <c r="U496" s="19" t="n">
        <v>3</v>
      </c>
      <c r="V496" s="19" t="n">
        <v>0</v>
      </c>
      <c r="W496" s="19" t="n">
        <v>0</v>
      </c>
      <c r="X496" s="19" t="n">
        <v>3</v>
      </c>
      <c r="Y496" s="19" t="n">
        <v>1</v>
      </c>
      <c r="Z496" s="19" t="n">
        <v>0</v>
      </c>
      <c r="AA496" s="19" t="n">
        <v>0</v>
      </c>
      <c r="AB496" s="19" t="n">
        <v>0</v>
      </c>
      <c r="AC496" s="19" t="n">
        <v>1</v>
      </c>
      <c r="AD496" s="19" t="n">
        <v>0</v>
      </c>
      <c r="AE496" s="19" t="n">
        <v>0</v>
      </c>
      <c r="AF496" s="19" t="n">
        <v>0</v>
      </c>
      <c r="AG496" s="19"/>
      <c r="AH496" s="19"/>
    </row>
    <row r="497" customFormat="false" ht="12.75" hidden="false" customHeight="true" outlineLevel="0" collapsed="false">
      <c r="A497" s="16" t="s">
        <v>237</v>
      </c>
      <c r="B497" s="17" t="n">
        <f aca="false">AVERAGE(E497:AE497)</f>
        <v>1.03703703703704</v>
      </c>
      <c r="C497" s="2" t="n">
        <f aca="false">MIN(E497:AE497)</f>
        <v>0</v>
      </c>
      <c r="D497" s="18" t="n">
        <f aca="false">MAX(E497:AE497)</f>
        <v>4</v>
      </c>
      <c r="E497" s="19" t="n">
        <v>1</v>
      </c>
      <c r="F497" s="19" t="n">
        <v>1</v>
      </c>
      <c r="G497" s="19" t="n">
        <v>0</v>
      </c>
      <c r="H497" s="19" t="n">
        <v>1</v>
      </c>
      <c r="I497" s="19" t="n">
        <v>0</v>
      </c>
      <c r="J497" s="19" t="n">
        <v>1</v>
      </c>
      <c r="K497" s="19" t="n">
        <v>1</v>
      </c>
      <c r="L497" s="19" t="n">
        <v>3</v>
      </c>
      <c r="M497" s="19" t="n">
        <v>2</v>
      </c>
      <c r="N497" s="19" t="n">
        <v>2</v>
      </c>
      <c r="O497" s="19" t="n">
        <v>1</v>
      </c>
      <c r="P497" s="19" t="n">
        <v>1</v>
      </c>
      <c r="Q497" s="19" t="n">
        <v>1</v>
      </c>
      <c r="R497" s="19" t="n">
        <v>1</v>
      </c>
      <c r="S497" s="19" t="n">
        <v>0</v>
      </c>
      <c r="T497" s="19" t="n">
        <v>4</v>
      </c>
      <c r="U497" s="19" t="n">
        <v>3</v>
      </c>
      <c r="V497" s="19" t="n">
        <v>0</v>
      </c>
      <c r="W497" s="19" t="n">
        <v>0</v>
      </c>
      <c r="X497" s="19" t="n">
        <v>3</v>
      </c>
      <c r="Y497" s="19" t="n">
        <v>1</v>
      </c>
      <c r="Z497" s="19" t="n">
        <v>0</v>
      </c>
      <c r="AA497" s="19" t="n">
        <v>0</v>
      </c>
      <c r="AB497" s="19" t="n">
        <v>0</v>
      </c>
      <c r="AC497" s="19" t="n">
        <v>1</v>
      </c>
      <c r="AD497" s="19" t="n">
        <v>0</v>
      </c>
      <c r="AE497" s="19" t="n">
        <v>0</v>
      </c>
      <c r="AF497" s="19" t="n">
        <v>0</v>
      </c>
      <c r="AG497" s="19"/>
      <c r="AH497" s="19"/>
    </row>
    <row r="498" customFormat="false" ht="12.75" hidden="false" customHeight="true" outlineLevel="0" collapsed="false">
      <c r="A498" s="16" t="s">
        <v>238</v>
      </c>
      <c r="B498" s="17" t="n">
        <f aca="false">AVERAGE(E498:AE498)</f>
        <v>1.22222222222222</v>
      </c>
      <c r="C498" s="2" t="n">
        <f aca="false">MIN(E498:AE498)</f>
        <v>0</v>
      </c>
      <c r="D498" s="18" t="n">
        <f aca="false">MAX(E498:AE498)</f>
        <v>5</v>
      </c>
      <c r="E498" s="19" t="n">
        <v>1</v>
      </c>
      <c r="F498" s="19" t="n">
        <v>1</v>
      </c>
      <c r="G498" s="19" t="n">
        <v>0</v>
      </c>
      <c r="H498" s="19" t="n">
        <v>2</v>
      </c>
      <c r="I498" s="19" t="n">
        <v>0</v>
      </c>
      <c r="J498" s="19" t="n">
        <v>1</v>
      </c>
      <c r="K498" s="19" t="n">
        <v>1</v>
      </c>
      <c r="L498" s="19" t="n">
        <v>3</v>
      </c>
      <c r="M498" s="19" t="n">
        <v>2</v>
      </c>
      <c r="N498" s="19" t="n">
        <v>2</v>
      </c>
      <c r="O498" s="19" t="n">
        <v>1</v>
      </c>
      <c r="P498" s="19" t="n">
        <v>1</v>
      </c>
      <c r="Q498" s="19" t="n">
        <v>2</v>
      </c>
      <c r="R498" s="19" t="n">
        <v>2</v>
      </c>
      <c r="S498" s="19" t="n">
        <v>0</v>
      </c>
      <c r="T498" s="19" t="n">
        <v>5</v>
      </c>
      <c r="U498" s="19" t="n">
        <v>3</v>
      </c>
      <c r="V498" s="19" t="n">
        <v>0</v>
      </c>
      <c r="W498" s="19" t="n">
        <v>0</v>
      </c>
      <c r="X498" s="19" t="n">
        <v>4</v>
      </c>
      <c r="Y498" s="19" t="n">
        <v>1</v>
      </c>
      <c r="Z498" s="19" t="n">
        <v>0</v>
      </c>
      <c r="AA498" s="19" t="n">
        <v>0</v>
      </c>
      <c r="AB498" s="19" t="n">
        <v>0</v>
      </c>
      <c r="AC498" s="19" t="n">
        <v>1</v>
      </c>
      <c r="AD498" s="19" t="n">
        <v>0</v>
      </c>
      <c r="AE498" s="19" t="n">
        <v>0</v>
      </c>
      <c r="AF498" s="19" t="n">
        <v>0</v>
      </c>
      <c r="AG498" s="19"/>
      <c r="AH498" s="19"/>
    </row>
    <row r="499" customFormat="false" ht="12.75" hidden="false" customHeight="true" outlineLevel="0" collapsed="false">
      <c r="A499" s="16" t="s">
        <v>239</v>
      </c>
      <c r="B499" s="17" t="n">
        <f aca="false">AVERAGE(E499:AE499)</f>
        <v>1.33333333333333</v>
      </c>
      <c r="C499" s="2" t="n">
        <f aca="false">MIN(E499:AE499)</f>
        <v>0</v>
      </c>
      <c r="D499" s="18" t="n">
        <f aca="false">MAX(E499:AE499)</f>
        <v>5</v>
      </c>
      <c r="E499" s="19" t="n">
        <v>1</v>
      </c>
      <c r="F499" s="19" t="n">
        <v>1</v>
      </c>
      <c r="G499" s="19" t="n">
        <v>1</v>
      </c>
      <c r="H499" s="19" t="n">
        <v>2</v>
      </c>
      <c r="I499" s="19" t="n">
        <v>0</v>
      </c>
      <c r="J499" s="19" t="n">
        <v>2</v>
      </c>
      <c r="K499" s="19" t="n">
        <v>1</v>
      </c>
      <c r="L499" s="19" t="n">
        <v>3</v>
      </c>
      <c r="M499" s="19" t="n">
        <v>2</v>
      </c>
      <c r="N499" s="19" t="n">
        <v>2</v>
      </c>
      <c r="O499" s="19" t="n">
        <v>1</v>
      </c>
      <c r="P499" s="19" t="n">
        <v>1</v>
      </c>
      <c r="Q499" s="19" t="n">
        <v>2</v>
      </c>
      <c r="R499" s="19" t="n">
        <v>2</v>
      </c>
      <c r="S499" s="19" t="n">
        <v>0</v>
      </c>
      <c r="T499" s="19" t="n">
        <v>5</v>
      </c>
      <c r="U499" s="19" t="n">
        <v>3</v>
      </c>
      <c r="V499" s="19" t="n">
        <v>0</v>
      </c>
      <c r="W499" s="19" t="n">
        <v>0</v>
      </c>
      <c r="X499" s="19" t="n">
        <v>4</v>
      </c>
      <c r="Y499" s="19" t="n">
        <v>1</v>
      </c>
      <c r="Z499" s="19" t="n">
        <v>0</v>
      </c>
      <c r="AA499" s="19" t="n">
        <v>0</v>
      </c>
      <c r="AB499" s="19" t="n">
        <v>0</v>
      </c>
      <c r="AC499" s="19" t="n">
        <v>1</v>
      </c>
      <c r="AD499" s="19" t="n">
        <v>0</v>
      </c>
      <c r="AE499" s="19" t="n">
        <v>1</v>
      </c>
      <c r="AF499" s="19" t="n">
        <v>0</v>
      </c>
      <c r="AG499" s="19"/>
      <c r="AH499" s="19"/>
    </row>
    <row r="500" customFormat="false" ht="12.75" hidden="false" customHeight="true" outlineLevel="0" collapsed="false">
      <c r="A500" s="16" t="s">
        <v>240</v>
      </c>
      <c r="B500" s="17" t="n">
        <f aca="false">AVERAGE(E500:AE500)</f>
        <v>1.37037037037037</v>
      </c>
      <c r="C500" s="2" t="n">
        <f aca="false">MIN(E500:AE500)</f>
        <v>0</v>
      </c>
      <c r="D500" s="18" t="n">
        <f aca="false">MAX(E500:AE500)</f>
        <v>5</v>
      </c>
      <c r="E500" s="19" t="n">
        <v>1</v>
      </c>
      <c r="F500" s="19" t="n">
        <v>1</v>
      </c>
      <c r="G500" s="19" t="n">
        <v>2</v>
      </c>
      <c r="H500" s="19" t="n">
        <v>2</v>
      </c>
      <c r="I500" s="19" t="n">
        <v>0</v>
      </c>
      <c r="J500" s="19" t="n">
        <v>2</v>
      </c>
      <c r="K500" s="19" t="n">
        <v>1</v>
      </c>
      <c r="L500" s="19" t="n">
        <v>3</v>
      </c>
      <c r="M500" s="19" t="n">
        <v>2</v>
      </c>
      <c r="N500" s="19" t="n">
        <v>2</v>
      </c>
      <c r="O500" s="19" t="n">
        <v>1</v>
      </c>
      <c r="P500" s="19" t="n">
        <v>1</v>
      </c>
      <c r="Q500" s="19" t="n">
        <v>2</v>
      </c>
      <c r="R500" s="19" t="n">
        <v>2</v>
      </c>
      <c r="S500" s="19" t="n">
        <v>0</v>
      </c>
      <c r="T500" s="19" t="n">
        <v>5</v>
      </c>
      <c r="U500" s="19" t="n">
        <v>3</v>
      </c>
      <c r="V500" s="19" t="n">
        <v>0</v>
      </c>
      <c r="W500" s="19" t="n">
        <v>0</v>
      </c>
      <c r="X500" s="19" t="n">
        <v>4</v>
      </c>
      <c r="Y500" s="19" t="n">
        <v>1</v>
      </c>
      <c r="Z500" s="19" t="n">
        <v>0</v>
      </c>
      <c r="AA500" s="19" t="n">
        <v>0</v>
      </c>
      <c r="AB500" s="19" t="n">
        <v>0</v>
      </c>
      <c r="AC500" s="19" t="n">
        <v>1</v>
      </c>
      <c r="AD500" s="19" t="n">
        <v>0</v>
      </c>
      <c r="AE500" s="19" t="n">
        <v>1</v>
      </c>
      <c r="AF500" s="19" t="n">
        <v>0</v>
      </c>
      <c r="AG500" s="19"/>
      <c r="AH500" s="19"/>
    </row>
    <row r="501" customFormat="false" ht="12.75" hidden="false" customHeight="true" outlineLevel="0" collapsed="false">
      <c r="A501" s="16" t="s">
        <v>241</v>
      </c>
      <c r="B501" s="17" t="n">
        <f aca="false">AVERAGE(E501:AE501)</f>
        <v>1.48148148148148</v>
      </c>
      <c r="C501" s="2" t="n">
        <f aca="false">MIN(E501:AE501)</f>
        <v>0</v>
      </c>
      <c r="D501" s="18" t="n">
        <f aca="false">MAX(E501:AE501)</f>
        <v>5</v>
      </c>
      <c r="E501" s="19" t="n">
        <v>1</v>
      </c>
      <c r="F501" s="19" t="n">
        <v>1</v>
      </c>
      <c r="G501" s="19" t="n">
        <v>2</v>
      </c>
      <c r="H501" s="19" t="n">
        <v>2</v>
      </c>
      <c r="I501" s="19" t="n">
        <v>0</v>
      </c>
      <c r="J501" s="19" t="n">
        <v>3</v>
      </c>
      <c r="K501" s="19" t="n">
        <v>1</v>
      </c>
      <c r="L501" s="19" t="n">
        <v>3</v>
      </c>
      <c r="M501" s="19" t="n">
        <v>2</v>
      </c>
      <c r="N501" s="19" t="n">
        <v>2</v>
      </c>
      <c r="O501" s="19" t="n">
        <v>1</v>
      </c>
      <c r="P501" s="19" t="n">
        <v>1</v>
      </c>
      <c r="Q501" s="19" t="n">
        <v>2</v>
      </c>
      <c r="R501" s="19" t="n">
        <v>3</v>
      </c>
      <c r="S501" s="19" t="n">
        <v>0</v>
      </c>
      <c r="T501" s="19" t="n">
        <v>5</v>
      </c>
      <c r="U501" s="19" t="n">
        <v>3</v>
      </c>
      <c r="V501" s="19" t="n">
        <v>0</v>
      </c>
      <c r="W501" s="19" t="n">
        <v>0</v>
      </c>
      <c r="X501" s="19" t="n">
        <v>4</v>
      </c>
      <c r="Y501" s="19" t="n">
        <v>1</v>
      </c>
      <c r="Z501" s="19" t="n">
        <v>0</v>
      </c>
      <c r="AA501" s="19" t="n">
        <v>0</v>
      </c>
      <c r="AB501" s="19" t="n">
        <v>1</v>
      </c>
      <c r="AC501" s="19" t="n">
        <v>1</v>
      </c>
      <c r="AD501" s="19" t="n">
        <v>0</v>
      </c>
      <c r="AE501" s="19" t="n">
        <v>1</v>
      </c>
      <c r="AF501" s="19" t="n">
        <v>1</v>
      </c>
      <c r="AG501" s="19"/>
      <c r="AH501" s="19"/>
    </row>
    <row r="502" customFormat="false" ht="12.75" hidden="false" customHeight="true" outlineLevel="0" collapsed="false">
      <c r="A502" s="16" t="s">
        <v>242</v>
      </c>
      <c r="B502" s="17" t="n">
        <f aca="false">AVERAGE(E502:AE502)</f>
        <v>1.48148148148148</v>
      </c>
      <c r="C502" s="2" t="n">
        <f aca="false">MIN(E502:AE502)</f>
        <v>0</v>
      </c>
      <c r="D502" s="18" t="n">
        <f aca="false">MAX(E502:AE502)</f>
        <v>5</v>
      </c>
      <c r="E502" s="19" t="n">
        <v>1</v>
      </c>
      <c r="F502" s="19" t="n">
        <v>1</v>
      </c>
      <c r="G502" s="19" t="n">
        <v>2</v>
      </c>
      <c r="H502" s="19" t="n">
        <v>2</v>
      </c>
      <c r="I502" s="19" t="n">
        <v>0</v>
      </c>
      <c r="J502" s="19" t="n">
        <v>3</v>
      </c>
      <c r="K502" s="19" t="n">
        <v>1</v>
      </c>
      <c r="L502" s="19" t="n">
        <v>3</v>
      </c>
      <c r="M502" s="19" t="n">
        <v>2</v>
      </c>
      <c r="N502" s="19" t="n">
        <v>2</v>
      </c>
      <c r="O502" s="19" t="n">
        <v>1</v>
      </c>
      <c r="P502" s="19" t="n">
        <v>1</v>
      </c>
      <c r="Q502" s="19" t="n">
        <v>2</v>
      </c>
      <c r="R502" s="19" t="n">
        <v>3</v>
      </c>
      <c r="S502" s="19" t="n">
        <v>0</v>
      </c>
      <c r="T502" s="19" t="n">
        <v>5</v>
      </c>
      <c r="U502" s="19" t="n">
        <v>3</v>
      </c>
      <c r="V502" s="19" t="n">
        <v>0</v>
      </c>
      <c r="W502" s="19" t="n">
        <v>0</v>
      </c>
      <c r="X502" s="19" t="n">
        <v>4</v>
      </c>
      <c r="Y502" s="19" t="n">
        <v>1</v>
      </c>
      <c r="Z502" s="19" t="n">
        <v>0</v>
      </c>
      <c r="AA502" s="19" t="n">
        <v>0</v>
      </c>
      <c r="AB502" s="19" t="n">
        <v>1</v>
      </c>
      <c r="AC502" s="19" t="n">
        <v>1</v>
      </c>
      <c r="AD502" s="19" t="n">
        <v>0</v>
      </c>
      <c r="AE502" s="19" t="n">
        <v>1</v>
      </c>
      <c r="AF502" s="19" t="n">
        <v>1</v>
      </c>
      <c r="AG502" s="19"/>
      <c r="AH502" s="19"/>
    </row>
    <row r="503" customFormat="false" ht="12.75" hidden="false" customHeight="true" outlineLevel="0" collapsed="false">
      <c r="A503" s="16" t="s">
        <v>243</v>
      </c>
      <c r="B503" s="17" t="n">
        <f aca="false">AVERAGE(E503:AE503)</f>
        <v>1.51851851851852</v>
      </c>
      <c r="C503" s="2" t="n">
        <f aca="false">MIN(E503:AE503)</f>
        <v>0</v>
      </c>
      <c r="D503" s="18" t="n">
        <f aca="false">MAX(E503:AE503)</f>
        <v>5</v>
      </c>
      <c r="E503" s="19" t="n">
        <v>1</v>
      </c>
      <c r="F503" s="19" t="n">
        <v>1</v>
      </c>
      <c r="G503" s="19" t="n">
        <v>2</v>
      </c>
      <c r="H503" s="19" t="n">
        <v>2</v>
      </c>
      <c r="I503" s="19" t="n">
        <v>0</v>
      </c>
      <c r="J503" s="19" t="n">
        <v>3</v>
      </c>
      <c r="K503" s="19" t="n">
        <v>1</v>
      </c>
      <c r="L503" s="19" t="n">
        <v>3</v>
      </c>
      <c r="M503" s="19" t="n">
        <v>2</v>
      </c>
      <c r="N503" s="19" t="n">
        <v>2</v>
      </c>
      <c r="O503" s="19" t="n">
        <v>1</v>
      </c>
      <c r="P503" s="19" t="n">
        <v>1</v>
      </c>
      <c r="Q503" s="19" t="n">
        <v>2</v>
      </c>
      <c r="R503" s="19" t="n">
        <v>3</v>
      </c>
      <c r="S503" s="19" t="n">
        <v>1</v>
      </c>
      <c r="T503" s="19" t="n">
        <v>5</v>
      </c>
      <c r="U503" s="19" t="n">
        <v>3</v>
      </c>
      <c r="V503" s="19" t="n">
        <v>0</v>
      </c>
      <c r="W503" s="19" t="n">
        <v>0</v>
      </c>
      <c r="X503" s="19" t="n">
        <v>4</v>
      </c>
      <c r="Y503" s="19" t="n">
        <v>1</v>
      </c>
      <c r="Z503" s="19" t="n">
        <v>0</v>
      </c>
      <c r="AA503" s="19" t="n">
        <v>0</v>
      </c>
      <c r="AB503" s="19" t="n">
        <v>1</v>
      </c>
      <c r="AC503" s="19" t="n">
        <v>1</v>
      </c>
      <c r="AD503" s="19" t="n">
        <v>0</v>
      </c>
      <c r="AE503" s="19" t="n">
        <v>1</v>
      </c>
      <c r="AF503" s="19" t="n">
        <v>1</v>
      </c>
      <c r="AG503" s="19"/>
      <c r="AH503" s="19"/>
    </row>
    <row r="504" customFormat="false" ht="12.75" hidden="false" customHeight="true" outlineLevel="0" collapsed="false">
      <c r="A504" s="16" t="s">
        <v>244</v>
      </c>
      <c r="B504" s="17" t="n">
        <f aca="false">AVERAGE(E504:AE504)</f>
        <v>1.62962962962963</v>
      </c>
      <c r="C504" s="2" t="n">
        <f aca="false">MIN(E504:AE504)</f>
        <v>0</v>
      </c>
      <c r="D504" s="18" t="n">
        <f aca="false">MAX(E504:AE504)</f>
        <v>5</v>
      </c>
      <c r="E504" s="19" t="n">
        <v>1</v>
      </c>
      <c r="F504" s="19" t="n">
        <v>2</v>
      </c>
      <c r="G504" s="19" t="n">
        <v>2</v>
      </c>
      <c r="H504" s="19" t="n">
        <v>2</v>
      </c>
      <c r="I504" s="19" t="n">
        <v>1</v>
      </c>
      <c r="J504" s="19" t="n">
        <v>3</v>
      </c>
      <c r="K504" s="19" t="n">
        <v>1</v>
      </c>
      <c r="L504" s="19" t="n">
        <v>3</v>
      </c>
      <c r="M504" s="19" t="n">
        <v>2</v>
      </c>
      <c r="N504" s="19" t="n">
        <v>2</v>
      </c>
      <c r="O504" s="19" t="n">
        <v>2</v>
      </c>
      <c r="P504" s="19" t="n">
        <v>1</v>
      </c>
      <c r="Q504" s="19" t="n">
        <v>2</v>
      </c>
      <c r="R504" s="19" t="n">
        <v>3</v>
      </c>
      <c r="S504" s="19" t="n">
        <v>1</v>
      </c>
      <c r="T504" s="19" t="n">
        <v>5</v>
      </c>
      <c r="U504" s="19" t="n">
        <v>3</v>
      </c>
      <c r="V504" s="19" t="n">
        <v>0</v>
      </c>
      <c r="W504" s="19" t="n">
        <v>0</v>
      </c>
      <c r="X504" s="19" t="n">
        <v>4</v>
      </c>
      <c r="Y504" s="19" t="n">
        <v>1</v>
      </c>
      <c r="Z504" s="19" t="n">
        <v>0</v>
      </c>
      <c r="AA504" s="19" t="n">
        <v>0</v>
      </c>
      <c r="AB504" s="19" t="n">
        <v>1</v>
      </c>
      <c r="AC504" s="19" t="n">
        <v>1</v>
      </c>
      <c r="AD504" s="19" t="n">
        <v>0</v>
      </c>
      <c r="AE504" s="19" t="n">
        <v>1</v>
      </c>
      <c r="AF504" s="19" t="n">
        <v>1</v>
      </c>
      <c r="AG504" s="19"/>
      <c r="AH504" s="19"/>
    </row>
    <row r="505" customFormat="false" ht="12.75" hidden="false" customHeight="true" outlineLevel="0" collapsed="false">
      <c r="A505" s="16" t="s">
        <v>245</v>
      </c>
      <c r="B505" s="17" t="n">
        <f aca="false">AVERAGE(E505:AE505)</f>
        <v>1.77777777777778</v>
      </c>
      <c r="C505" s="2" t="n">
        <f aca="false">MIN(E505:AE505)</f>
        <v>0</v>
      </c>
      <c r="D505" s="18" t="n">
        <f aca="false">MAX(E505:AE505)</f>
        <v>5</v>
      </c>
      <c r="E505" s="19" t="n">
        <v>1</v>
      </c>
      <c r="F505" s="19" t="n">
        <v>2</v>
      </c>
      <c r="G505" s="19" t="n">
        <v>2</v>
      </c>
      <c r="H505" s="19" t="n">
        <v>2</v>
      </c>
      <c r="I505" s="19" t="n">
        <v>2</v>
      </c>
      <c r="J505" s="19" t="n">
        <v>3</v>
      </c>
      <c r="K505" s="19" t="n">
        <v>2</v>
      </c>
      <c r="L505" s="19" t="n">
        <v>4</v>
      </c>
      <c r="M505" s="19" t="n">
        <v>2</v>
      </c>
      <c r="N505" s="19" t="n">
        <v>2</v>
      </c>
      <c r="O505" s="19" t="n">
        <v>2</v>
      </c>
      <c r="P505" s="19" t="n">
        <v>1</v>
      </c>
      <c r="Q505" s="19" t="n">
        <v>2</v>
      </c>
      <c r="R505" s="19" t="n">
        <v>3</v>
      </c>
      <c r="S505" s="19" t="n">
        <v>1</v>
      </c>
      <c r="T505" s="19" t="n">
        <v>5</v>
      </c>
      <c r="U505" s="19" t="n">
        <v>4</v>
      </c>
      <c r="V505" s="19" t="n">
        <v>0</v>
      </c>
      <c r="W505" s="19" t="n">
        <v>0</v>
      </c>
      <c r="X505" s="19" t="n">
        <v>4</v>
      </c>
      <c r="Y505" s="19" t="n">
        <v>1</v>
      </c>
      <c r="Z505" s="19" t="n">
        <v>0</v>
      </c>
      <c r="AA505" s="19" t="n">
        <v>0</v>
      </c>
      <c r="AB505" s="19" t="n">
        <v>1</v>
      </c>
      <c r="AC505" s="19" t="n">
        <v>1</v>
      </c>
      <c r="AD505" s="19" t="n">
        <v>0</v>
      </c>
      <c r="AE505" s="19" t="n">
        <v>1</v>
      </c>
      <c r="AF505" s="19" t="n">
        <v>1</v>
      </c>
      <c r="AG505" s="19"/>
      <c r="AH505" s="19"/>
    </row>
    <row r="506" customFormat="false" ht="12.75" hidden="false" customHeight="true" outlineLevel="0" collapsed="false">
      <c r="A506" s="16" t="s">
        <v>246</v>
      </c>
      <c r="B506" s="17" t="n">
        <f aca="false">AVERAGE(E506:AE506)</f>
        <v>1.81481481481481</v>
      </c>
      <c r="C506" s="2" t="n">
        <f aca="false">MIN(E506:AE506)</f>
        <v>0</v>
      </c>
      <c r="D506" s="18" t="n">
        <f aca="false">MAX(E506:AE506)</f>
        <v>5</v>
      </c>
      <c r="E506" s="19" t="n">
        <v>1</v>
      </c>
      <c r="F506" s="19" t="n">
        <v>2</v>
      </c>
      <c r="G506" s="19" t="n">
        <v>2</v>
      </c>
      <c r="H506" s="19" t="n">
        <v>2</v>
      </c>
      <c r="I506" s="19" t="n">
        <v>2</v>
      </c>
      <c r="J506" s="19" t="n">
        <v>4</v>
      </c>
      <c r="K506" s="19" t="n">
        <v>2</v>
      </c>
      <c r="L506" s="19" t="n">
        <v>4</v>
      </c>
      <c r="M506" s="19" t="n">
        <v>2</v>
      </c>
      <c r="N506" s="19" t="n">
        <v>2</v>
      </c>
      <c r="O506" s="19" t="n">
        <v>2</v>
      </c>
      <c r="P506" s="19" t="n">
        <v>1</v>
      </c>
      <c r="Q506" s="19" t="n">
        <v>2</v>
      </c>
      <c r="R506" s="19" t="n">
        <v>3</v>
      </c>
      <c r="S506" s="19" t="n">
        <v>1</v>
      </c>
      <c r="T506" s="19" t="n">
        <v>5</v>
      </c>
      <c r="U506" s="19" t="n">
        <v>4</v>
      </c>
      <c r="V506" s="19" t="n">
        <v>0</v>
      </c>
      <c r="W506" s="19" t="n">
        <v>0</v>
      </c>
      <c r="X506" s="19" t="n">
        <v>4</v>
      </c>
      <c r="Y506" s="19" t="n">
        <v>1</v>
      </c>
      <c r="Z506" s="19" t="n">
        <v>0</v>
      </c>
      <c r="AA506" s="19" t="n">
        <v>0</v>
      </c>
      <c r="AB506" s="19" t="n">
        <v>1</v>
      </c>
      <c r="AC506" s="19" t="n">
        <v>1</v>
      </c>
      <c r="AD506" s="19" t="n">
        <v>0</v>
      </c>
      <c r="AE506" s="19" t="n">
        <v>1</v>
      </c>
      <c r="AF506" s="19" t="n">
        <v>1</v>
      </c>
      <c r="AG506" s="19"/>
      <c r="AH506" s="19"/>
    </row>
    <row r="507" customFormat="false" ht="12.75" hidden="false" customHeight="true" outlineLevel="0" collapsed="false">
      <c r="A507" s="16" t="s">
        <v>247</v>
      </c>
      <c r="B507" s="17" t="n">
        <f aca="false">AVERAGE(E507:AE507)</f>
        <v>1.96296296296296</v>
      </c>
      <c r="C507" s="2" t="n">
        <f aca="false">MIN(E507:AE507)</f>
        <v>0</v>
      </c>
      <c r="D507" s="18" t="n">
        <f aca="false">MAX(E507:AE507)</f>
        <v>5</v>
      </c>
      <c r="E507" s="19" t="n">
        <v>1</v>
      </c>
      <c r="F507" s="19" t="n">
        <v>2</v>
      </c>
      <c r="G507" s="19" t="n">
        <v>2</v>
      </c>
      <c r="H507" s="19" t="n">
        <v>3</v>
      </c>
      <c r="I507" s="19" t="n">
        <v>2</v>
      </c>
      <c r="J507" s="19" t="n">
        <v>5</v>
      </c>
      <c r="K507" s="19" t="n">
        <v>2</v>
      </c>
      <c r="L507" s="19" t="n">
        <v>4</v>
      </c>
      <c r="M507" s="19" t="n">
        <v>2</v>
      </c>
      <c r="N507" s="19" t="n">
        <v>2</v>
      </c>
      <c r="O507" s="19" t="n">
        <v>2</v>
      </c>
      <c r="P507" s="19" t="n">
        <v>1</v>
      </c>
      <c r="Q507" s="19" t="n">
        <v>2</v>
      </c>
      <c r="R507" s="19" t="n">
        <v>4</v>
      </c>
      <c r="S507" s="19" t="n">
        <v>1</v>
      </c>
      <c r="T507" s="19" t="n">
        <v>5</v>
      </c>
      <c r="U507" s="19" t="n">
        <v>4</v>
      </c>
      <c r="V507" s="19" t="n">
        <v>0</v>
      </c>
      <c r="W507" s="19" t="n">
        <v>0</v>
      </c>
      <c r="X507" s="19" t="n">
        <v>4</v>
      </c>
      <c r="Y507" s="19" t="n">
        <v>1</v>
      </c>
      <c r="Z507" s="19" t="n">
        <v>0</v>
      </c>
      <c r="AA507" s="19" t="n">
        <v>1</v>
      </c>
      <c r="AB507" s="19" t="n">
        <v>1</v>
      </c>
      <c r="AC507" s="19" t="n">
        <v>1</v>
      </c>
      <c r="AD507" s="19" t="n">
        <v>0</v>
      </c>
      <c r="AE507" s="19" t="n">
        <v>1</v>
      </c>
      <c r="AF507" s="19" t="n">
        <v>1</v>
      </c>
      <c r="AG507" s="19"/>
      <c r="AH507" s="19"/>
    </row>
    <row r="508" customFormat="false" ht="12.75" hidden="false" customHeight="true" outlineLevel="0" collapsed="false">
      <c r="A508" s="16" t="s">
        <v>248</v>
      </c>
      <c r="B508" s="17" t="n">
        <f aca="false">AVERAGE(E508:AE508)</f>
        <v>2.11111111111111</v>
      </c>
      <c r="C508" s="2" t="n">
        <f aca="false">MIN(E508:AE508)</f>
        <v>0</v>
      </c>
      <c r="D508" s="18" t="n">
        <f aca="false">MAX(E508:AE508)</f>
        <v>5</v>
      </c>
      <c r="E508" s="19" t="n">
        <v>1</v>
      </c>
      <c r="F508" s="19" t="n">
        <v>2</v>
      </c>
      <c r="G508" s="19" t="n">
        <v>2</v>
      </c>
      <c r="H508" s="19" t="n">
        <v>4</v>
      </c>
      <c r="I508" s="19" t="n">
        <v>2</v>
      </c>
      <c r="J508" s="19" t="n">
        <v>5</v>
      </c>
      <c r="K508" s="19" t="n">
        <v>2</v>
      </c>
      <c r="L508" s="19" t="n">
        <v>4</v>
      </c>
      <c r="M508" s="19" t="n">
        <v>2</v>
      </c>
      <c r="N508" s="19" t="n">
        <v>2</v>
      </c>
      <c r="O508" s="19" t="n">
        <v>2</v>
      </c>
      <c r="P508" s="19" t="n">
        <v>1</v>
      </c>
      <c r="Q508" s="19" t="n">
        <v>3</v>
      </c>
      <c r="R508" s="19" t="n">
        <v>5</v>
      </c>
      <c r="S508" s="19" t="n">
        <v>1</v>
      </c>
      <c r="T508" s="19" t="n">
        <v>5</v>
      </c>
      <c r="U508" s="19" t="n">
        <v>5</v>
      </c>
      <c r="V508" s="19" t="n">
        <v>0</v>
      </c>
      <c r="W508" s="19" t="n">
        <v>0</v>
      </c>
      <c r="X508" s="19" t="n">
        <v>4</v>
      </c>
      <c r="Y508" s="19" t="n">
        <v>1</v>
      </c>
      <c r="Z508" s="19" t="n">
        <v>0</v>
      </c>
      <c r="AA508" s="19" t="n">
        <v>1</v>
      </c>
      <c r="AB508" s="19" t="n">
        <v>1</v>
      </c>
      <c r="AC508" s="19" t="n">
        <v>1</v>
      </c>
      <c r="AD508" s="19" t="n">
        <v>0</v>
      </c>
      <c r="AE508" s="19" t="n">
        <v>1</v>
      </c>
      <c r="AF508" s="19" t="n">
        <v>1</v>
      </c>
      <c r="AG508" s="19"/>
      <c r="AH508" s="19"/>
    </row>
    <row r="509" customFormat="false" ht="12.75" hidden="false" customHeight="true" outlineLevel="0" collapsed="false">
      <c r="A509" s="16" t="s">
        <v>249</v>
      </c>
      <c r="B509" s="17" t="n">
        <f aca="false">AVERAGE(E509:AE509)</f>
        <v>2.22222222222222</v>
      </c>
      <c r="C509" s="2" t="n">
        <f aca="false">MIN(E509:AE509)</f>
        <v>0</v>
      </c>
      <c r="D509" s="18" t="n">
        <f aca="false">MAX(E509:AE509)</f>
        <v>5</v>
      </c>
      <c r="E509" s="19" t="n">
        <v>1</v>
      </c>
      <c r="F509" s="19" t="n">
        <v>2</v>
      </c>
      <c r="G509" s="19" t="n">
        <v>2</v>
      </c>
      <c r="H509" s="19" t="n">
        <v>4</v>
      </c>
      <c r="I509" s="19" t="n">
        <v>2</v>
      </c>
      <c r="J509" s="19" t="n">
        <v>5</v>
      </c>
      <c r="K509" s="19" t="n">
        <v>2</v>
      </c>
      <c r="L509" s="19" t="n">
        <v>4</v>
      </c>
      <c r="M509" s="19" t="n">
        <v>2</v>
      </c>
      <c r="N509" s="19" t="n">
        <v>3</v>
      </c>
      <c r="O509" s="19" t="n">
        <v>2</v>
      </c>
      <c r="P509" s="19" t="n">
        <v>1</v>
      </c>
      <c r="Q509" s="19" t="n">
        <v>3</v>
      </c>
      <c r="R509" s="19" t="n">
        <v>5</v>
      </c>
      <c r="S509" s="19" t="n">
        <v>1</v>
      </c>
      <c r="T509" s="19" t="n">
        <v>5</v>
      </c>
      <c r="U509" s="19" t="n">
        <v>5</v>
      </c>
      <c r="V509" s="19" t="n">
        <v>1</v>
      </c>
      <c r="W509" s="19" t="n">
        <v>1</v>
      </c>
      <c r="X509" s="19" t="n">
        <v>4</v>
      </c>
      <c r="Y509" s="19" t="n">
        <v>1</v>
      </c>
      <c r="Z509" s="19" t="n">
        <v>0</v>
      </c>
      <c r="AA509" s="19" t="n">
        <v>1</v>
      </c>
      <c r="AB509" s="19" t="n">
        <v>1</v>
      </c>
      <c r="AC509" s="19" t="n">
        <v>1</v>
      </c>
      <c r="AD509" s="19" t="n">
        <v>0</v>
      </c>
      <c r="AE509" s="19" t="n">
        <v>1</v>
      </c>
      <c r="AF509" s="19" t="n">
        <v>1</v>
      </c>
      <c r="AG509" s="19"/>
      <c r="AH509" s="19"/>
    </row>
    <row r="510" customFormat="false" ht="12.75" hidden="false" customHeight="true" outlineLevel="0" collapsed="false">
      <c r="A510" s="16" t="s">
        <v>250</v>
      </c>
      <c r="B510" s="17" t="n">
        <f aca="false">AVERAGE(E510:AE510)</f>
        <v>2.2962962962963</v>
      </c>
      <c r="C510" s="2" t="n">
        <f aca="false">MIN(E510:AE510)</f>
        <v>0</v>
      </c>
      <c r="D510" s="18" t="n">
        <f aca="false">MAX(E510:AE510)</f>
        <v>5</v>
      </c>
      <c r="E510" s="19" t="n">
        <v>1</v>
      </c>
      <c r="F510" s="19" t="n">
        <v>2</v>
      </c>
      <c r="G510" s="19" t="n">
        <v>2</v>
      </c>
      <c r="H510" s="19" t="n">
        <v>4</v>
      </c>
      <c r="I510" s="19" t="n">
        <v>2</v>
      </c>
      <c r="J510" s="19" t="n">
        <v>5</v>
      </c>
      <c r="K510" s="19" t="n">
        <v>2</v>
      </c>
      <c r="L510" s="19" t="n">
        <v>4</v>
      </c>
      <c r="M510" s="19" t="n">
        <v>3</v>
      </c>
      <c r="N510" s="19" t="n">
        <v>3</v>
      </c>
      <c r="O510" s="19" t="n">
        <v>2</v>
      </c>
      <c r="P510" s="19" t="n">
        <v>1</v>
      </c>
      <c r="Q510" s="19" t="n">
        <v>3</v>
      </c>
      <c r="R510" s="19" t="n">
        <v>5</v>
      </c>
      <c r="S510" s="19" t="n">
        <v>1</v>
      </c>
      <c r="T510" s="19" t="n">
        <v>5</v>
      </c>
      <c r="U510" s="19" t="n">
        <v>5</v>
      </c>
      <c r="V510" s="19" t="n">
        <v>1</v>
      </c>
      <c r="W510" s="19" t="n">
        <v>2</v>
      </c>
      <c r="X510" s="19" t="n">
        <v>4</v>
      </c>
      <c r="Y510" s="19" t="n">
        <v>1</v>
      </c>
      <c r="Z510" s="19" t="n">
        <v>0</v>
      </c>
      <c r="AA510" s="19" t="n">
        <v>1</v>
      </c>
      <c r="AB510" s="19" t="n">
        <v>1</v>
      </c>
      <c r="AC510" s="19" t="n">
        <v>1</v>
      </c>
      <c r="AD510" s="19" t="n">
        <v>0</v>
      </c>
      <c r="AE510" s="19" t="n">
        <v>1</v>
      </c>
      <c r="AF510" s="19" t="n">
        <v>1</v>
      </c>
      <c r="AG510" s="19"/>
      <c r="AH510" s="19"/>
    </row>
    <row r="511" customFormat="false" ht="12.75" hidden="false" customHeight="true" outlineLevel="0" collapsed="false">
      <c r="A511" s="16" t="s">
        <v>251</v>
      </c>
      <c r="B511" s="17" t="n">
        <f aca="false">AVERAGE(E511:AE511)</f>
        <v>2.37037037037037</v>
      </c>
      <c r="C511" s="2" t="n">
        <f aca="false">MIN(E511:AE511)</f>
        <v>0</v>
      </c>
      <c r="D511" s="18" t="n">
        <f aca="false">MAX(E511:AE511)</f>
        <v>5</v>
      </c>
      <c r="E511" s="19" t="n">
        <v>1</v>
      </c>
      <c r="F511" s="19" t="n">
        <v>2</v>
      </c>
      <c r="G511" s="19" t="n">
        <v>2</v>
      </c>
      <c r="H511" s="19" t="n">
        <v>4</v>
      </c>
      <c r="I511" s="19" t="n">
        <v>2</v>
      </c>
      <c r="J511" s="19" t="n">
        <v>5</v>
      </c>
      <c r="K511" s="19" t="n">
        <v>2</v>
      </c>
      <c r="L511" s="19" t="n">
        <v>4</v>
      </c>
      <c r="M511" s="19" t="n">
        <v>3</v>
      </c>
      <c r="N511" s="19" t="n">
        <v>4</v>
      </c>
      <c r="O511" s="19" t="n">
        <v>2</v>
      </c>
      <c r="P511" s="19" t="n">
        <v>1</v>
      </c>
      <c r="Q511" s="19" t="n">
        <v>3</v>
      </c>
      <c r="R511" s="19" t="n">
        <v>5</v>
      </c>
      <c r="S511" s="19" t="n">
        <v>1</v>
      </c>
      <c r="T511" s="19" t="n">
        <v>5</v>
      </c>
      <c r="U511" s="19" t="n">
        <v>5</v>
      </c>
      <c r="V511" s="19" t="n">
        <v>1</v>
      </c>
      <c r="W511" s="19" t="n">
        <v>2</v>
      </c>
      <c r="X511" s="19" t="n">
        <v>4</v>
      </c>
      <c r="Y511" s="19" t="n">
        <v>1</v>
      </c>
      <c r="Z511" s="19" t="n">
        <v>0</v>
      </c>
      <c r="AA511" s="19" t="n">
        <v>2</v>
      </c>
      <c r="AB511" s="19" t="n">
        <v>1</v>
      </c>
      <c r="AC511" s="19" t="n">
        <v>1</v>
      </c>
      <c r="AD511" s="19" t="n">
        <v>0</v>
      </c>
      <c r="AE511" s="19" t="n">
        <v>1</v>
      </c>
      <c r="AF511" s="19" t="n">
        <v>1</v>
      </c>
      <c r="AG511" s="19"/>
      <c r="AH511" s="19"/>
    </row>
    <row r="512" customFormat="false" ht="12.75" hidden="false" customHeight="true" outlineLevel="0" collapsed="false">
      <c r="A512" s="16" t="s">
        <v>252</v>
      </c>
      <c r="B512" s="17" t="n">
        <f aca="false">AVERAGE(E512:AE512)</f>
        <v>2.55555555555556</v>
      </c>
      <c r="C512" s="2" t="n">
        <f aca="false">MIN(E512:AE512)</f>
        <v>0</v>
      </c>
      <c r="D512" s="18" t="n">
        <f aca="false">MAX(E512:AE512)</f>
        <v>5</v>
      </c>
      <c r="E512" s="19" t="n">
        <v>1</v>
      </c>
      <c r="F512" s="19" t="n">
        <v>2</v>
      </c>
      <c r="G512" s="19" t="n">
        <v>2</v>
      </c>
      <c r="H512" s="19" t="n">
        <v>4</v>
      </c>
      <c r="I512" s="19" t="n">
        <v>2</v>
      </c>
      <c r="J512" s="19" t="n">
        <v>5</v>
      </c>
      <c r="K512" s="19" t="n">
        <v>2</v>
      </c>
      <c r="L512" s="19" t="n">
        <v>5</v>
      </c>
      <c r="M512" s="19" t="n">
        <v>3</v>
      </c>
      <c r="N512" s="19" t="n">
        <v>5</v>
      </c>
      <c r="O512" s="19" t="n">
        <v>3</v>
      </c>
      <c r="P512" s="19" t="n">
        <v>1</v>
      </c>
      <c r="Q512" s="19" t="n">
        <v>3</v>
      </c>
      <c r="R512" s="19" t="n">
        <v>5</v>
      </c>
      <c r="S512" s="19" t="n">
        <v>1</v>
      </c>
      <c r="T512" s="19" t="n">
        <v>5</v>
      </c>
      <c r="U512" s="19" t="n">
        <v>5</v>
      </c>
      <c r="V512" s="19" t="n">
        <v>1</v>
      </c>
      <c r="W512" s="19" t="n">
        <v>2</v>
      </c>
      <c r="X512" s="19" t="n">
        <v>5</v>
      </c>
      <c r="Y512" s="19" t="n">
        <v>1</v>
      </c>
      <c r="Z512" s="19" t="n">
        <v>0</v>
      </c>
      <c r="AA512" s="19" t="n">
        <v>2</v>
      </c>
      <c r="AB512" s="19" t="n">
        <v>2</v>
      </c>
      <c r="AC512" s="19" t="n">
        <v>1</v>
      </c>
      <c r="AD512" s="19" t="n">
        <v>0</v>
      </c>
      <c r="AE512" s="19" t="n">
        <v>1</v>
      </c>
      <c r="AF512" s="19" t="n">
        <v>1</v>
      </c>
      <c r="AG512" s="19"/>
      <c r="AH512" s="19"/>
    </row>
    <row r="513" customFormat="false" ht="12.75" hidden="false" customHeight="true" outlineLevel="0" collapsed="false">
      <c r="A513" s="16" t="s">
        <v>253</v>
      </c>
      <c r="B513" s="17" t="n">
        <f aca="false">AVERAGE(E513:AE513)</f>
        <v>2.62962962962963</v>
      </c>
      <c r="C513" s="2" t="n">
        <f aca="false">MIN(E513:AE513)</f>
        <v>0</v>
      </c>
      <c r="D513" s="18" t="n">
        <f aca="false">MAX(E513:AE513)</f>
        <v>5</v>
      </c>
      <c r="E513" s="19" t="n">
        <v>1</v>
      </c>
      <c r="F513" s="19" t="n">
        <v>3</v>
      </c>
      <c r="G513" s="19" t="n">
        <v>2</v>
      </c>
      <c r="H513" s="19" t="n">
        <v>4</v>
      </c>
      <c r="I513" s="19" t="n">
        <v>2</v>
      </c>
      <c r="J513" s="19" t="n">
        <v>5</v>
      </c>
      <c r="K513" s="19" t="n">
        <v>2</v>
      </c>
      <c r="L513" s="19" t="n">
        <v>5</v>
      </c>
      <c r="M513" s="19" t="n">
        <v>3</v>
      </c>
      <c r="N513" s="19" t="n">
        <v>5</v>
      </c>
      <c r="O513" s="19" t="n">
        <v>3</v>
      </c>
      <c r="P513" s="19" t="n">
        <v>1</v>
      </c>
      <c r="Q513" s="19" t="n">
        <v>3</v>
      </c>
      <c r="R513" s="19" t="n">
        <v>5</v>
      </c>
      <c r="S513" s="19" t="n">
        <v>1</v>
      </c>
      <c r="T513" s="19" t="n">
        <v>5</v>
      </c>
      <c r="U513" s="19" t="n">
        <v>5</v>
      </c>
      <c r="V513" s="19" t="n">
        <v>1</v>
      </c>
      <c r="W513" s="19" t="n">
        <v>2</v>
      </c>
      <c r="X513" s="19" t="n">
        <v>5</v>
      </c>
      <c r="Y513" s="19" t="n">
        <v>1</v>
      </c>
      <c r="Z513" s="19" t="n">
        <v>0</v>
      </c>
      <c r="AA513" s="19" t="n">
        <v>3</v>
      </c>
      <c r="AB513" s="19" t="n">
        <v>2</v>
      </c>
      <c r="AC513" s="19" t="n">
        <v>1</v>
      </c>
      <c r="AD513" s="19" t="n">
        <v>0</v>
      </c>
      <c r="AE513" s="19" t="n">
        <v>1</v>
      </c>
      <c r="AF513" s="19" t="n">
        <v>1</v>
      </c>
      <c r="AG513" s="19"/>
      <c r="AH513" s="19"/>
    </row>
    <row r="514" customFormat="false" ht="12.75" hidden="false" customHeight="true" outlineLevel="0" collapsed="false">
      <c r="A514" s="16" t="s">
        <v>254</v>
      </c>
      <c r="B514" s="17" t="n">
        <f aca="false">AVERAGE(E514:AE514)</f>
        <v>2.62962962962963</v>
      </c>
      <c r="C514" s="2" t="n">
        <f aca="false">MIN(E514:AE514)</f>
        <v>0</v>
      </c>
      <c r="D514" s="18" t="n">
        <f aca="false">MAX(E514:AE514)</f>
        <v>5</v>
      </c>
      <c r="E514" s="19" t="n">
        <v>1</v>
      </c>
      <c r="F514" s="19" t="n">
        <v>3</v>
      </c>
      <c r="G514" s="19" t="n">
        <v>2</v>
      </c>
      <c r="H514" s="19" t="n">
        <v>4</v>
      </c>
      <c r="I514" s="19" t="n">
        <v>2</v>
      </c>
      <c r="J514" s="19" t="n">
        <v>5</v>
      </c>
      <c r="K514" s="19" t="n">
        <v>2</v>
      </c>
      <c r="L514" s="19" t="n">
        <v>5</v>
      </c>
      <c r="M514" s="19" t="n">
        <v>3</v>
      </c>
      <c r="N514" s="19" t="n">
        <v>5</v>
      </c>
      <c r="O514" s="19" t="n">
        <v>3</v>
      </c>
      <c r="P514" s="19" t="n">
        <v>1</v>
      </c>
      <c r="Q514" s="19" t="n">
        <v>3</v>
      </c>
      <c r="R514" s="19" t="n">
        <v>5</v>
      </c>
      <c r="S514" s="19" t="n">
        <v>1</v>
      </c>
      <c r="T514" s="19" t="n">
        <v>5</v>
      </c>
      <c r="U514" s="19" t="n">
        <v>5</v>
      </c>
      <c r="V514" s="19" t="n">
        <v>1</v>
      </c>
      <c r="W514" s="19" t="n">
        <v>2</v>
      </c>
      <c r="X514" s="19" t="n">
        <v>5</v>
      </c>
      <c r="Y514" s="19" t="n">
        <v>1</v>
      </c>
      <c r="Z514" s="19" t="n">
        <v>0</v>
      </c>
      <c r="AA514" s="19" t="n">
        <v>3</v>
      </c>
      <c r="AB514" s="19" t="n">
        <v>2</v>
      </c>
      <c r="AC514" s="19" t="n">
        <v>1</v>
      </c>
      <c r="AD514" s="19" t="n">
        <v>0</v>
      </c>
      <c r="AE514" s="19" t="n">
        <v>1</v>
      </c>
      <c r="AF514" s="19" t="n">
        <v>1</v>
      </c>
      <c r="AG514" s="19"/>
      <c r="AH514" s="19"/>
    </row>
    <row r="515" customFormat="false" ht="12.75" hidden="false" customHeight="true" outlineLevel="0" collapsed="false">
      <c r="A515" s="16" t="s">
        <v>255</v>
      </c>
      <c r="B515" s="17" t="n">
        <f aca="false">AVERAGE(E515:AE515)</f>
        <v>2.74074074074074</v>
      </c>
      <c r="C515" s="2" t="n">
        <f aca="false">MIN(E515:AE515)</f>
        <v>0</v>
      </c>
      <c r="D515" s="18" t="n">
        <f aca="false">MAX(E515:AE515)</f>
        <v>6</v>
      </c>
      <c r="E515" s="19" t="n">
        <v>1</v>
      </c>
      <c r="F515" s="19" t="n">
        <v>3</v>
      </c>
      <c r="G515" s="19" t="n">
        <v>2</v>
      </c>
      <c r="H515" s="19" t="n">
        <v>4</v>
      </c>
      <c r="I515" s="19" t="n">
        <v>2</v>
      </c>
      <c r="J515" s="19" t="n">
        <v>5</v>
      </c>
      <c r="K515" s="19" t="n">
        <v>2</v>
      </c>
      <c r="L515" s="19" t="n">
        <v>5</v>
      </c>
      <c r="M515" s="19" t="n">
        <v>3</v>
      </c>
      <c r="N515" s="19" t="n">
        <v>5</v>
      </c>
      <c r="O515" s="19" t="n">
        <v>3</v>
      </c>
      <c r="P515" s="19" t="n">
        <v>1</v>
      </c>
      <c r="Q515" s="19" t="n">
        <v>4</v>
      </c>
      <c r="R515" s="19" t="n">
        <v>5</v>
      </c>
      <c r="S515" s="19" t="n">
        <v>2</v>
      </c>
      <c r="T515" s="19" t="n">
        <v>6</v>
      </c>
      <c r="U515" s="19" t="n">
        <v>5</v>
      </c>
      <c r="V515" s="19" t="n">
        <v>1</v>
      </c>
      <c r="W515" s="19" t="n">
        <v>2</v>
      </c>
      <c r="X515" s="19" t="n">
        <v>5</v>
      </c>
      <c r="Y515" s="19" t="n">
        <v>1</v>
      </c>
      <c r="Z515" s="19" t="n">
        <v>0</v>
      </c>
      <c r="AA515" s="19" t="n">
        <v>3</v>
      </c>
      <c r="AB515" s="19" t="n">
        <v>2</v>
      </c>
      <c r="AC515" s="19" t="n">
        <v>1</v>
      </c>
      <c r="AD515" s="19" t="n">
        <v>0</v>
      </c>
      <c r="AE515" s="19" t="n">
        <v>1</v>
      </c>
      <c r="AF515" s="19" t="n">
        <v>1</v>
      </c>
      <c r="AG515" s="19"/>
      <c r="AH515" s="19"/>
    </row>
    <row r="516" customFormat="false" ht="12.75" hidden="false" customHeight="true" outlineLevel="0" collapsed="false">
      <c r="A516" s="16" t="s">
        <v>256</v>
      </c>
      <c r="B516" s="17" t="n">
        <f aca="false">AVERAGE(E516:AE516)</f>
        <v>2.85185185185185</v>
      </c>
      <c r="C516" s="2" t="n">
        <f aca="false">MIN(E516:AE516)</f>
        <v>0</v>
      </c>
      <c r="D516" s="18" t="n">
        <f aca="false">MAX(E516:AE516)</f>
        <v>6</v>
      </c>
      <c r="E516" s="19" t="n">
        <v>1</v>
      </c>
      <c r="F516" s="19" t="n">
        <v>4</v>
      </c>
      <c r="G516" s="19" t="n">
        <v>2</v>
      </c>
      <c r="H516" s="19" t="n">
        <v>4</v>
      </c>
      <c r="I516" s="19" t="n">
        <v>2</v>
      </c>
      <c r="J516" s="19" t="n">
        <v>5</v>
      </c>
      <c r="K516" s="19" t="n">
        <v>2</v>
      </c>
      <c r="L516" s="19" t="n">
        <v>6</v>
      </c>
      <c r="M516" s="19" t="n">
        <v>3</v>
      </c>
      <c r="N516" s="19" t="n">
        <v>5</v>
      </c>
      <c r="O516" s="19" t="n">
        <v>3</v>
      </c>
      <c r="P516" s="19" t="n">
        <v>1</v>
      </c>
      <c r="Q516" s="19" t="n">
        <v>4</v>
      </c>
      <c r="R516" s="19" t="n">
        <v>5</v>
      </c>
      <c r="S516" s="19" t="n">
        <v>2</v>
      </c>
      <c r="T516" s="19" t="n">
        <v>6</v>
      </c>
      <c r="U516" s="19" t="n">
        <v>5</v>
      </c>
      <c r="V516" s="19" t="n">
        <v>1</v>
      </c>
      <c r="W516" s="19" t="n">
        <v>2</v>
      </c>
      <c r="X516" s="19" t="n">
        <v>5</v>
      </c>
      <c r="Y516" s="19" t="n">
        <v>1</v>
      </c>
      <c r="Z516" s="19" t="n">
        <v>0</v>
      </c>
      <c r="AA516" s="19" t="n">
        <v>3</v>
      </c>
      <c r="AB516" s="19" t="n">
        <v>3</v>
      </c>
      <c r="AC516" s="19" t="n">
        <v>1</v>
      </c>
      <c r="AD516" s="19" t="n">
        <v>0</v>
      </c>
      <c r="AE516" s="19" t="n">
        <v>1</v>
      </c>
      <c r="AF516" s="19" t="n">
        <v>1</v>
      </c>
      <c r="AG516" s="19"/>
      <c r="AH516" s="19"/>
    </row>
    <row r="517" customFormat="false" ht="12.75" hidden="false" customHeight="true" outlineLevel="0" collapsed="false">
      <c r="A517" s="16" t="s">
        <v>257</v>
      </c>
      <c r="B517" s="17" t="n">
        <f aca="false">AVERAGE(E517:AE517)</f>
        <v>2.96296296296296</v>
      </c>
      <c r="C517" s="2" t="n">
        <f aca="false">MIN(E517:AE517)</f>
        <v>0</v>
      </c>
      <c r="D517" s="18" t="n">
        <f aca="false">MAX(E517:AE517)</f>
        <v>6</v>
      </c>
      <c r="E517" s="19" t="n">
        <v>1</v>
      </c>
      <c r="F517" s="19" t="n">
        <v>4</v>
      </c>
      <c r="G517" s="19" t="n">
        <v>2</v>
      </c>
      <c r="H517" s="19" t="n">
        <v>4</v>
      </c>
      <c r="I517" s="19" t="n">
        <v>2</v>
      </c>
      <c r="J517" s="19" t="n">
        <v>6</v>
      </c>
      <c r="K517" s="19" t="n">
        <v>3</v>
      </c>
      <c r="L517" s="19" t="n">
        <v>6</v>
      </c>
      <c r="M517" s="19" t="n">
        <v>3</v>
      </c>
      <c r="N517" s="19" t="n">
        <v>5</v>
      </c>
      <c r="O517" s="19" t="n">
        <v>4</v>
      </c>
      <c r="P517" s="19" t="n">
        <v>1</v>
      </c>
      <c r="Q517" s="19" t="n">
        <v>4</v>
      </c>
      <c r="R517" s="19" t="n">
        <v>5</v>
      </c>
      <c r="S517" s="19" t="n">
        <v>2</v>
      </c>
      <c r="T517" s="19" t="n">
        <v>6</v>
      </c>
      <c r="U517" s="19" t="n">
        <v>5</v>
      </c>
      <c r="V517" s="19" t="n">
        <v>1</v>
      </c>
      <c r="W517" s="19" t="n">
        <v>2</v>
      </c>
      <c r="X517" s="19" t="n">
        <v>5</v>
      </c>
      <c r="Y517" s="19" t="n">
        <v>1</v>
      </c>
      <c r="Z517" s="19" t="n">
        <v>0</v>
      </c>
      <c r="AA517" s="19" t="n">
        <v>3</v>
      </c>
      <c r="AB517" s="19" t="n">
        <v>3</v>
      </c>
      <c r="AC517" s="19" t="n">
        <v>1</v>
      </c>
      <c r="AD517" s="19" t="n">
        <v>0</v>
      </c>
      <c r="AE517" s="19" t="n">
        <v>1</v>
      </c>
      <c r="AF517" s="19" t="n">
        <v>1</v>
      </c>
      <c r="AG517" s="19"/>
      <c r="AH517" s="19"/>
    </row>
    <row r="518" customFormat="false" ht="12.75" hidden="false" customHeight="true" outlineLevel="0" collapsed="false">
      <c r="A518" s="16" t="s">
        <v>258</v>
      </c>
      <c r="B518" s="17" t="n">
        <f aca="false">AVERAGE(E518:AE518)</f>
        <v>3.07407407407407</v>
      </c>
      <c r="C518" s="2" t="n">
        <f aca="false">MIN(E518:AE518)</f>
        <v>0</v>
      </c>
      <c r="D518" s="18" t="n">
        <f aca="false">MAX(E518:AE518)</f>
        <v>6</v>
      </c>
      <c r="E518" s="19" t="n">
        <v>1</v>
      </c>
      <c r="F518" s="19" t="n">
        <v>4</v>
      </c>
      <c r="G518" s="19" t="n">
        <v>2</v>
      </c>
      <c r="H518" s="19" t="n">
        <v>4</v>
      </c>
      <c r="I518" s="19" t="n">
        <v>2</v>
      </c>
      <c r="J518" s="19" t="n">
        <v>6</v>
      </c>
      <c r="K518" s="19" t="n">
        <v>3</v>
      </c>
      <c r="L518" s="19" t="n">
        <v>6</v>
      </c>
      <c r="M518" s="19" t="n">
        <v>4</v>
      </c>
      <c r="N518" s="19" t="n">
        <v>5</v>
      </c>
      <c r="O518" s="19" t="n">
        <v>5</v>
      </c>
      <c r="P518" s="19" t="n">
        <v>1</v>
      </c>
      <c r="Q518" s="19" t="n">
        <v>4</v>
      </c>
      <c r="R518" s="19" t="n">
        <v>6</v>
      </c>
      <c r="S518" s="19" t="n">
        <v>2</v>
      </c>
      <c r="T518" s="19" t="n">
        <v>6</v>
      </c>
      <c r="U518" s="19" t="n">
        <v>5</v>
      </c>
      <c r="V518" s="19" t="n">
        <v>1</v>
      </c>
      <c r="W518" s="19" t="n">
        <v>2</v>
      </c>
      <c r="X518" s="19" t="n">
        <v>5</v>
      </c>
      <c r="Y518" s="19" t="n">
        <v>1</v>
      </c>
      <c r="Z518" s="19" t="n">
        <v>0</v>
      </c>
      <c r="AA518" s="19" t="n">
        <v>3</v>
      </c>
      <c r="AB518" s="19" t="n">
        <v>3</v>
      </c>
      <c r="AC518" s="19" t="n">
        <v>1</v>
      </c>
      <c r="AD518" s="19" t="n">
        <v>0</v>
      </c>
      <c r="AE518" s="19" t="n">
        <v>1</v>
      </c>
      <c r="AF518" s="19" t="n">
        <v>1</v>
      </c>
      <c r="AG518" s="19"/>
      <c r="AH518" s="19"/>
    </row>
    <row r="519" customFormat="false" ht="12.75" hidden="false" customHeight="true" outlineLevel="0" collapsed="false">
      <c r="A519" s="16" t="s">
        <v>259</v>
      </c>
      <c r="B519" s="17" t="n">
        <f aca="false">AVERAGE(E519:AE519)</f>
        <v>3.33333333333333</v>
      </c>
      <c r="C519" s="2" t="n">
        <f aca="false">MIN(E519:AE519)</f>
        <v>0</v>
      </c>
      <c r="D519" s="18" t="n">
        <f aca="false">MAX(E519:AE519)</f>
        <v>7</v>
      </c>
      <c r="E519" s="19" t="n">
        <v>1</v>
      </c>
      <c r="F519" s="19" t="n">
        <v>4</v>
      </c>
      <c r="G519" s="19" t="n">
        <v>2</v>
      </c>
      <c r="H519" s="19" t="n">
        <v>5</v>
      </c>
      <c r="I519" s="19" t="n">
        <v>2</v>
      </c>
      <c r="J519" s="19" t="n">
        <v>6</v>
      </c>
      <c r="K519" s="19" t="n">
        <v>4</v>
      </c>
      <c r="L519" s="19" t="n">
        <v>6</v>
      </c>
      <c r="M519" s="19" t="n">
        <v>4</v>
      </c>
      <c r="N519" s="19" t="n">
        <v>5</v>
      </c>
      <c r="O519" s="19" t="n">
        <v>5</v>
      </c>
      <c r="P519" s="19" t="n">
        <v>1</v>
      </c>
      <c r="Q519" s="19" t="n">
        <v>4</v>
      </c>
      <c r="R519" s="19" t="n">
        <v>6</v>
      </c>
      <c r="S519" s="19" t="n">
        <v>2</v>
      </c>
      <c r="T519" s="19" t="n">
        <v>7</v>
      </c>
      <c r="U519" s="19" t="n">
        <v>5</v>
      </c>
      <c r="V519" s="19" t="n">
        <v>2</v>
      </c>
      <c r="W519" s="19" t="n">
        <v>3</v>
      </c>
      <c r="X519" s="19" t="n">
        <v>6</v>
      </c>
      <c r="Y519" s="19" t="n">
        <v>1</v>
      </c>
      <c r="Z519" s="19" t="n">
        <v>0</v>
      </c>
      <c r="AA519" s="19" t="n">
        <v>3</v>
      </c>
      <c r="AB519" s="19" t="n">
        <v>3</v>
      </c>
      <c r="AC519" s="19" t="n">
        <v>2</v>
      </c>
      <c r="AD519" s="19" t="n">
        <v>0</v>
      </c>
      <c r="AE519" s="19" t="n">
        <v>1</v>
      </c>
      <c r="AF519" s="19" t="n">
        <v>1</v>
      </c>
      <c r="AG519" s="19"/>
      <c r="AH519" s="19"/>
    </row>
    <row r="520" customFormat="false" ht="12.75" hidden="false" customHeight="true" outlineLevel="0" collapsed="false">
      <c r="A520" s="16" t="s">
        <v>260</v>
      </c>
      <c r="B520" s="17" t="n">
        <f aca="false">AVERAGE(E520:AE520)</f>
        <v>3.44444444444444</v>
      </c>
      <c r="C520" s="2" t="n">
        <f aca="false">MIN(E520:AE520)</f>
        <v>0</v>
      </c>
      <c r="D520" s="18" t="n">
        <f aca="false">MAX(E520:AE520)</f>
        <v>8</v>
      </c>
      <c r="E520" s="19" t="n">
        <v>1</v>
      </c>
      <c r="F520" s="19" t="n">
        <v>4</v>
      </c>
      <c r="G520" s="19" t="n">
        <v>2</v>
      </c>
      <c r="H520" s="19" t="n">
        <v>5</v>
      </c>
      <c r="I520" s="19" t="n">
        <v>2</v>
      </c>
      <c r="J520" s="19" t="n">
        <v>6</v>
      </c>
      <c r="K520" s="19" t="n">
        <v>4</v>
      </c>
      <c r="L520" s="19" t="n">
        <v>6</v>
      </c>
      <c r="M520" s="19" t="n">
        <v>4</v>
      </c>
      <c r="N520" s="19" t="n">
        <v>5</v>
      </c>
      <c r="O520" s="19" t="n">
        <v>5</v>
      </c>
      <c r="P520" s="19" t="n">
        <v>2</v>
      </c>
      <c r="Q520" s="19" t="n">
        <v>4</v>
      </c>
      <c r="R520" s="19" t="n">
        <v>6</v>
      </c>
      <c r="S520" s="19" t="n">
        <v>2</v>
      </c>
      <c r="T520" s="19" t="n">
        <v>8</v>
      </c>
      <c r="U520" s="19" t="n">
        <v>5</v>
      </c>
      <c r="V520" s="19" t="n">
        <v>2</v>
      </c>
      <c r="W520" s="19" t="n">
        <v>3</v>
      </c>
      <c r="X520" s="19" t="n">
        <v>7</v>
      </c>
      <c r="Y520" s="19" t="n">
        <v>1</v>
      </c>
      <c r="Z520" s="19" t="n">
        <v>0</v>
      </c>
      <c r="AA520" s="19" t="n">
        <v>3</v>
      </c>
      <c r="AB520" s="19" t="n">
        <v>3</v>
      </c>
      <c r="AC520" s="19" t="n">
        <v>2</v>
      </c>
      <c r="AD520" s="19" t="n">
        <v>0</v>
      </c>
      <c r="AE520" s="19" t="n">
        <v>1</v>
      </c>
      <c r="AF520" s="19" t="n">
        <v>1</v>
      </c>
      <c r="AG520" s="19"/>
      <c r="AH520" s="19"/>
    </row>
    <row r="521" customFormat="false" ht="12.75" hidden="false" customHeight="true" outlineLevel="0" collapsed="false">
      <c r="A521" s="16" t="s">
        <v>261</v>
      </c>
      <c r="B521" s="17" t="n">
        <f aca="false">AVERAGE(E521:AE521)</f>
        <v>3.51851851851852</v>
      </c>
      <c r="C521" s="2" t="n">
        <f aca="false">MIN(E521:AE521)</f>
        <v>0</v>
      </c>
      <c r="D521" s="18" t="n">
        <f aca="false">MAX(E521:AE521)</f>
        <v>8</v>
      </c>
      <c r="E521" s="19" t="n">
        <v>1</v>
      </c>
      <c r="F521" s="19" t="n">
        <v>4</v>
      </c>
      <c r="G521" s="19" t="n">
        <v>2</v>
      </c>
      <c r="H521" s="19" t="n">
        <v>5</v>
      </c>
      <c r="I521" s="19" t="n">
        <v>2</v>
      </c>
      <c r="J521" s="19" t="n">
        <v>6</v>
      </c>
      <c r="K521" s="19" t="n">
        <v>4</v>
      </c>
      <c r="L521" s="19" t="n">
        <v>6</v>
      </c>
      <c r="M521" s="19" t="n">
        <v>5</v>
      </c>
      <c r="N521" s="19" t="n">
        <v>5</v>
      </c>
      <c r="O521" s="19" t="n">
        <v>5</v>
      </c>
      <c r="P521" s="19" t="n">
        <v>2</v>
      </c>
      <c r="Q521" s="19" t="n">
        <v>4</v>
      </c>
      <c r="R521" s="19" t="n">
        <v>6</v>
      </c>
      <c r="S521" s="19" t="n">
        <v>2</v>
      </c>
      <c r="T521" s="19" t="n">
        <v>8</v>
      </c>
      <c r="U521" s="19" t="n">
        <v>5</v>
      </c>
      <c r="V521" s="19" t="n">
        <v>2</v>
      </c>
      <c r="W521" s="19" t="n">
        <v>3</v>
      </c>
      <c r="X521" s="19" t="n">
        <v>7</v>
      </c>
      <c r="Y521" s="19" t="n">
        <v>2</v>
      </c>
      <c r="Z521" s="19" t="n">
        <v>0</v>
      </c>
      <c r="AA521" s="19" t="n">
        <v>3</v>
      </c>
      <c r="AB521" s="19" t="n">
        <v>3</v>
      </c>
      <c r="AC521" s="19" t="n">
        <v>2</v>
      </c>
      <c r="AD521" s="19" t="n">
        <v>0</v>
      </c>
      <c r="AE521" s="19" t="n">
        <v>1</v>
      </c>
      <c r="AF521" s="19" t="n">
        <v>1</v>
      </c>
      <c r="AG521" s="19"/>
      <c r="AH521" s="19"/>
    </row>
    <row r="522" customFormat="false" ht="12.75" hidden="false" customHeight="true" outlineLevel="0" collapsed="false">
      <c r="A522" s="16" t="s">
        <v>262</v>
      </c>
      <c r="B522" s="17" t="n">
        <f aca="false">AVERAGE(E522:AE522)</f>
        <v>3.66666666666667</v>
      </c>
      <c r="C522" s="2" t="n">
        <f aca="false">MIN(E522:AE522)</f>
        <v>0</v>
      </c>
      <c r="D522" s="18" t="n">
        <f aca="false">MAX(E522:AE522)</f>
        <v>8</v>
      </c>
      <c r="E522" s="19" t="n">
        <v>1</v>
      </c>
      <c r="F522" s="19" t="n">
        <v>4</v>
      </c>
      <c r="G522" s="19" t="n">
        <v>2</v>
      </c>
      <c r="H522" s="19" t="n">
        <v>5</v>
      </c>
      <c r="I522" s="19" t="n">
        <v>2</v>
      </c>
      <c r="J522" s="19" t="n">
        <v>6</v>
      </c>
      <c r="K522" s="19" t="n">
        <v>4</v>
      </c>
      <c r="L522" s="19" t="n">
        <v>6</v>
      </c>
      <c r="M522" s="19" t="n">
        <v>6</v>
      </c>
      <c r="N522" s="19" t="n">
        <v>5</v>
      </c>
      <c r="O522" s="19" t="n">
        <v>6</v>
      </c>
      <c r="P522" s="19" t="n">
        <v>2</v>
      </c>
      <c r="Q522" s="19" t="n">
        <v>5</v>
      </c>
      <c r="R522" s="19" t="n">
        <v>6</v>
      </c>
      <c r="S522" s="19" t="n">
        <v>2</v>
      </c>
      <c r="T522" s="19" t="n">
        <v>8</v>
      </c>
      <c r="U522" s="19" t="n">
        <v>5</v>
      </c>
      <c r="V522" s="19" t="n">
        <v>2</v>
      </c>
      <c r="W522" s="19" t="n">
        <v>3</v>
      </c>
      <c r="X522" s="19" t="n">
        <v>7</v>
      </c>
      <c r="Y522" s="19" t="n">
        <v>2</v>
      </c>
      <c r="Z522" s="19" t="n">
        <v>0</v>
      </c>
      <c r="AA522" s="19" t="n">
        <v>3</v>
      </c>
      <c r="AB522" s="19" t="n">
        <v>3</v>
      </c>
      <c r="AC522" s="19" t="n">
        <v>2</v>
      </c>
      <c r="AD522" s="19" t="n">
        <v>1</v>
      </c>
      <c r="AE522" s="19" t="n">
        <v>1</v>
      </c>
      <c r="AF522" s="19" t="n">
        <v>1</v>
      </c>
      <c r="AG522" s="19"/>
      <c r="AH522" s="19"/>
    </row>
    <row r="523" customFormat="false" ht="12.75" hidden="false" customHeight="true" outlineLevel="0" collapsed="false">
      <c r="A523" s="16" t="s">
        <v>263</v>
      </c>
      <c r="B523" s="17" t="n">
        <f aca="false">AVERAGE(E523:AE523)</f>
        <v>3.7037037037037</v>
      </c>
      <c r="C523" s="2" t="n">
        <f aca="false">MIN(E523:AE523)</f>
        <v>0</v>
      </c>
      <c r="D523" s="18" t="n">
        <f aca="false">MAX(E523:AE523)</f>
        <v>9</v>
      </c>
      <c r="E523" s="19" t="n">
        <v>1</v>
      </c>
      <c r="F523" s="19" t="n">
        <v>4</v>
      </c>
      <c r="G523" s="19" t="n">
        <v>2</v>
      </c>
      <c r="H523" s="19" t="n">
        <v>5</v>
      </c>
      <c r="I523" s="19" t="n">
        <v>2</v>
      </c>
      <c r="J523" s="19" t="n">
        <v>6</v>
      </c>
      <c r="K523" s="19" t="n">
        <v>4</v>
      </c>
      <c r="L523" s="19" t="n">
        <v>6</v>
      </c>
      <c r="M523" s="19" t="n">
        <v>6</v>
      </c>
      <c r="N523" s="19" t="n">
        <v>5</v>
      </c>
      <c r="O523" s="19" t="n">
        <v>6</v>
      </c>
      <c r="P523" s="19" t="n">
        <v>2</v>
      </c>
      <c r="Q523" s="19" t="n">
        <v>5</v>
      </c>
      <c r="R523" s="19" t="n">
        <v>6</v>
      </c>
      <c r="S523" s="19" t="n">
        <v>2</v>
      </c>
      <c r="T523" s="19" t="n">
        <v>9</v>
      </c>
      <c r="U523" s="19" t="n">
        <v>5</v>
      </c>
      <c r="V523" s="19" t="n">
        <v>2</v>
      </c>
      <c r="W523" s="19" t="n">
        <v>3</v>
      </c>
      <c r="X523" s="19" t="n">
        <v>7</v>
      </c>
      <c r="Y523" s="19" t="n">
        <v>2</v>
      </c>
      <c r="Z523" s="19" t="n">
        <v>0</v>
      </c>
      <c r="AA523" s="19" t="n">
        <v>3</v>
      </c>
      <c r="AB523" s="19" t="n">
        <v>3</v>
      </c>
      <c r="AC523" s="19" t="n">
        <v>2</v>
      </c>
      <c r="AD523" s="19" t="n">
        <v>1</v>
      </c>
      <c r="AE523" s="19" t="n">
        <v>1</v>
      </c>
      <c r="AF523" s="19" t="n">
        <v>1</v>
      </c>
      <c r="AG523" s="19"/>
      <c r="AH523" s="19"/>
    </row>
    <row r="524" customFormat="false" ht="12.75" hidden="false" customHeight="true" outlineLevel="0" collapsed="false">
      <c r="A524" s="16" t="s">
        <v>264</v>
      </c>
      <c r="B524" s="17" t="n">
        <f aca="false">AVERAGE(E524:AE524)</f>
        <v>3.77777777777778</v>
      </c>
      <c r="C524" s="2" t="n">
        <f aca="false">MIN(E524:AE524)</f>
        <v>0</v>
      </c>
      <c r="D524" s="18" t="n">
        <f aca="false">MAX(E524:AE524)</f>
        <v>9</v>
      </c>
      <c r="E524" s="19" t="n">
        <v>1</v>
      </c>
      <c r="F524" s="19" t="n">
        <v>4</v>
      </c>
      <c r="G524" s="19" t="n">
        <v>2</v>
      </c>
      <c r="H524" s="19" t="n">
        <v>5</v>
      </c>
      <c r="I524" s="19" t="n">
        <v>2</v>
      </c>
      <c r="J524" s="19" t="n">
        <v>6</v>
      </c>
      <c r="K524" s="19" t="n">
        <v>4</v>
      </c>
      <c r="L524" s="19" t="n">
        <v>6</v>
      </c>
      <c r="M524" s="19" t="n">
        <v>7</v>
      </c>
      <c r="N524" s="19" t="n">
        <v>5</v>
      </c>
      <c r="O524" s="19" t="n">
        <v>6</v>
      </c>
      <c r="P524" s="19" t="n">
        <v>2</v>
      </c>
      <c r="Q524" s="19" t="n">
        <v>5</v>
      </c>
      <c r="R524" s="19" t="n">
        <v>6</v>
      </c>
      <c r="S524" s="19" t="n">
        <v>2</v>
      </c>
      <c r="T524" s="19" t="n">
        <v>9</v>
      </c>
      <c r="U524" s="19" t="n">
        <v>5</v>
      </c>
      <c r="V524" s="19" t="n">
        <v>2</v>
      </c>
      <c r="W524" s="19" t="n">
        <v>3</v>
      </c>
      <c r="X524" s="19" t="n">
        <v>7</v>
      </c>
      <c r="Y524" s="19" t="n">
        <v>2</v>
      </c>
      <c r="Z524" s="19" t="n">
        <v>0</v>
      </c>
      <c r="AA524" s="19" t="n">
        <v>3</v>
      </c>
      <c r="AB524" s="19" t="n">
        <v>3</v>
      </c>
      <c r="AC524" s="19" t="n">
        <v>2</v>
      </c>
      <c r="AD524" s="19" t="n">
        <v>1</v>
      </c>
      <c r="AE524" s="19" t="n">
        <v>2</v>
      </c>
      <c r="AF524" s="19" t="n">
        <v>1</v>
      </c>
      <c r="AG524" s="19"/>
      <c r="AH524" s="19"/>
    </row>
    <row r="525" customFormat="false" ht="12.75" hidden="false" customHeight="true" outlineLevel="0" collapsed="false">
      <c r="A525" s="16" t="s">
        <v>265</v>
      </c>
      <c r="B525" s="17" t="n">
        <f aca="false">AVERAGE(E525:AE525)</f>
        <v>3.85185185185185</v>
      </c>
      <c r="C525" s="2" t="n">
        <f aca="false">MIN(E525:AE525)</f>
        <v>0</v>
      </c>
      <c r="D525" s="18" t="n">
        <f aca="false">MAX(E525:AE525)</f>
        <v>9</v>
      </c>
      <c r="E525" s="19" t="n">
        <v>1</v>
      </c>
      <c r="F525" s="19" t="n">
        <v>4</v>
      </c>
      <c r="G525" s="19" t="n">
        <v>2</v>
      </c>
      <c r="H525" s="19" t="n">
        <v>5</v>
      </c>
      <c r="I525" s="19" t="n">
        <v>2</v>
      </c>
      <c r="J525" s="19" t="n">
        <v>6</v>
      </c>
      <c r="K525" s="19" t="n">
        <v>4</v>
      </c>
      <c r="L525" s="19" t="n">
        <v>6</v>
      </c>
      <c r="M525" s="19" t="n">
        <v>7</v>
      </c>
      <c r="N525" s="19" t="n">
        <v>5</v>
      </c>
      <c r="O525" s="19" t="n">
        <v>6</v>
      </c>
      <c r="P525" s="19" t="n">
        <v>2</v>
      </c>
      <c r="Q525" s="19" t="n">
        <v>5</v>
      </c>
      <c r="R525" s="19" t="n">
        <v>6</v>
      </c>
      <c r="S525" s="19" t="n">
        <v>3</v>
      </c>
      <c r="T525" s="19" t="n">
        <v>9</v>
      </c>
      <c r="U525" s="19" t="n">
        <v>5</v>
      </c>
      <c r="V525" s="19" t="n">
        <v>2</v>
      </c>
      <c r="W525" s="19" t="n">
        <v>3</v>
      </c>
      <c r="X525" s="19" t="n">
        <v>8</v>
      </c>
      <c r="Y525" s="19" t="n">
        <v>2</v>
      </c>
      <c r="Z525" s="19" t="n">
        <v>0</v>
      </c>
      <c r="AA525" s="19" t="n">
        <v>3</v>
      </c>
      <c r="AB525" s="19" t="n">
        <v>3</v>
      </c>
      <c r="AC525" s="19" t="n">
        <v>2</v>
      </c>
      <c r="AD525" s="19" t="n">
        <v>1</v>
      </c>
      <c r="AE525" s="19" t="n">
        <v>2</v>
      </c>
      <c r="AF525" s="19" t="n">
        <v>1</v>
      </c>
      <c r="AG525" s="19"/>
      <c r="AH525" s="19"/>
    </row>
    <row r="526" customFormat="false" ht="12.75" hidden="false" customHeight="true" outlineLevel="0" collapsed="false">
      <c r="A526" s="16" t="s">
        <v>266</v>
      </c>
      <c r="B526" s="17" t="n">
        <f aca="false">AVERAGE(E526:AE526)</f>
        <v>4.03703703703704</v>
      </c>
      <c r="C526" s="2" t="n">
        <f aca="false">MIN(E526:AE526)</f>
        <v>0</v>
      </c>
      <c r="D526" s="18" t="n">
        <f aca="false">MAX(E526:AE526)</f>
        <v>9</v>
      </c>
      <c r="E526" s="19" t="n">
        <v>2</v>
      </c>
      <c r="F526" s="19" t="n">
        <v>4</v>
      </c>
      <c r="G526" s="19" t="n">
        <v>2</v>
      </c>
      <c r="H526" s="19" t="n">
        <v>5</v>
      </c>
      <c r="I526" s="19" t="n">
        <v>2</v>
      </c>
      <c r="J526" s="19" t="n">
        <v>6</v>
      </c>
      <c r="K526" s="19" t="n">
        <v>5</v>
      </c>
      <c r="L526" s="19" t="n">
        <v>6</v>
      </c>
      <c r="M526" s="19" t="n">
        <v>7</v>
      </c>
      <c r="N526" s="19" t="n">
        <v>5</v>
      </c>
      <c r="O526" s="19" t="n">
        <v>6</v>
      </c>
      <c r="P526" s="19" t="n">
        <v>2</v>
      </c>
      <c r="Q526" s="19" t="n">
        <v>5</v>
      </c>
      <c r="R526" s="19" t="n">
        <v>6</v>
      </c>
      <c r="S526" s="19" t="n">
        <v>3</v>
      </c>
      <c r="T526" s="19" t="n">
        <v>9</v>
      </c>
      <c r="U526" s="19" t="n">
        <v>5</v>
      </c>
      <c r="V526" s="19" t="n">
        <v>3</v>
      </c>
      <c r="W526" s="19" t="n">
        <v>4</v>
      </c>
      <c r="X526" s="19" t="n">
        <v>8</v>
      </c>
      <c r="Y526" s="19" t="n">
        <v>2</v>
      </c>
      <c r="Z526" s="19" t="n">
        <v>0</v>
      </c>
      <c r="AA526" s="19" t="n">
        <v>3</v>
      </c>
      <c r="AB526" s="19" t="n">
        <v>3</v>
      </c>
      <c r="AC526" s="19" t="n">
        <v>2</v>
      </c>
      <c r="AD526" s="19" t="n">
        <v>2</v>
      </c>
      <c r="AE526" s="19" t="n">
        <v>2</v>
      </c>
      <c r="AF526" s="19" t="n">
        <v>1</v>
      </c>
      <c r="AG526" s="19"/>
      <c r="AH526" s="19"/>
    </row>
    <row r="527" customFormat="false" ht="12.75" hidden="false" customHeight="true" outlineLevel="0" collapsed="false">
      <c r="A527" s="16" t="s">
        <v>267</v>
      </c>
      <c r="B527" s="17" t="n">
        <f aca="false">AVERAGE(E527:AE527)</f>
        <v>4.22222222222222</v>
      </c>
      <c r="C527" s="2" t="n">
        <f aca="false">MIN(E527:AE527)</f>
        <v>0</v>
      </c>
      <c r="D527" s="18" t="n">
        <f aca="false">MAX(E527:AE527)</f>
        <v>9</v>
      </c>
      <c r="E527" s="19" t="n">
        <v>2</v>
      </c>
      <c r="F527" s="19" t="n">
        <v>4</v>
      </c>
      <c r="G527" s="19" t="n">
        <v>3</v>
      </c>
      <c r="H527" s="19" t="n">
        <v>5</v>
      </c>
      <c r="I527" s="19" t="n">
        <v>2</v>
      </c>
      <c r="J527" s="19" t="n">
        <v>6</v>
      </c>
      <c r="K527" s="19" t="n">
        <v>5</v>
      </c>
      <c r="L527" s="19" t="n">
        <v>6</v>
      </c>
      <c r="M527" s="19" t="n">
        <v>7</v>
      </c>
      <c r="N527" s="19" t="n">
        <v>5</v>
      </c>
      <c r="O527" s="19" t="n">
        <v>6</v>
      </c>
      <c r="P527" s="19" t="n">
        <v>2</v>
      </c>
      <c r="Q527" s="19" t="n">
        <v>6</v>
      </c>
      <c r="R527" s="19" t="n">
        <v>7</v>
      </c>
      <c r="S527" s="19" t="n">
        <v>3</v>
      </c>
      <c r="T527" s="19" t="n">
        <v>9</v>
      </c>
      <c r="U527" s="19" t="n">
        <v>5</v>
      </c>
      <c r="V527" s="19" t="n">
        <v>4</v>
      </c>
      <c r="W527" s="19" t="n">
        <v>4</v>
      </c>
      <c r="X527" s="19" t="n">
        <v>8</v>
      </c>
      <c r="Y527" s="19" t="n">
        <v>2</v>
      </c>
      <c r="Z527" s="19" t="n">
        <v>0</v>
      </c>
      <c r="AA527" s="19" t="n">
        <v>3</v>
      </c>
      <c r="AB527" s="19" t="n">
        <v>3</v>
      </c>
      <c r="AC527" s="19" t="n">
        <v>2</v>
      </c>
      <c r="AD527" s="19" t="n">
        <v>2</v>
      </c>
      <c r="AE527" s="19" t="n">
        <v>3</v>
      </c>
      <c r="AF527" s="19" t="n">
        <v>2</v>
      </c>
      <c r="AG527" s="19"/>
      <c r="AH527" s="19"/>
    </row>
    <row r="528" customFormat="false" ht="12.75" hidden="false" customHeight="true" outlineLevel="0" collapsed="false">
      <c r="A528" s="16" t="s">
        <v>268</v>
      </c>
      <c r="B528" s="17" t="n">
        <f aca="false">AVERAGE(E528:AE528)</f>
        <v>4.37037037037037</v>
      </c>
      <c r="C528" s="2" t="n">
        <f aca="false">MIN(E528:AE528)</f>
        <v>0</v>
      </c>
      <c r="D528" s="18" t="n">
        <f aca="false">MAX(E528:AE528)</f>
        <v>9</v>
      </c>
      <c r="E528" s="19" t="n">
        <v>2</v>
      </c>
      <c r="F528" s="19" t="n">
        <v>4</v>
      </c>
      <c r="G528" s="19" t="n">
        <v>3</v>
      </c>
      <c r="H528" s="19" t="n">
        <v>5</v>
      </c>
      <c r="I528" s="19" t="n">
        <v>2</v>
      </c>
      <c r="J528" s="19" t="n">
        <v>6</v>
      </c>
      <c r="K528" s="19" t="n">
        <v>5</v>
      </c>
      <c r="L528" s="19" t="n">
        <v>6</v>
      </c>
      <c r="M528" s="19" t="n">
        <v>7</v>
      </c>
      <c r="N528" s="19" t="n">
        <v>5</v>
      </c>
      <c r="O528" s="19" t="n">
        <v>6</v>
      </c>
      <c r="P528" s="19" t="n">
        <v>2</v>
      </c>
      <c r="Q528" s="19" t="n">
        <v>7</v>
      </c>
      <c r="R528" s="19" t="n">
        <v>7</v>
      </c>
      <c r="S528" s="19" t="n">
        <v>3</v>
      </c>
      <c r="T528" s="19" t="n">
        <v>9</v>
      </c>
      <c r="U528" s="19" t="n">
        <v>5</v>
      </c>
      <c r="V528" s="19" t="n">
        <v>5</v>
      </c>
      <c r="W528" s="19" t="n">
        <v>4</v>
      </c>
      <c r="X528" s="19" t="n">
        <v>9</v>
      </c>
      <c r="Y528" s="19" t="n">
        <v>2</v>
      </c>
      <c r="Z528" s="19" t="n">
        <v>0</v>
      </c>
      <c r="AA528" s="19" t="n">
        <v>3</v>
      </c>
      <c r="AB528" s="19" t="n">
        <v>3</v>
      </c>
      <c r="AC528" s="19" t="n">
        <v>2</v>
      </c>
      <c r="AD528" s="19" t="n">
        <v>3</v>
      </c>
      <c r="AE528" s="19" t="n">
        <v>3</v>
      </c>
      <c r="AF528" s="19" t="n">
        <v>2</v>
      </c>
      <c r="AG528" s="19"/>
      <c r="AH528" s="19"/>
    </row>
    <row r="529" customFormat="false" ht="12.75" hidden="false" customHeight="true" outlineLevel="0" collapsed="false">
      <c r="A529" s="16" t="s">
        <v>269</v>
      </c>
      <c r="B529" s="17" t="n">
        <f aca="false">AVERAGE(E529:AE529)</f>
        <v>4.48148148148148</v>
      </c>
      <c r="C529" s="2" t="n">
        <f aca="false">MIN(E529:AE529)</f>
        <v>1</v>
      </c>
      <c r="D529" s="18" t="n">
        <f aca="false">MAX(E529:AE529)</f>
        <v>9</v>
      </c>
      <c r="E529" s="19" t="n">
        <v>3</v>
      </c>
      <c r="F529" s="19" t="n">
        <v>4</v>
      </c>
      <c r="G529" s="19" t="n">
        <v>3</v>
      </c>
      <c r="H529" s="19" t="n">
        <v>5</v>
      </c>
      <c r="I529" s="19" t="n">
        <v>2</v>
      </c>
      <c r="J529" s="19" t="n">
        <v>6</v>
      </c>
      <c r="K529" s="19" t="n">
        <v>5</v>
      </c>
      <c r="L529" s="19" t="n">
        <v>6</v>
      </c>
      <c r="M529" s="19" t="n">
        <v>7</v>
      </c>
      <c r="N529" s="19" t="n">
        <v>5</v>
      </c>
      <c r="O529" s="19" t="n">
        <v>6</v>
      </c>
      <c r="P529" s="19" t="n">
        <v>2</v>
      </c>
      <c r="Q529" s="19" t="n">
        <v>7</v>
      </c>
      <c r="R529" s="19" t="n">
        <v>7</v>
      </c>
      <c r="S529" s="19" t="n">
        <v>3</v>
      </c>
      <c r="T529" s="19" t="n">
        <v>9</v>
      </c>
      <c r="U529" s="19" t="n">
        <v>5</v>
      </c>
      <c r="V529" s="19" t="n">
        <v>6</v>
      </c>
      <c r="W529" s="19" t="n">
        <v>4</v>
      </c>
      <c r="X529" s="19" t="n">
        <v>9</v>
      </c>
      <c r="Y529" s="19" t="n">
        <v>2</v>
      </c>
      <c r="Z529" s="19" t="n">
        <v>1</v>
      </c>
      <c r="AA529" s="19" t="n">
        <v>3</v>
      </c>
      <c r="AB529" s="19" t="n">
        <v>3</v>
      </c>
      <c r="AC529" s="19" t="n">
        <v>2</v>
      </c>
      <c r="AD529" s="19" t="n">
        <v>3</v>
      </c>
      <c r="AE529" s="19" t="n">
        <v>3</v>
      </c>
      <c r="AF529" s="19" t="n">
        <v>2</v>
      </c>
      <c r="AG529" s="19"/>
      <c r="AH529" s="19"/>
    </row>
    <row r="530" customFormat="false" ht="12.75" hidden="false" customHeight="true" outlineLevel="0" collapsed="false">
      <c r="A530" s="16" t="s">
        <v>270</v>
      </c>
      <c r="B530" s="17" t="n">
        <f aca="false">AVERAGE(E530:AE530)</f>
        <v>4.51851851851852</v>
      </c>
      <c r="C530" s="2" t="n">
        <f aca="false">MIN(E530:AE530)</f>
        <v>2</v>
      </c>
      <c r="D530" s="18" t="n">
        <f aca="false">MAX(E530:AE530)</f>
        <v>9</v>
      </c>
      <c r="E530" s="19" t="n">
        <v>3</v>
      </c>
      <c r="F530" s="19" t="n">
        <v>4</v>
      </c>
      <c r="G530" s="19" t="n">
        <v>3</v>
      </c>
      <c r="H530" s="19" t="n">
        <v>5</v>
      </c>
      <c r="I530" s="19" t="n">
        <v>2</v>
      </c>
      <c r="J530" s="19" t="n">
        <v>6</v>
      </c>
      <c r="K530" s="19" t="n">
        <v>5</v>
      </c>
      <c r="L530" s="19" t="n">
        <v>6</v>
      </c>
      <c r="M530" s="19" t="n">
        <v>7</v>
      </c>
      <c r="N530" s="19" t="n">
        <v>5</v>
      </c>
      <c r="O530" s="19" t="n">
        <v>6</v>
      </c>
      <c r="P530" s="19" t="n">
        <v>2</v>
      </c>
      <c r="Q530" s="19" t="n">
        <v>7</v>
      </c>
      <c r="R530" s="19" t="n">
        <v>7</v>
      </c>
      <c r="S530" s="19" t="n">
        <v>3</v>
      </c>
      <c r="T530" s="19" t="n">
        <v>9</v>
      </c>
      <c r="U530" s="19" t="n">
        <v>5</v>
      </c>
      <c r="V530" s="19" t="n">
        <v>6</v>
      </c>
      <c r="W530" s="19" t="n">
        <v>4</v>
      </c>
      <c r="X530" s="19" t="n">
        <v>9</v>
      </c>
      <c r="Y530" s="19" t="n">
        <v>2</v>
      </c>
      <c r="Z530" s="19" t="n">
        <v>2</v>
      </c>
      <c r="AA530" s="19" t="n">
        <v>3</v>
      </c>
      <c r="AB530" s="19" t="n">
        <v>3</v>
      </c>
      <c r="AC530" s="19" t="n">
        <v>2</v>
      </c>
      <c r="AD530" s="19" t="n">
        <v>3</v>
      </c>
      <c r="AE530" s="19" t="n">
        <v>3</v>
      </c>
      <c r="AF530" s="19" t="n">
        <v>2</v>
      </c>
      <c r="AG530" s="19"/>
      <c r="AH530" s="19"/>
    </row>
    <row r="531" customFormat="false" ht="12.75" hidden="false" customHeight="true" outlineLevel="0" collapsed="false">
      <c r="A531" s="16" t="s">
        <v>271</v>
      </c>
      <c r="B531" s="17" t="n">
        <f aca="false">AVERAGE(E531:AE531)</f>
        <v>4.62962962962963</v>
      </c>
      <c r="C531" s="2" t="n">
        <f aca="false">MIN(E531:AE531)</f>
        <v>2</v>
      </c>
      <c r="D531" s="18" t="n">
        <f aca="false">MAX(E531:AE531)</f>
        <v>9</v>
      </c>
      <c r="E531" s="19" t="n">
        <v>3</v>
      </c>
      <c r="F531" s="19" t="n">
        <v>5</v>
      </c>
      <c r="G531" s="19" t="n">
        <v>3</v>
      </c>
      <c r="H531" s="19" t="n">
        <v>5</v>
      </c>
      <c r="I531" s="19" t="n">
        <v>2</v>
      </c>
      <c r="J531" s="19" t="n">
        <v>6</v>
      </c>
      <c r="K531" s="19" t="n">
        <v>5</v>
      </c>
      <c r="L531" s="19" t="n">
        <v>6</v>
      </c>
      <c r="M531" s="19" t="n">
        <v>7</v>
      </c>
      <c r="N531" s="19" t="n">
        <v>6</v>
      </c>
      <c r="O531" s="19" t="n">
        <v>6</v>
      </c>
      <c r="P531" s="19" t="n">
        <v>2</v>
      </c>
      <c r="Q531" s="19" t="n">
        <v>7</v>
      </c>
      <c r="R531" s="19" t="n">
        <v>7</v>
      </c>
      <c r="S531" s="19" t="n">
        <v>3</v>
      </c>
      <c r="T531" s="19" t="n">
        <v>9</v>
      </c>
      <c r="U531" s="19" t="n">
        <v>5</v>
      </c>
      <c r="V531" s="19" t="n">
        <v>6</v>
      </c>
      <c r="W531" s="19" t="n">
        <v>4</v>
      </c>
      <c r="X531" s="19" t="n">
        <v>9</v>
      </c>
      <c r="Y531" s="19" t="n">
        <v>2</v>
      </c>
      <c r="Z531" s="19" t="n">
        <v>3</v>
      </c>
      <c r="AA531" s="19" t="n">
        <v>3</v>
      </c>
      <c r="AB531" s="19" t="n">
        <v>3</v>
      </c>
      <c r="AC531" s="19" t="n">
        <v>2</v>
      </c>
      <c r="AD531" s="19" t="n">
        <v>3</v>
      </c>
      <c r="AE531" s="19" t="n">
        <v>3</v>
      </c>
      <c r="AF531" s="19" t="n">
        <v>2</v>
      </c>
      <c r="AG531" s="19"/>
      <c r="AH531" s="19"/>
    </row>
    <row r="532" customFormat="false" ht="12.75" hidden="false" customHeight="true" outlineLevel="0" collapsed="false">
      <c r="A532" s="16" t="s">
        <v>272</v>
      </c>
      <c r="B532" s="17" t="n">
        <f aca="false">AVERAGE(E532:AE532)</f>
        <v>4.81481481481482</v>
      </c>
      <c r="C532" s="2" t="n">
        <f aca="false">MIN(E532:AE532)</f>
        <v>2</v>
      </c>
      <c r="D532" s="18" t="n">
        <f aca="false">MAX(E532:AE532)</f>
        <v>9</v>
      </c>
      <c r="E532" s="19" t="n">
        <v>3</v>
      </c>
      <c r="F532" s="19" t="n">
        <v>6</v>
      </c>
      <c r="G532" s="19" t="n">
        <v>3</v>
      </c>
      <c r="H532" s="19" t="n">
        <v>5</v>
      </c>
      <c r="I532" s="19" t="n">
        <v>3</v>
      </c>
      <c r="J532" s="19" t="n">
        <v>6</v>
      </c>
      <c r="K532" s="19" t="n">
        <v>5</v>
      </c>
      <c r="L532" s="19" t="n">
        <v>6</v>
      </c>
      <c r="M532" s="19" t="n">
        <v>7</v>
      </c>
      <c r="N532" s="19" t="n">
        <v>6</v>
      </c>
      <c r="O532" s="19" t="n">
        <v>6</v>
      </c>
      <c r="P532" s="19" t="n">
        <v>2</v>
      </c>
      <c r="Q532" s="19" t="n">
        <v>8</v>
      </c>
      <c r="R532" s="19" t="n">
        <v>7</v>
      </c>
      <c r="S532" s="19" t="n">
        <v>3</v>
      </c>
      <c r="T532" s="19" t="n">
        <v>9</v>
      </c>
      <c r="U532" s="19" t="n">
        <v>5</v>
      </c>
      <c r="V532" s="19" t="n">
        <v>7</v>
      </c>
      <c r="W532" s="19" t="n">
        <v>4</v>
      </c>
      <c r="X532" s="19" t="n">
        <v>9</v>
      </c>
      <c r="Y532" s="19" t="n">
        <v>2</v>
      </c>
      <c r="Z532" s="19" t="n">
        <v>3</v>
      </c>
      <c r="AA532" s="19" t="n">
        <v>4</v>
      </c>
      <c r="AB532" s="19" t="n">
        <v>3</v>
      </c>
      <c r="AC532" s="19" t="n">
        <v>2</v>
      </c>
      <c r="AD532" s="19" t="n">
        <v>3</v>
      </c>
      <c r="AE532" s="19" t="n">
        <v>3</v>
      </c>
      <c r="AF532" s="19" t="n">
        <v>2</v>
      </c>
      <c r="AG532" s="19"/>
      <c r="AH532" s="19"/>
    </row>
    <row r="533" customFormat="false" ht="12.75" hidden="false" customHeight="true" outlineLevel="0" collapsed="false">
      <c r="A533" s="16" t="s">
        <v>273</v>
      </c>
      <c r="B533" s="17" t="n">
        <f aca="false">AVERAGE(E533:AE533)</f>
        <v>4.92592592592593</v>
      </c>
      <c r="C533" s="2" t="n">
        <f aca="false">MIN(E533:AE533)</f>
        <v>2</v>
      </c>
      <c r="D533" s="18" t="n">
        <f aca="false">MAX(E533:AE533)</f>
        <v>9</v>
      </c>
      <c r="E533" s="19" t="n">
        <v>3</v>
      </c>
      <c r="F533" s="19" t="n">
        <v>6</v>
      </c>
      <c r="G533" s="19" t="n">
        <v>3</v>
      </c>
      <c r="H533" s="19" t="n">
        <v>5</v>
      </c>
      <c r="I533" s="19" t="n">
        <v>3</v>
      </c>
      <c r="J533" s="19" t="n">
        <v>6</v>
      </c>
      <c r="K533" s="19" t="n">
        <v>6</v>
      </c>
      <c r="L533" s="19" t="n">
        <v>6</v>
      </c>
      <c r="M533" s="19" t="n">
        <v>8</v>
      </c>
      <c r="N533" s="19" t="n">
        <v>6</v>
      </c>
      <c r="O533" s="19" t="n">
        <v>6</v>
      </c>
      <c r="P533" s="19" t="n">
        <v>2</v>
      </c>
      <c r="Q533" s="19" t="n">
        <v>9</v>
      </c>
      <c r="R533" s="19" t="n">
        <v>7</v>
      </c>
      <c r="S533" s="19" t="n">
        <v>3</v>
      </c>
      <c r="T533" s="19" t="n">
        <v>9</v>
      </c>
      <c r="U533" s="19" t="n">
        <v>5</v>
      </c>
      <c r="V533" s="19" t="n">
        <v>7</v>
      </c>
      <c r="W533" s="19" t="n">
        <v>4</v>
      </c>
      <c r="X533" s="19" t="n">
        <v>9</v>
      </c>
      <c r="Y533" s="19" t="n">
        <v>2</v>
      </c>
      <c r="Z533" s="19" t="n">
        <v>3</v>
      </c>
      <c r="AA533" s="19" t="n">
        <v>4</v>
      </c>
      <c r="AB533" s="19" t="n">
        <v>3</v>
      </c>
      <c r="AC533" s="19" t="n">
        <v>2</v>
      </c>
      <c r="AD533" s="19" t="n">
        <v>3</v>
      </c>
      <c r="AE533" s="19" t="n">
        <v>3</v>
      </c>
      <c r="AF533" s="19" t="n">
        <v>2</v>
      </c>
      <c r="AG533" s="19"/>
      <c r="AH533" s="19"/>
    </row>
    <row r="534" customFormat="false" ht="12.75" hidden="false" customHeight="true" outlineLevel="0" collapsed="false">
      <c r="A534" s="16" t="s">
        <v>274</v>
      </c>
      <c r="B534" s="17" t="n">
        <f aca="false">AVERAGE(E534:AE534)</f>
        <v>5.07407407407407</v>
      </c>
      <c r="C534" s="2" t="n">
        <f aca="false">MIN(E534:AE534)</f>
        <v>2</v>
      </c>
      <c r="D534" s="18" t="n">
        <f aca="false">MAX(E534:AE534)</f>
        <v>10</v>
      </c>
      <c r="E534" s="19" t="n">
        <v>3</v>
      </c>
      <c r="F534" s="19" t="n">
        <v>7</v>
      </c>
      <c r="G534" s="19" t="n">
        <v>3</v>
      </c>
      <c r="H534" s="19" t="n">
        <v>5</v>
      </c>
      <c r="I534" s="19" t="n">
        <v>3</v>
      </c>
      <c r="J534" s="19" t="n">
        <v>6</v>
      </c>
      <c r="K534" s="19" t="n">
        <v>6</v>
      </c>
      <c r="L534" s="19" t="n">
        <v>6</v>
      </c>
      <c r="M534" s="19" t="n">
        <v>8</v>
      </c>
      <c r="N534" s="19" t="n">
        <v>7</v>
      </c>
      <c r="O534" s="19" t="n">
        <v>6</v>
      </c>
      <c r="P534" s="19" t="n">
        <v>2</v>
      </c>
      <c r="Q534" s="19" t="n">
        <v>10</v>
      </c>
      <c r="R534" s="19" t="n">
        <v>7</v>
      </c>
      <c r="S534" s="19" t="n">
        <v>3</v>
      </c>
      <c r="T534" s="19" t="n">
        <v>9</v>
      </c>
      <c r="U534" s="19" t="n">
        <v>6</v>
      </c>
      <c r="V534" s="19" t="n">
        <v>7</v>
      </c>
      <c r="W534" s="19" t="n">
        <v>4</v>
      </c>
      <c r="X534" s="19" t="n">
        <v>9</v>
      </c>
      <c r="Y534" s="19" t="n">
        <v>2</v>
      </c>
      <c r="Z534" s="19" t="n">
        <v>3</v>
      </c>
      <c r="AA534" s="19" t="n">
        <v>4</v>
      </c>
      <c r="AB534" s="19" t="n">
        <v>3</v>
      </c>
      <c r="AC534" s="19" t="n">
        <v>2</v>
      </c>
      <c r="AD534" s="19" t="n">
        <v>3</v>
      </c>
      <c r="AE534" s="19" t="n">
        <v>3</v>
      </c>
      <c r="AF534" s="19" t="n">
        <v>2</v>
      </c>
      <c r="AG534" s="19"/>
      <c r="AH534" s="19"/>
    </row>
    <row r="535" customFormat="false" ht="12.75" hidden="false" customHeight="true" outlineLevel="0" collapsed="false">
      <c r="A535" s="16" t="s">
        <v>275</v>
      </c>
      <c r="B535" s="17" t="n">
        <f aca="false">AVERAGE(E535:AE535)</f>
        <v>5.2962962962963</v>
      </c>
      <c r="C535" s="2" t="n">
        <f aca="false">MIN(E535:AE535)</f>
        <v>2</v>
      </c>
      <c r="D535" s="18" t="n">
        <f aca="false">MAX(E535:AE535)</f>
        <v>10</v>
      </c>
      <c r="E535" s="19" t="n">
        <v>3</v>
      </c>
      <c r="F535" s="19" t="n">
        <v>7</v>
      </c>
      <c r="G535" s="19" t="n">
        <v>3</v>
      </c>
      <c r="H535" s="19" t="n">
        <v>5</v>
      </c>
      <c r="I535" s="19" t="n">
        <v>4</v>
      </c>
      <c r="J535" s="19" t="n">
        <v>6</v>
      </c>
      <c r="K535" s="19" t="n">
        <v>6</v>
      </c>
      <c r="L535" s="19" t="n">
        <v>6</v>
      </c>
      <c r="M535" s="19" t="n">
        <v>8</v>
      </c>
      <c r="N535" s="19" t="n">
        <v>8</v>
      </c>
      <c r="O535" s="19" t="n">
        <v>6</v>
      </c>
      <c r="P535" s="19" t="n">
        <v>3</v>
      </c>
      <c r="Q535" s="19" t="n">
        <v>10</v>
      </c>
      <c r="R535" s="19" t="n">
        <v>7</v>
      </c>
      <c r="S535" s="19" t="n">
        <v>3</v>
      </c>
      <c r="T535" s="19" t="n">
        <v>9</v>
      </c>
      <c r="U535" s="19" t="n">
        <v>7</v>
      </c>
      <c r="V535" s="19" t="n">
        <v>8</v>
      </c>
      <c r="W535" s="19" t="n">
        <v>4</v>
      </c>
      <c r="X535" s="19" t="n">
        <v>9</v>
      </c>
      <c r="Y535" s="19" t="n">
        <v>2</v>
      </c>
      <c r="Z535" s="19" t="n">
        <v>3</v>
      </c>
      <c r="AA535" s="19" t="n">
        <v>4</v>
      </c>
      <c r="AB535" s="19" t="n">
        <v>3</v>
      </c>
      <c r="AC535" s="19" t="n">
        <v>3</v>
      </c>
      <c r="AD535" s="19" t="n">
        <v>3</v>
      </c>
      <c r="AE535" s="19" t="n">
        <v>3</v>
      </c>
      <c r="AF535" s="19" t="n">
        <v>2</v>
      </c>
      <c r="AG535" s="19"/>
      <c r="AH535" s="19"/>
    </row>
    <row r="536" customFormat="false" ht="12.75" hidden="false" customHeight="true" outlineLevel="0" collapsed="false">
      <c r="A536" s="16" t="s">
        <v>276</v>
      </c>
      <c r="B536" s="17" t="n">
        <f aca="false">AVERAGE(E536:AE536)</f>
        <v>5.48148148148148</v>
      </c>
      <c r="C536" s="2" t="n">
        <f aca="false">MIN(E536:AE536)</f>
        <v>2</v>
      </c>
      <c r="D536" s="18" t="n">
        <f aca="false">MAX(E536:AE536)</f>
        <v>10</v>
      </c>
      <c r="E536" s="19" t="n">
        <v>3</v>
      </c>
      <c r="F536" s="19" t="n">
        <v>7</v>
      </c>
      <c r="G536" s="19" t="n">
        <v>3</v>
      </c>
      <c r="H536" s="19" t="n">
        <v>5</v>
      </c>
      <c r="I536" s="19" t="n">
        <v>4</v>
      </c>
      <c r="J536" s="19" t="n">
        <v>7</v>
      </c>
      <c r="K536" s="19" t="n">
        <v>6</v>
      </c>
      <c r="L536" s="19" t="n">
        <v>6</v>
      </c>
      <c r="M536" s="19" t="n">
        <v>8</v>
      </c>
      <c r="N536" s="19" t="n">
        <v>9</v>
      </c>
      <c r="O536" s="19" t="n">
        <v>6</v>
      </c>
      <c r="P536" s="19" t="n">
        <v>4</v>
      </c>
      <c r="Q536" s="19" t="n">
        <v>10</v>
      </c>
      <c r="R536" s="19" t="n">
        <v>7</v>
      </c>
      <c r="S536" s="19" t="n">
        <v>4</v>
      </c>
      <c r="T536" s="19" t="n">
        <v>9</v>
      </c>
      <c r="U536" s="19" t="n">
        <v>7</v>
      </c>
      <c r="V536" s="19" t="n">
        <v>8</v>
      </c>
      <c r="W536" s="19" t="n">
        <v>5</v>
      </c>
      <c r="X536" s="19" t="n">
        <v>9</v>
      </c>
      <c r="Y536" s="19" t="n">
        <v>2</v>
      </c>
      <c r="Z536" s="19" t="n">
        <v>3</v>
      </c>
      <c r="AA536" s="19" t="n">
        <v>4</v>
      </c>
      <c r="AB536" s="19" t="n">
        <v>3</v>
      </c>
      <c r="AC536" s="19" t="n">
        <v>3</v>
      </c>
      <c r="AD536" s="19" t="n">
        <v>3</v>
      </c>
      <c r="AE536" s="19" t="n">
        <v>3</v>
      </c>
      <c r="AF536" s="19" t="n">
        <v>2</v>
      </c>
      <c r="AG536" s="19"/>
      <c r="AH536" s="19"/>
    </row>
    <row r="537" customFormat="false" ht="12.75" hidden="false" customHeight="true" outlineLevel="0" collapsed="false">
      <c r="A537" s="16" t="s">
        <v>277</v>
      </c>
      <c r="B537" s="17" t="n">
        <f aca="false">AVERAGE(E537:AE537)</f>
        <v>5.59259259259259</v>
      </c>
      <c r="C537" s="2" t="n">
        <f aca="false">MIN(E537:AE537)</f>
        <v>3</v>
      </c>
      <c r="D537" s="18" t="n">
        <f aca="false">MAX(E537:AE537)</f>
        <v>10</v>
      </c>
      <c r="E537" s="19" t="n">
        <v>3</v>
      </c>
      <c r="F537" s="19" t="n">
        <v>7</v>
      </c>
      <c r="G537" s="19" t="n">
        <v>3</v>
      </c>
      <c r="H537" s="19" t="n">
        <v>6</v>
      </c>
      <c r="I537" s="19" t="n">
        <v>4</v>
      </c>
      <c r="J537" s="19" t="n">
        <v>7</v>
      </c>
      <c r="K537" s="19" t="n">
        <v>6</v>
      </c>
      <c r="L537" s="19" t="n">
        <v>6</v>
      </c>
      <c r="M537" s="19" t="n">
        <v>8</v>
      </c>
      <c r="N537" s="19" t="n">
        <v>9</v>
      </c>
      <c r="O537" s="19" t="n">
        <v>6</v>
      </c>
      <c r="P537" s="19" t="n">
        <v>4</v>
      </c>
      <c r="Q537" s="19" t="n">
        <v>10</v>
      </c>
      <c r="R537" s="19" t="n">
        <v>7</v>
      </c>
      <c r="S537" s="19" t="n">
        <v>4</v>
      </c>
      <c r="T537" s="19" t="n">
        <v>9</v>
      </c>
      <c r="U537" s="19" t="n">
        <v>7</v>
      </c>
      <c r="V537" s="19" t="n">
        <v>8</v>
      </c>
      <c r="W537" s="19" t="n">
        <v>5</v>
      </c>
      <c r="X537" s="19" t="n">
        <v>9</v>
      </c>
      <c r="Y537" s="19" t="n">
        <v>3</v>
      </c>
      <c r="Z537" s="19" t="n">
        <v>3</v>
      </c>
      <c r="AA537" s="19" t="n">
        <v>4</v>
      </c>
      <c r="AB537" s="19" t="n">
        <v>3</v>
      </c>
      <c r="AC537" s="19" t="n">
        <v>4</v>
      </c>
      <c r="AD537" s="19" t="n">
        <v>3</v>
      </c>
      <c r="AE537" s="19" t="n">
        <v>3</v>
      </c>
      <c r="AF537" s="19" t="n">
        <v>2</v>
      </c>
      <c r="AG537" s="19"/>
      <c r="AH537" s="19"/>
    </row>
    <row r="538" customFormat="false" ht="12.75" hidden="false" customHeight="true" outlineLevel="0" collapsed="false">
      <c r="A538" s="16" t="s">
        <v>278</v>
      </c>
      <c r="B538" s="17" t="n">
        <f aca="false">AVERAGE(E538:AE538)</f>
        <v>5.7037037037037</v>
      </c>
      <c r="C538" s="2" t="n">
        <f aca="false">MIN(E538:AE538)</f>
        <v>3</v>
      </c>
      <c r="D538" s="18" t="n">
        <f aca="false">MAX(E538:AE538)</f>
        <v>10</v>
      </c>
      <c r="E538" s="19" t="n">
        <v>3</v>
      </c>
      <c r="F538" s="135" t="n">
        <v>7</v>
      </c>
      <c r="G538" s="19" t="n">
        <v>3</v>
      </c>
      <c r="H538" s="19" t="n">
        <v>6</v>
      </c>
      <c r="I538" s="19" t="n">
        <v>4</v>
      </c>
      <c r="J538" s="19" t="n">
        <v>8</v>
      </c>
      <c r="K538" s="19" t="n">
        <v>6</v>
      </c>
      <c r="L538" s="19" t="n">
        <v>6</v>
      </c>
      <c r="M538" s="19" t="n">
        <v>8</v>
      </c>
      <c r="N538" s="19" t="n">
        <v>9</v>
      </c>
      <c r="O538" s="19" t="n">
        <v>7</v>
      </c>
      <c r="P538" s="19" t="n">
        <v>4</v>
      </c>
      <c r="Q538" s="19" t="n">
        <v>10</v>
      </c>
      <c r="R538" s="19" t="n">
        <v>7</v>
      </c>
      <c r="S538" s="19" t="n">
        <v>4</v>
      </c>
      <c r="T538" s="19" t="n">
        <v>10</v>
      </c>
      <c r="U538" s="19" t="n">
        <v>7</v>
      </c>
      <c r="V538" s="19" t="n">
        <v>8</v>
      </c>
      <c r="W538" s="19" t="n">
        <v>5</v>
      </c>
      <c r="X538" s="19" t="n">
        <v>9</v>
      </c>
      <c r="Y538" s="19" t="n">
        <v>3</v>
      </c>
      <c r="Z538" s="19" t="n">
        <v>3</v>
      </c>
      <c r="AA538" s="19" t="n">
        <v>4</v>
      </c>
      <c r="AB538" s="19" t="n">
        <v>3</v>
      </c>
      <c r="AC538" s="19" t="n">
        <v>4</v>
      </c>
      <c r="AD538" s="19" t="n">
        <v>3</v>
      </c>
      <c r="AE538" s="19" t="n">
        <v>3</v>
      </c>
      <c r="AF538" s="19" t="n">
        <v>2</v>
      </c>
      <c r="AG538" s="19"/>
      <c r="AH538" s="19"/>
    </row>
    <row r="539" customFormat="false" ht="12.75" hidden="false" customHeight="true" outlineLevel="0" collapsed="false">
      <c r="A539" s="16" t="s">
        <v>279</v>
      </c>
      <c r="B539" s="17" t="n">
        <f aca="false">AVERAGE(E539:AE539)</f>
        <v>5.81481481481482</v>
      </c>
      <c r="C539" s="2" t="n">
        <f aca="false">MIN(E539:AE539)</f>
        <v>3</v>
      </c>
      <c r="D539" s="18" t="n">
        <f aca="false">MAX(E539:AE539)</f>
        <v>10</v>
      </c>
      <c r="E539" s="19" t="n">
        <v>3</v>
      </c>
      <c r="F539" s="19" t="n">
        <v>7</v>
      </c>
      <c r="G539" s="19" t="n">
        <v>3</v>
      </c>
      <c r="H539" s="19" t="n">
        <v>6</v>
      </c>
      <c r="I539" s="19" t="n">
        <v>5</v>
      </c>
      <c r="J539" s="19" t="n">
        <v>8</v>
      </c>
      <c r="K539" s="19" t="n">
        <v>6</v>
      </c>
      <c r="L539" s="19" t="n">
        <v>6</v>
      </c>
      <c r="M539" s="19" t="n">
        <v>9</v>
      </c>
      <c r="N539" s="19" t="n">
        <v>9</v>
      </c>
      <c r="O539" s="19" t="n">
        <v>7</v>
      </c>
      <c r="P539" s="19" t="n">
        <v>4</v>
      </c>
      <c r="Q539" s="19" t="n">
        <v>10</v>
      </c>
      <c r="R539" s="19" t="n">
        <v>7</v>
      </c>
      <c r="S539" s="19" t="n">
        <v>4</v>
      </c>
      <c r="T539" s="19" t="n">
        <v>10</v>
      </c>
      <c r="U539" s="19" t="n">
        <v>7</v>
      </c>
      <c r="V539" s="19" t="n">
        <v>8</v>
      </c>
      <c r="W539" s="19" t="n">
        <v>5</v>
      </c>
      <c r="X539" s="19" t="n">
        <v>9</v>
      </c>
      <c r="Y539" s="19" t="n">
        <v>3</v>
      </c>
      <c r="Z539" s="19" t="n">
        <v>3</v>
      </c>
      <c r="AA539" s="19" t="n">
        <v>4</v>
      </c>
      <c r="AB539" s="19" t="n">
        <v>4</v>
      </c>
      <c r="AC539" s="19" t="n">
        <v>4</v>
      </c>
      <c r="AD539" s="19" t="n">
        <v>3</v>
      </c>
      <c r="AE539" s="19" t="n">
        <v>3</v>
      </c>
      <c r="AF539" s="19" t="n">
        <v>2</v>
      </c>
      <c r="AG539" s="19"/>
      <c r="AH539" s="19"/>
    </row>
    <row r="540" customFormat="false" ht="12.75" hidden="false" customHeight="true" outlineLevel="0" collapsed="false">
      <c r="A540" s="16" t="s">
        <v>280</v>
      </c>
      <c r="B540" s="17" t="n">
        <f aca="false">AVERAGE(E540:AE540)</f>
        <v>6</v>
      </c>
      <c r="C540" s="2" t="n">
        <f aca="false">MIN(E540:AE540)</f>
        <v>3</v>
      </c>
      <c r="D540" s="18" t="n">
        <f aca="false">MAX(E540:AE540)</f>
        <v>10</v>
      </c>
      <c r="E540" s="19" t="n">
        <v>3</v>
      </c>
      <c r="F540" s="19" t="n">
        <v>8</v>
      </c>
      <c r="G540" s="19" t="n">
        <v>3</v>
      </c>
      <c r="H540" s="19" t="n">
        <v>6</v>
      </c>
      <c r="I540" s="19" t="n">
        <v>6</v>
      </c>
      <c r="J540" s="19" t="n">
        <v>8</v>
      </c>
      <c r="K540" s="19" t="n">
        <v>6</v>
      </c>
      <c r="L540" s="19" t="n">
        <v>6</v>
      </c>
      <c r="M540" s="19" t="n">
        <v>9</v>
      </c>
      <c r="N540" s="19" t="n">
        <v>9</v>
      </c>
      <c r="O540" s="19" t="n">
        <v>7</v>
      </c>
      <c r="P540" s="19" t="n">
        <v>4</v>
      </c>
      <c r="Q540" s="19" t="n">
        <v>10</v>
      </c>
      <c r="R540" s="19" t="n">
        <v>7</v>
      </c>
      <c r="S540" s="19" t="n">
        <v>4</v>
      </c>
      <c r="T540" s="19" t="n">
        <v>10</v>
      </c>
      <c r="U540" s="19" t="n">
        <v>8</v>
      </c>
      <c r="V540" s="19" t="n">
        <v>9</v>
      </c>
      <c r="W540" s="19" t="n">
        <v>5</v>
      </c>
      <c r="X540" s="19" t="n">
        <v>9</v>
      </c>
      <c r="Y540" s="19" t="n">
        <v>3</v>
      </c>
      <c r="Z540" s="19" t="n">
        <v>3</v>
      </c>
      <c r="AA540" s="19" t="n">
        <v>4</v>
      </c>
      <c r="AB540" s="19" t="n">
        <v>5</v>
      </c>
      <c r="AC540" s="19" t="n">
        <v>4</v>
      </c>
      <c r="AD540" s="19" t="n">
        <v>3</v>
      </c>
      <c r="AE540" s="19" t="n">
        <v>3</v>
      </c>
      <c r="AF540" s="19" t="n">
        <v>2</v>
      </c>
      <c r="AG540" s="19"/>
      <c r="AH540" s="19"/>
    </row>
    <row r="541" customFormat="false" ht="12.75" hidden="false" customHeight="true" outlineLevel="0" collapsed="false">
      <c r="A541" s="16" t="s">
        <v>281</v>
      </c>
      <c r="B541" s="17" t="n">
        <f aca="false">AVERAGE(E541:AE541)</f>
        <v>6.11111111111111</v>
      </c>
      <c r="C541" s="2" t="n">
        <f aca="false">MIN(E541:AE541)</f>
        <v>3</v>
      </c>
      <c r="D541" s="18" t="n">
        <f aca="false">MAX(E541:AE541)</f>
        <v>10</v>
      </c>
      <c r="E541" s="19" t="n">
        <v>3</v>
      </c>
      <c r="F541" s="19" t="n">
        <v>9</v>
      </c>
      <c r="G541" s="19" t="n">
        <v>3</v>
      </c>
      <c r="H541" s="19" t="n">
        <v>6</v>
      </c>
      <c r="I541" s="19" t="n">
        <v>6</v>
      </c>
      <c r="J541" s="19" t="n">
        <v>8</v>
      </c>
      <c r="K541" s="19" t="n">
        <v>7</v>
      </c>
      <c r="L541" s="19" t="n">
        <v>6</v>
      </c>
      <c r="M541" s="19" t="n">
        <v>9</v>
      </c>
      <c r="N541" s="19" t="n">
        <v>9</v>
      </c>
      <c r="O541" s="19" t="n">
        <v>7</v>
      </c>
      <c r="P541" s="19" t="n">
        <v>4</v>
      </c>
      <c r="Q541" s="19" t="n">
        <v>10</v>
      </c>
      <c r="R541" s="19" t="n">
        <v>7</v>
      </c>
      <c r="S541" s="19" t="n">
        <v>4</v>
      </c>
      <c r="T541" s="19" t="n">
        <v>10</v>
      </c>
      <c r="U541" s="19" t="n">
        <v>9</v>
      </c>
      <c r="V541" s="19" t="n">
        <v>9</v>
      </c>
      <c r="W541" s="19" t="n">
        <v>5</v>
      </c>
      <c r="X541" s="19" t="n">
        <v>9</v>
      </c>
      <c r="Y541" s="19" t="n">
        <v>3</v>
      </c>
      <c r="Z541" s="19" t="n">
        <v>3</v>
      </c>
      <c r="AA541" s="19" t="n">
        <v>4</v>
      </c>
      <c r="AB541" s="19" t="n">
        <v>5</v>
      </c>
      <c r="AC541" s="19" t="n">
        <v>4</v>
      </c>
      <c r="AD541" s="19" t="n">
        <v>3</v>
      </c>
      <c r="AE541" s="19" t="n">
        <v>3</v>
      </c>
      <c r="AF541" s="19" t="n">
        <v>2</v>
      </c>
      <c r="AG541" s="19"/>
      <c r="AH541" s="19"/>
    </row>
    <row r="542" customFormat="false" ht="12.75" hidden="false" customHeight="true" outlineLevel="0" collapsed="false">
      <c r="A542" s="16" t="s">
        <v>282</v>
      </c>
      <c r="B542" s="17" t="n">
        <f aca="false">AVERAGE(E542:AE542)</f>
        <v>6.22222222222222</v>
      </c>
      <c r="C542" s="2" t="n">
        <f aca="false">MIN(E542:AE542)</f>
        <v>3</v>
      </c>
      <c r="D542" s="18" t="n">
        <f aca="false">MAX(E542:AE542)</f>
        <v>10</v>
      </c>
      <c r="E542" s="19" t="n">
        <v>3</v>
      </c>
      <c r="F542" s="19" t="n">
        <v>9</v>
      </c>
      <c r="G542" s="19" t="n">
        <v>3</v>
      </c>
      <c r="H542" s="19" t="n">
        <v>7</v>
      </c>
      <c r="I542" s="19" t="n">
        <v>6</v>
      </c>
      <c r="J542" s="19" t="n">
        <v>8</v>
      </c>
      <c r="K542" s="19" t="n">
        <v>7</v>
      </c>
      <c r="L542" s="19" t="n">
        <v>6</v>
      </c>
      <c r="M542" s="19" t="n">
        <v>9</v>
      </c>
      <c r="N542" s="19" t="n">
        <v>9</v>
      </c>
      <c r="O542" s="19" t="n">
        <v>8</v>
      </c>
      <c r="P542" s="19" t="n">
        <v>4</v>
      </c>
      <c r="Q542" s="19" t="n">
        <v>10</v>
      </c>
      <c r="R542" s="19" t="n">
        <v>7</v>
      </c>
      <c r="S542" s="19" t="n">
        <v>4</v>
      </c>
      <c r="T542" s="19" t="n">
        <v>10</v>
      </c>
      <c r="U542" s="19" t="n">
        <v>9</v>
      </c>
      <c r="V542" s="19" t="n">
        <v>9</v>
      </c>
      <c r="W542" s="19" t="n">
        <v>5</v>
      </c>
      <c r="X542" s="19" t="n">
        <v>9</v>
      </c>
      <c r="Y542" s="19" t="n">
        <v>3</v>
      </c>
      <c r="Z542" s="19" t="n">
        <v>3</v>
      </c>
      <c r="AA542" s="19" t="n">
        <v>4</v>
      </c>
      <c r="AB542" s="19" t="n">
        <v>5</v>
      </c>
      <c r="AC542" s="19" t="n">
        <v>4</v>
      </c>
      <c r="AD542" s="19" t="n">
        <v>3</v>
      </c>
      <c r="AE542" s="19" t="n">
        <v>4</v>
      </c>
      <c r="AF542" s="19" t="n">
        <v>2</v>
      </c>
      <c r="AG542" s="19"/>
      <c r="AH542" s="19"/>
    </row>
    <row r="543" customFormat="false" ht="12.75" hidden="false" customHeight="true" outlineLevel="0" collapsed="false">
      <c r="A543" s="16" t="s">
        <v>283</v>
      </c>
      <c r="B543" s="17" t="n">
        <f aca="false">AVERAGE(E543:AE543)</f>
        <v>6.40740740740741</v>
      </c>
      <c r="C543" s="2" t="n">
        <f aca="false">MIN(E543:AE543)</f>
        <v>3</v>
      </c>
      <c r="D543" s="18" t="n">
        <f aca="false">MAX(E543:AE543)</f>
        <v>11</v>
      </c>
      <c r="E543" s="19" t="n">
        <v>3</v>
      </c>
      <c r="F543" s="19" t="n">
        <v>9</v>
      </c>
      <c r="G543" s="19" t="n">
        <v>3</v>
      </c>
      <c r="H543" s="19" t="n">
        <v>7</v>
      </c>
      <c r="I543" s="19" t="n">
        <v>6</v>
      </c>
      <c r="J543" s="19" t="n">
        <v>8</v>
      </c>
      <c r="K543" s="19" t="n">
        <v>7</v>
      </c>
      <c r="L543" s="19" t="n">
        <v>7</v>
      </c>
      <c r="M543" s="19" t="n">
        <v>9</v>
      </c>
      <c r="N543" s="19" t="n">
        <v>9</v>
      </c>
      <c r="O543" s="19" t="n">
        <v>8</v>
      </c>
      <c r="P543" s="19" t="n">
        <v>4</v>
      </c>
      <c r="Q543" s="19" t="n">
        <v>11</v>
      </c>
      <c r="R543" s="19" t="n">
        <v>8</v>
      </c>
      <c r="S543" s="19" t="n">
        <v>4</v>
      </c>
      <c r="T543" s="19" t="n">
        <v>10</v>
      </c>
      <c r="U543" s="19" t="n">
        <v>9</v>
      </c>
      <c r="V543" s="19" t="n">
        <v>10</v>
      </c>
      <c r="W543" s="19" t="n">
        <v>6</v>
      </c>
      <c r="X543" s="19" t="n">
        <v>9</v>
      </c>
      <c r="Y543" s="19" t="n">
        <v>3</v>
      </c>
      <c r="Z543" s="19" t="n">
        <v>3</v>
      </c>
      <c r="AA543" s="19" t="n">
        <v>4</v>
      </c>
      <c r="AB543" s="19" t="n">
        <v>5</v>
      </c>
      <c r="AC543" s="19" t="n">
        <v>4</v>
      </c>
      <c r="AD543" s="19" t="n">
        <v>3</v>
      </c>
      <c r="AE543" s="19" t="n">
        <v>4</v>
      </c>
      <c r="AF543" s="19" t="n">
        <v>2</v>
      </c>
      <c r="AG543" s="19"/>
      <c r="AH543" s="19"/>
    </row>
    <row r="544" customFormat="false" ht="12.75" hidden="false" customHeight="true" outlineLevel="0" collapsed="false">
      <c r="A544" s="16" t="s">
        <v>284</v>
      </c>
      <c r="B544" s="17" t="n">
        <f aca="false">AVERAGE(E544:AE544)</f>
        <v>6.51851851851852</v>
      </c>
      <c r="C544" s="2" t="n">
        <f aca="false">MIN(E544:AE544)</f>
        <v>3</v>
      </c>
      <c r="D544" s="18" t="n">
        <f aca="false">MAX(E544:AE544)</f>
        <v>11</v>
      </c>
      <c r="E544" s="19" t="n">
        <v>3</v>
      </c>
      <c r="F544" s="19" t="n">
        <v>9</v>
      </c>
      <c r="G544" s="19" t="n">
        <v>4</v>
      </c>
      <c r="H544" s="19" t="n">
        <v>7</v>
      </c>
      <c r="I544" s="19" t="n">
        <v>6</v>
      </c>
      <c r="J544" s="19" t="n">
        <v>8</v>
      </c>
      <c r="K544" s="19" t="n">
        <v>7</v>
      </c>
      <c r="L544" s="19" t="n">
        <v>8</v>
      </c>
      <c r="M544" s="19" t="n">
        <v>9</v>
      </c>
      <c r="N544" s="19" t="n">
        <v>9</v>
      </c>
      <c r="O544" s="19" t="n">
        <v>8</v>
      </c>
      <c r="P544" s="19" t="n">
        <v>4</v>
      </c>
      <c r="Q544" s="19" t="n">
        <v>11</v>
      </c>
      <c r="R544" s="19" t="n">
        <v>9</v>
      </c>
      <c r="S544" s="19" t="n">
        <v>4</v>
      </c>
      <c r="T544" s="19" t="n">
        <v>10</v>
      </c>
      <c r="U544" s="19" t="n">
        <v>9</v>
      </c>
      <c r="V544" s="19" t="n">
        <v>10</v>
      </c>
      <c r="W544" s="19" t="n">
        <v>6</v>
      </c>
      <c r="X544" s="19" t="n">
        <v>9</v>
      </c>
      <c r="Y544" s="19" t="n">
        <v>3</v>
      </c>
      <c r="Z544" s="19" t="n">
        <v>3</v>
      </c>
      <c r="AA544" s="19" t="n">
        <v>4</v>
      </c>
      <c r="AB544" s="19" t="n">
        <v>5</v>
      </c>
      <c r="AC544" s="19" t="n">
        <v>4</v>
      </c>
      <c r="AD544" s="19" t="n">
        <v>3</v>
      </c>
      <c r="AE544" s="19" t="n">
        <v>4</v>
      </c>
      <c r="AF544" s="19" t="n">
        <v>2</v>
      </c>
      <c r="AG544" s="19"/>
      <c r="AH544" s="19"/>
    </row>
    <row r="545" customFormat="false" ht="12.75" hidden="false" customHeight="true" outlineLevel="0" collapsed="false">
      <c r="A545" s="16" t="s">
        <v>285</v>
      </c>
      <c r="B545" s="17" t="n">
        <f aca="false">AVERAGE(E545:AE545)</f>
        <v>6.51851851851852</v>
      </c>
      <c r="C545" s="2" t="n">
        <f aca="false">MIN(E545:AE545)</f>
        <v>3</v>
      </c>
      <c r="D545" s="18" t="n">
        <f aca="false">MAX(E545:AE545)</f>
        <v>11</v>
      </c>
      <c r="E545" s="19" t="n">
        <v>3</v>
      </c>
      <c r="F545" s="19" t="n">
        <v>9</v>
      </c>
      <c r="G545" s="19" t="n">
        <v>4</v>
      </c>
      <c r="H545" s="19" t="n">
        <v>7</v>
      </c>
      <c r="I545" s="19" t="n">
        <v>6</v>
      </c>
      <c r="J545" s="19" t="n">
        <v>8</v>
      </c>
      <c r="K545" s="19" t="n">
        <v>7</v>
      </c>
      <c r="L545" s="19" t="n">
        <v>8</v>
      </c>
      <c r="M545" s="19" t="n">
        <v>9</v>
      </c>
      <c r="N545" s="19" t="n">
        <v>9</v>
      </c>
      <c r="O545" s="19" t="n">
        <v>8</v>
      </c>
      <c r="P545" s="19" t="n">
        <v>4</v>
      </c>
      <c r="Q545" s="19" t="n">
        <v>11</v>
      </c>
      <c r="R545" s="19" t="n">
        <v>9</v>
      </c>
      <c r="S545" s="19" t="n">
        <v>4</v>
      </c>
      <c r="T545" s="19" t="n">
        <v>10</v>
      </c>
      <c r="U545" s="19" t="n">
        <v>9</v>
      </c>
      <c r="V545" s="19" t="n">
        <v>10</v>
      </c>
      <c r="W545" s="19" t="n">
        <v>6</v>
      </c>
      <c r="X545" s="19" t="n">
        <v>9</v>
      </c>
      <c r="Y545" s="19" t="n">
        <v>3</v>
      </c>
      <c r="Z545" s="19" t="n">
        <v>3</v>
      </c>
      <c r="AA545" s="19" t="n">
        <v>4</v>
      </c>
      <c r="AB545" s="19" t="n">
        <v>5</v>
      </c>
      <c r="AC545" s="19" t="n">
        <v>4</v>
      </c>
      <c r="AD545" s="19" t="n">
        <v>3</v>
      </c>
      <c r="AE545" s="19" t="n">
        <v>4</v>
      </c>
      <c r="AF545" s="19" t="n">
        <v>2</v>
      </c>
      <c r="AG545" s="19"/>
      <c r="AH545" s="19"/>
    </row>
    <row r="546" customFormat="false" ht="12.75" hidden="false" customHeight="true" outlineLevel="0" collapsed="false">
      <c r="A546" s="16" t="s">
        <v>286</v>
      </c>
      <c r="B546" s="17" t="n">
        <f aca="false">AVERAGE(E546:AE546)</f>
        <v>6.55555555555556</v>
      </c>
      <c r="C546" s="2" t="n">
        <f aca="false">MIN(E546:AE546)</f>
        <v>3</v>
      </c>
      <c r="D546" s="18" t="n">
        <f aca="false">MAX(E546:AE546)</f>
        <v>11</v>
      </c>
      <c r="E546" s="19" t="n">
        <v>3</v>
      </c>
      <c r="F546" s="19" t="n">
        <v>9</v>
      </c>
      <c r="G546" s="19" t="n">
        <v>4</v>
      </c>
      <c r="H546" s="19" t="n">
        <v>7</v>
      </c>
      <c r="I546" s="19" t="n">
        <v>6</v>
      </c>
      <c r="J546" s="19" t="n">
        <v>8</v>
      </c>
      <c r="K546" s="19" t="n">
        <v>7</v>
      </c>
      <c r="L546" s="19" t="n">
        <v>9</v>
      </c>
      <c r="M546" s="19" t="n">
        <v>9</v>
      </c>
      <c r="N546" s="19" t="n">
        <v>9</v>
      </c>
      <c r="O546" s="19" t="n">
        <v>8</v>
      </c>
      <c r="P546" s="19" t="n">
        <v>4</v>
      </c>
      <c r="Q546" s="19" t="n">
        <v>11</v>
      </c>
      <c r="R546" s="19" t="n">
        <v>9</v>
      </c>
      <c r="S546" s="19" t="n">
        <v>4</v>
      </c>
      <c r="T546" s="19" t="n">
        <v>10</v>
      </c>
      <c r="U546" s="19" t="n">
        <v>9</v>
      </c>
      <c r="V546" s="19" t="n">
        <v>10</v>
      </c>
      <c r="W546" s="19" t="n">
        <v>6</v>
      </c>
      <c r="X546" s="19" t="n">
        <v>9</v>
      </c>
      <c r="Y546" s="19" t="n">
        <v>3</v>
      </c>
      <c r="Z546" s="19" t="n">
        <v>3</v>
      </c>
      <c r="AA546" s="19" t="n">
        <v>4</v>
      </c>
      <c r="AB546" s="19" t="n">
        <v>5</v>
      </c>
      <c r="AC546" s="19" t="n">
        <v>4</v>
      </c>
      <c r="AD546" s="19" t="n">
        <v>3</v>
      </c>
      <c r="AE546" s="19" t="n">
        <v>4</v>
      </c>
      <c r="AF546" s="19" t="n">
        <v>2</v>
      </c>
      <c r="AG546" s="19"/>
      <c r="AH546" s="19"/>
    </row>
    <row r="547" customFormat="false" ht="12.75" hidden="false" customHeight="true" outlineLevel="0" collapsed="false">
      <c r="A547" s="16" t="s">
        <v>287</v>
      </c>
      <c r="B547" s="17" t="n">
        <f aca="false">AVERAGE(E547:AE547)</f>
        <v>6.74074074074074</v>
      </c>
      <c r="C547" s="2" t="n">
        <f aca="false">MIN(E547:AE547)</f>
        <v>3</v>
      </c>
      <c r="D547" s="18" t="n">
        <f aca="false">MAX(E547:AE547)</f>
        <v>11</v>
      </c>
      <c r="E547" s="19" t="n">
        <v>3</v>
      </c>
      <c r="F547" s="19" t="n">
        <v>9</v>
      </c>
      <c r="G547" s="19" t="n">
        <v>4</v>
      </c>
      <c r="H547" s="19" t="n">
        <v>8</v>
      </c>
      <c r="I547" s="19" t="n">
        <v>6</v>
      </c>
      <c r="J547" s="19" t="n">
        <v>8</v>
      </c>
      <c r="K547" s="19" t="n">
        <v>7</v>
      </c>
      <c r="L547" s="19" t="n">
        <v>10</v>
      </c>
      <c r="M547" s="19" t="n">
        <v>9</v>
      </c>
      <c r="N547" s="19" t="n">
        <v>9</v>
      </c>
      <c r="O547" s="19" t="n">
        <v>8</v>
      </c>
      <c r="P547" s="19" t="n">
        <v>4</v>
      </c>
      <c r="Q547" s="19" t="n">
        <v>11</v>
      </c>
      <c r="R547" s="19" t="n">
        <v>10</v>
      </c>
      <c r="S547" s="19" t="n">
        <v>5</v>
      </c>
      <c r="T547" s="19" t="n">
        <v>10</v>
      </c>
      <c r="U547" s="19" t="n">
        <v>9</v>
      </c>
      <c r="V547" s="19" t="n">
        <v>10</v>
      </c>
      <c r="W547" s="19" t="n">
        <v>6</v>
      </c>
      <c r="X547" s="19" t="n">
        <v>9</v>
      </c>
      <c r="Y547" s="19" t="n">
        <v>4</v>
      </c>
      <c r="Z547" s="19" t="n">
        <v>3</v>
      </c>
      <c r="AA547" s="19" t="n">
        <v>4</v>
      </c>
      <c r="AB547" s="19" t="n">
        <v>5</v>
      </c>
      <c r="AC547" s="19" t="n">
        <v>4</v>
      </c>
      <c r="AD547" s="19" t="n">
        <v>3</v>
      </c>
      <c r="AE547" s="19" t="n">
        <v>4</v>
      </c>
      <c r="AF547" s="19" t="n">
        <v>2</v>
      </c>
      <c r="AG547" s="19"/>
      <c r="AH547" s="19"/>
    </row>
    <row r="548" customFormat="false" ht="12.75" hidden="false" customHeight="true" outlineLevel="0" collapsed="false">
      <c r="A548" s="16" t="s">
        <v>288</v>
      </c>
      <c r="B548" s="17" t="n">
        <f aca="false">AVERAGE(E548:AE548)</f>
        <v>7.03703703703704</v>
      </c>
      <c r="C548" s="2" t="n">
        <f aca="false">MIN(E548:AE548)</f>
        <v>3</v>
      </c>
      <c r="D548" s="18" t="n">
        <f aca="false">MAX(E548:AE548)</f>
        <v>11</v>
      </c>
      <c r="E548" s="19" t="n">
        <v>3</v>
      </c>
      <c r="F548" s="19" t="n">
        <v>9</v>
      </c>
      <c r="G548" s="19" t="n">
        <v>5</v>
      </c>
      <c r="H548" s="19" t="n">
        <v>9</v>
      </c>
      <c r="I548" s="19" t="n">
        <v>6</v>
      </c>
      <c r="J548" s="19" t="n">
        <v>8</v>
      </c>
      <c r="K548" s="19" t="n">
        <v>7</v>
      </c>
      <c r="L548" s="19" t="n">
        <v>11</v>
      </c>
      <c r="M548" s="19" t="n">
        <v>10</v>
      </c>
      <c r="N548" s="19" t="n">
        <v>9</v>
      </c>
      <c r="O548" s="19" t="n">
        <v>9</v>
      </c>
      <c r="P548" s="19" t="n">
        <v>4</v>
      </c>
      <c r="Q548" s="19" t="n">
        <v>11</v>
      </c>
      <c r="R548" s="19" t="n">
        <v>11</v>
      </c>
      <c r="S548" s="19" t="n">
        <v>6</v>
      </c>
      <c r="T548" s="19" t="n">
        <v>10</v>
      </c>
      <c r="U548" s="19" t="n">
        <v>9</v>
      </c>
      <c r="V548" s="19" t="n">
        <v>10</v>
      </c>
      <c r="W548" s="19" t="n">
        <v>6</v>
      </c>
      <c r="X548" s="19" t="n">
        <v>9</v>
      </c>
      <c r="Y548" s="19" t="n">
        <v>4</v>
      </c>
      <c r="Z548" s="19" t="n">
        <v>3</v>
      </c>
      <c r="AA548" s="19" t="n">
        <v>5</v>
      </c>
      <c r="AB548" s="19" t="n">
        <v>5</v>
      </c>
      <c r="AC548" s="19" t="n">
        <v>4</v>
      </c>
      <c r="AD548" s="19" t="n">
        <v>3</v>
      </c>
      <c r="AE548" s="19" t="n">
        <v>4</v>
      </c>
      <c r="AF548" s="19" t="n">
        <v>3</v>
      </c>
      <c r="AG548" s="19"/>
      <c r="AH548" s="19"/>
    </row>
    <row r="549" customFormat="false" ht="12.75" hidden="false" customHeight="true" outlineLevel="0" collapsed="false">
      <c r="A549" s="16" t="s">
        <v>289</v>
      </c>
      <c r="B549" s="17" t="n">
        <f aca="false">AVERAGE(E549:AE549)</f>
        <v>7.25925925925926</v>
      </c>
      <c r="C549" s="2" t="n">
        <f aca="false">MIN(E549:AE549)</f>
        <v>3</v>
      </c>
      <c r="D549" s="18" t="n">
        <f aca="false">MAX(E549:AE549)</f>
        <v>12</v>
      </c>
      <c r="E549" s="19" t="n">
        <v>3</v>
      </c>
      <c r="F549" s="19" t="n">
        <v>9</v>
      </c>
      <c r="G549" s="19" t="n">
        <v>5</v>
      </c>
      <c r="H549" s="19" t="n">
        <v>9</v>
      </c>
      <c r="I549" s="19" t="n">
        <v>6</v>
      </c>
      <c r="J549" s="19" t="n">
        <v>8</v>
      </c>
      <c r="K549" s="19" t="n">
        <v>8</v>
      </c>
      <c r="L549" s="19" t="n">
        <v>11</v>
      </c>
      <c r="M549" s="19" t="n">
        <v>10</v>
      </c>
      <c r="N549" s="19" t="n">
        <v>10</v>
      </c>
      <c r="O549" s="19" t="n">
        <v>9</v>
      </c>
      <c r="P549" s="19" t="n">
        <v>4</v>
      </c>
      <c r="Q549" s="19" t="n">
        <v>12</v>
      </c>
      <c r="R549" s="19" t="n">
        <v>11</v>
      </c>
      <c r="S549" s="19" t="n">
        <v>6</v>
      </c>
      <c r="T549" s="19" t="n">
        <v>10</v>
      </c>
      <c r="U549" s="19" t="n">
        <v>9</v>
      </c>
      <c r="V549" s="19" t="n">
        <v>10</v>
      </c>
      <c r="W549" s="19" t="n">
        <v>7</v>
      </c>
      <c r="X549" s="19" t="n">
        <v>9</v>
      </c>
      <c r="Y549" s="19" t="n">
        <v>4</v>
      </c>
      <c r="Z549" s="19" t="n">
        <v>3</v>
      </c>
      <c r="AA549" s="19" t="n">
        <v>6</v>
      </c>
      <c r="AB549" s="19" t="n">
        <v>5</v>
      </c>
      <c r="AC549" s="19" t="n">
        <v>5</v>
      </c>
      <c r="AD549" s="19" t="n">
        <v>3</v>
      </c>
      <c r="AE549" s="19" t="n">
        <v>4</v>
      </c>
      <c r="AF549" s="19" t="n">
        <v>3</v>
      </c>
      <c r="AG549" s="19"/>
      <c r="AH549" s="19"/>
    </row>
    <row r="550" customFormat="false" ht="12.75" hidden="false" customHeight="true" outlineLevel="0" collapsed="false">
      <c r="A550" s="16" t="s">
        <v>290</v>
      </c>
      <c r="B550" s="17" t="n">
        <f aca="false">AVERAGE(E550:AE550)</f>
        <v>7.48148148148148</v>
      </c>
      <c r="C550" s="2" t="n">
        <f aca="false">MIN(E550:AE550)</f>
        <v>3</v>
      </c>
      <c r="D550" s="18" t="n">
        <f aca="false">MAX(E550:AE550)</f>
        <v>12</v>
      </c>
      <c r="E550" s="19" t="n">
        <v>3</v>
      </c>
      <c r="F550" s="19" t="n">
        <v>9</v>
      </c>
      <c r="G550" s="19" t="n">
        <v>5</v>
      </c>
      <c r="H550" s="19" t="n">
        <v>9</v>
      </c>
      <c r="I550" s="19" t="n">
        <v>7</v>
      </c>
      <c r="J550" s="19" t="n">
        <v>8</v>
      </c>
      <c r="K550" s="19" t="n">
        <v>8</v>
      </c>
      <c r="L550" s="19" t="n">
        <v>11</v>
      </c>
      <c r="M550" s="19" t="n">
        <v>10</v>
      </c>
      <c r="N550" s="19" t="n">
        <v>10</v>
      </c>
      <c r="O550" s="19" t="n">
        <v>9</v>
      </c>
      <c r="P550" s="19" t="n">
        <v>4</v>
      </c>
      <c r="Q550" s="19" t="n">
        <v>12</v>
      </c>
      <c r="R550" s="19" t="n">
        <v>11</v>
      </c>
      <c r="S550" s="19" t="n">
        <v>6</v>
      </c>
      <c r="T550" s="19" t="n">
        <v>10</v>
      </c>
      <c r="U550" s="19" t="n">
        <v>10</v>
      </c>
      <c r="V550" s="19" t="n">
        <v>10</v>
      </c>
      <c r="W550" s="19" t="n">
        <v>8</v>
      </c>
      <c r="X550" s="19" t="n">
        <v>9</v>
      </c>
      <c r="Y550" s="19" t="n">
        <v>4</v>
      </c>
      <c r="Z550" s="19" t="n">
        <v>3</v>
      </c>
      <c r="AA550" s="19" t="n">
        <v>7</v>
      </c>
      <c r="AB550" s="19" t="n">
        <v>5</v>
      </c>
      <c r="AC550" s="19" t="n">
        <v>6</v>
      </c>
      <c r="AD550" s="19" t="n">
        <v>3</v>
      </c>
      <c r="AE550" s="19" t="n">
        <v>5</v>
      </c>
      <c r="AF550" s="19" t="n">
        <v>3</v>
      </c>
      <c r="AG550" s="19"/>
      <c r="AH550" s="19"/>
    </row>
    <row r="551" customFormat="false" ht="12.75" hidden="false" customHeight="true" outlineLevel="0" collapsed="false">
      <c r="A551" s="16" t="s">
        <v>291</v>
      </c>
      <c r="B551" s="17" t="n">
        <f aca="false">AVERAGE(E551:AE551)</f>
        <v>7.55555555555556</v>
      </c>
      <c r="C551" s="2" t="n">
        <f aca="false">MIN(E551:AE551)</f>
        <v>3</v>
      </c>
      <c r="D551" s="18" t="n">
        <f aca="false">MAX(E551:AE551)</f>
        <v>12</v>
      </c>
      <c r="E551" s="19" t="n">
        <v>3</v>
      </c>
      <c r="F551" s="19" t="n">
        <v>9</v>
      </c>
      <c r="G551" s="19" t="n">
        <v>5</v>
      </c>
      <c r="H551" s="19" t="n">
        <v>9</v>
      </c>
      <c r="I551" s="19" t="n">
        <v>7</v>
      </c>
      <c r="J551" s="19" t="n">
        <v>8</v>
      </c>
      <c r="K551" s="19" t="n">
        <v>8</v>
      </c>
      <c r="L551" s="19" t="n">
        <v>11</v>
      </c>
      <c r="M551" s="19" t="n">
        <v>10</v>
      </c>
      <c r="N551" s="19" t="n">
        <v>10</v>
      </c>
      <c r="O551" s="19" t="n">
        <v>9</v>
      </c>
      <c r="P551" s="19" t="n">
        <v>4</v>
      </c>
      <c r="Q551" s="19" t="n">
        <v>12</v>
      </c>
      <c r="R551" s="19" t="n">
        <v>11</v>
      </c>
      <c r="S551" s="19" t="n">
        <v>6</v>
      </c>
      <c r="T551" s="19" t="n">
        <v>10</v>
      </c>
      <c r="U551" s="19" t="n">
        <v>10</v>
      </c>
      <c r="V551" s="19" t="n">
        <v>10</v>
      </c>
      <c r="W551" s="19" t="n">
        <v>8</v>
      </c>
      <c r="X551" s="19" t="n">
        <v>9</v>
      </c>
      <c r="Y551" s="19" t="n">
        <v>4</v>
      </c>
      <c r="Z551" s="19" t="n">
        <v>3</v>
      </c>
      <c r="AA551" s="19" t="n">
        <v>8</v>
      </c>
      <c r="AB551" s="19" t="n">
        <v>6</v>
      </c>
      <c r="AC551" s="19" t="n">
        <v>6</v>
      </c>
      <c r="AD551" s="19" t="n">
        <v>3</v>
      </c>
      <c r="AE551" s="19" t="n">
        <v>5</v>
      </c>
      <c r="AF551" s="19" t="n">
        <v>3</v>
      </c>
      <c r="AG551" s="19"/>
      <c r="AH551" s="19"/>
    </row>
    <row r="552" customFormat="false" ht="12.75" hidden="false" customHeight="true" outlineLevel="0" collapsed="false">
      <c r="A552" s="16" t="s">
        <v>292</v>
      </c>
      <c r="B552" s="17" t="n">
        <f aca="false">AVERAGE(E552:AE552)</f>
        <v>7.7037037037037</v>
      </c>
      <c r="C552" s="2" t="n">
        <f aca="false">MIN(E552:AE552)</f>
        <v>3</v>
      </c>
      <c r="D552" s="18" t="n">
        <f aca="false">MAX(E552:AE552)</f>
        <v>12</v>
      </c>
      <c r="E552" s="19" t="n">
        <v>3</v>
      </c>
      <c r="F552" s="19" t="n">
        <v>9</v>
      </c>
      <c r="G552" s="19" t="n">
        <v>5</v>
      </c>
      <c r="H552" s="19" t="n">
        <v>9</v>
      </c>
      <c r="I552" s="19" t="n">
        <v>7</v>
      </c>
      <c r="J552" s="19" t="n">
        <v>8</v>
      </c>
      <c r="K552" s="19" t="n">
        <v>9</v>
      </c>
      <c r="L552" s="19" t="n">
        <v>11</v>
      </c>
      <c r="M552" s="19" t="n">
        <v>10</v>
      </c>
      <c r="N552" s="19" t="n">
        <v>11</v>
      </c>
      <c r="O552" s="19" t="n">
        <v>9</v>
      </c>
      <c r="P552" s="19" t="n">
        <v>4</v>
      </c>
      <c r="Q552" s="19" t="n">
        <v>12</v>
      </c>
      <c r="R552" s="19" t="n">
        <v>11</v>
      </c>
      <c r="S552" s="19" t="n">
        <v>6</v>
      </c>
      <c r="T552" s="19" t="n">
        <v>11</v>
      </c>
      <c r="U552" s="19" t="n">
        <v>10</v>
      </c>
      <c r="V552" s="19" t="n">
        <v>11</v>
      </c>
      <c r="W552" s="19" t="n">
        <v>8</v>
      </c>
      <c r="X552" s="19" t="n">
        <v>9</v>
      </c>
      <c r="Y552" s="19" t="n">
        <v>4</v>
      </c>
      <c r="Z552" s="19" t="n">
        <v>3</v>
      </c>
      <c r="AA552" s="19" t="n">
        <v>8</v>
      </c>
      <c r="AB552" s="19" t="n">
        <v>6</v>
      </c>
      <c r="AC552" s="19" t="n">
        <v>6</v>
      </c>
      <c r="AD552" s="19" t="n">
        <v>3</v>
      </c>
      <c r="AE552" s="19" t="n">
        <v>5</v>
      </c>
      <c r="AF552" s="19" t="n">
        <v>3</v>
      </c>
      <c r="AG552" s="19"/>
      <c r="AH552" s="19"/>
    </row>
    <row r="553" customFormat="false" ht="12.75" hidden="false" customHeight="true" outlineLevel="0" collapsed="false">
      <c r="A553" s="16" t="s">
        <v>293</v>
      </c>
      <c r="B553" s="17" t="n">
        <f aca="false">AVERAGE(E553:AE553)</f>
        <v>7.77777777777778</v>
      </c>
      <c r="C553" s="2" t="n">
        <f aca="false">MIN(E553:AE553)</f>
        <v>3</v>
      </c>
      <c r="D553" s="18" t="n">
        <f aca="false">MAX(E553:AE553)</f>
        <v>12</v>
      </c>
      <c r="E553" s="19" t="n">
        <v>3</v>
      </c>
      <c r="F553" s="19" t="n">
        <v>9</v>
      </c>
      <c r="G553" s="19" t="n">
        <v>5</v>
      </c>
      <c r="H553" s="19" t="n">
        <v>9</v>
      </c>
      <c r="I553" s="19" t="n">
        <v>7</v>
      </c>
      <c r="J553" s="19" t="n">
        <v>8</v>
      </c>
      <c r="K553" s="19" t="n">
        <v>9</v>
      </c>
      <c r="L553" s="19" t="n">
        <v>11</v>
      </c>
      <c r="M553" s="19" t="n">
        <v>10</v>
      </c>
      <c r="N553" s="19" t="n">
        <v>11</v>
      </c>
      <c r="O553" s="19" t="n">
        <v>9</v>
      </c>
      <c r="P553" s="19" t="n">
        <v>4</v>
      </c>
      <c r="Q553" s="19" t="n">
        <v>12</v>
      </c>
      <c r="R553" s="19" t="n">
        <v>11</v>
      </c>
      <c r="S553" s="19" t="n">
        <v>6</v>
      </c>
      <c r="T553" s="19" t="n">
        <v>11</v>
      </c>
      <c r="U553" s="19" t="n">
        <v>10</v>
      </c>
      <c r="V553" s="19" t="n">
        <v>11</v>
      </c>
      <c r="W553" s="19" t="n">
        <v>8</v>
      </c>
      <c r="X553" s="19" t="n">
        <v>9</v>
      </c>
      <c r="Y553" s="19" t="n">
        <v>4</v>
      </c>
      <c r="Z553" s="19" t="n">
        <v>3</v>
      </c>
      <c r="AA553" s="19" t="n">
        <v>8</v>
      </c>
      <c r="AB553" s="19" t="n">
        <v>6</v>
      </c>
      <c r="AC553" s="19" t="n">
        <v>7</v>
      </c>
      <c r="AD553" s="19" t="n">
        <v>4</v>
      </c>
      <c r="AE553" s="19" t="n">
        <v>5</v>
      </c>
      <c r="AF553" s="19" t="n">
        <v>3</v>
      </c>
      <c r="AG553" s="19"/>
      <c r="AH553" s="19"/>
    </row>
    <row r="554" customFormat="false" ht="12.75" hidden="false" customHeight="true" outlineLevel="0" collapsed="false">
      <c r="A554" s="16" t="s">
        <v>294</v>
      </c>
      <c r="B554" s="17" t="n">
        <f aca="false">AVERAGE(E554:AE554)</f>
        <v>8</v>
      </c>
      <c r="C554" s="2" t="n">
        <f aca="false">MIN(E554:AE554)</f>
        <v>4</v>
      </c>
      <c r="D554" s="18" t="n">
        <f aca="false">MAX(E554:AE554)</f>
        <v>12</v>
      </c>
      <c r="E554" s="19" t="n">
        <v>4</v>
      </c>
      <c r="F554" s="19" t="n">
        <v>9</v>
      </c>
      <c r="G554" s="19" t="n">
        <v>5</v>
      </c>
      <c r="H554" s="19" t="n">
        <v>9</v>
      </c>
      <c r="I554" s="19" t="n">
        <v>7</v>
      </c>
      <c r="J554" s="19" t="n">
        <v>8</v>
      </c>
      <c r="K554" s="19" t="n">
        <v>9</v>
      </c>
      <c r="L554" s="19" t="n">
        <v>12</v>
      </c>
      <c r="M554" s="19" t="n">
        <v>10</v>
      </c>
      <c r="N554" s="19" t="n">
        <v>11</v>
      </c>
      <c r="O554" s="19" t="n">
        <v>9</v>
      </c>
      <c r="P554" s="19" t="n">
        <v>4</v>
      </c>
      <c r="Q554" s="19" t="n">
        <v>12</v>
      </c>
      <c r="R554" s="19" t="n">
        <v>11</v>
      </c>
      <c r="S554" s="19" t="n">
        <v>6</v>
      </c>
      <c r="T554" s="19" t="n">
        <v>11</v>
      </c>
      <c r="U554" s="19" t="n">
        <v>10</v>
      </c>
      <c r="V554" s="19" t="n">
        <v>11</v>
      </c>
      <c r="W554" s="19" t="n">
        <v>8</v>
      </c>
      <c r="X554" s="19" t="n">
        <v>9</v>
      </c>
      <c r="Y554" s="19" t="n">
        <v>4</v>
      </c>
      <c r="Z554" s="19" t="n">
        <v>4</v>
      </c>
      <c r="AA554" s="19" t="n">
        <v>8</v>
      </c>
      <c r="AB554" s="19" t="n">
        <v>7</v>
      </c>
      <c r="AC554" s="19" t="n">
        <v>8</v>
      </c>
      <c r="AD554" s="19" t="n">
        <v>5</v>
      </c>
      <c r="AE554" s="19" t="n">
        <v>5</v>
      </c>
      <c r="AF554" s="19" t="n">
        <v>3</v>
      </c>
      <c r="AG554" s="19"/>
      <c r="AH554" s="19"/>
    </row>
    <row r="555" customFormat="false" ht="12.75" hidden="false" customHeight="true" outlineLevel="0" collapsed="false">
      <c r="A555" s="16" t="s">
        <v>295</v>
      </c>
      <c r="B555" s="17" t="n">
        <f aca="false">AVERAGE(E555:AE555)</f>
        <v>8.18518518518519</v>
      </c>
      <c r="C555" s="2" t="n">
        <f aca="false">MIN(E555:AE555)</f>
        <v>4</v>
      </c>
      <c r="D555" s="18" t="n">
        <f aca="false">MAX(E555:AE555)</f>
        <v>12</v>
      </c>
      <c r="E555" s="19" t="n">
        <v>4</v>
      </c>
      <c r="F555" s="19" t="n">
        <v>9</v>
      </c>
      <c r="G555" s="19" t="n">
        <v>5</v>
      </c>
      <c r="H555" s="19" t="n">
        <v>9</v>
      </c>
      <c r="I555" s="19" t="n">
        <v>7</v>
      </c>
      <c r="J555" s="19" t="n">
        <v>8</v>
      </c>
      <c r="K555" s="19" t="n">
        <v>9</v>
      </c>
      <c r="L555" s="19" t="n">
        <v>12</v>
      </c>
      <c r="M555" s="19" t="n">
        <v>10</v>
      </c>
      <c r="N555" s="19" t="n">
        <v>11</v>
      </c>
      <c r="O555" s="19" t="n">
        <v>9</v>
      </c>
      <c r="P555" s="19" t="n">
        <v>4</v>
      </c>
      <c r="Q555" s="19" t="n">
        <v>12</v>
      </c>
      <c r="R555" s="19" t="n">
        <v>11</v>
      </c>
      <c r="S555" s="19" t="n">
        <v>6</v>
      </c>
      <c r="T555" s="19" t="n">
        <v>11</v>
      </c>
      <c r="U555" s="19" t="n">
        <v>10</v>
      </c>
      <c r="V555" s="19" t="n">
        <v>12</v>
      </c>
      <c r="W555" s="19" t="n">
        <v>9</v>
      </c>
      <c r="X555" s="19" t="n">
        <v>9</v>
      </c>
      <c r="Y555" s="19" t="n">
        <v>4</v>
      </c>
      <c r="Z555" s="19" t="n">
        <v>5</v>
      </c>
      <c r="AA555" s="19" t="n">
        <v>8</v>
      </c>
      <c r="AB555" s="19" t="n">
        <v>8</v>
      </c>
      <c r="AC555" s="19" t="n">
        <v>8</v>
      </c>
      <c r="AD555" s="19" t="n">
        <v>6</v>
      </c>
      <c r="AE555" s="19" t="n">
        <v>5</v>
      </c>
      <c r="AF555" s="19" t="n">
        <v>4</v>
      </c>
      <c r="AG555" s="19"/>
      <c r="AH555" s="19"/>
    </row>
    <row r="556" customFormat="false" ht="12.75" hidden="false" customHeight="true" outlineLevel="0" collapsed="false">
      <c r="A556" s="16" t="s">
        <v>296</v>
      </c>
      <c r="B556" s="17" t="n">
        <f aca="false">AVERAGE(E556:AE556)</f>
        <v>8.22222222222222</v>
      </c>
      <c r="C556" s="2" t="n">
        <f aca="false">MIN(E556:AE556)</f>
        <v>4</v>
      </c>
      <c r="D556" s="18" t="n">
        <f aca="false">MAX(E556:AE556)</f>
        <v>12</v>
      </c>
      <c r="E556" s="19" t="n">
        <v>4</v>
      </c>
      <c r="F556" s="19" t="n">
        <v>9</v>
      </c>
      <c r="G556" s="19" t="n">
        <v>5</v>
      </c>
      <c r="H556" s="19" t="n">
        <v>9</v>
      </c>
      <c r="I556" s="19" t="n">
        <v>7</v>
      </c>
      <c r="J556" s="19" t="n">
        <v>8</v>
      </c>
      <c r="K556" s="19" t="n">
        <v>9</v>
      </c>
      <c r="L556" s="19" t="n">
        <v>12</v>
      </c>
      <c r="M556" s="19" t="n">
        <v>10</v>
      </c>
      <c r="N556" s="19" t="n">
        <v>11</v>
      </c>
      <c r="O556" s="19" t="n">
        <v>9</v>
      </c>
      <c r="P556" s="19" t="n">
        <v>4</v>
      </c>
      <c r="Q556" s="19" t="n">
        <v>12</v>
      </c>
      <c r="R556" s="19" t="n">
        <v>11</v>
      </c>
      <c r="S556" s="19" t="n">
        <v>6</v>
      </c>
      <c r="T556" s="19" t="n">
        <v>11</v>
      </c>
      <c r="U556" s="19" t="n">
        <v>10</v>
      </c>
      <c r="V556" s="19" t="n">
        <v>12</v>
      </c>
      <c r="W556" s="19" t="n">
        <v>9</v>
      </c>
      <c r="X556" s="19" t="n">
        <v>9</v>
      </c>
      <c r="Y556" s="19" t="n">
        <v>4</v>
      </c>
      <c r="Z556" s="19" t="n">
        <v>5</v>
      </c>
      <c r="AA556" s="19" t="n">
        <v>9</v>
      </c>
      <c r="AB556" s="19" t="n">
        <v>8</v>
      </c>
      <c r="AC556" s="19" t="n">
        <v>8</v>
      </c>
      <c r="AD556" s="19" t="n">
        <v>6</v>
      </c>
      <c r="AE556" s="19" t="n">
        <v>5</v>
      </c>
      <c r="AF556" s="19" t="n">
        <v>5</v>
      </c>
      <c r="AG556" s="19"/>
      <c r="AH556" s="19"/>
    </row>
    <row r="557" customFormat="false" ht="12.75" hidden="false" customHeight="true" outlineLevel="0" collapsed="false">
      <c r="A557" s="16" t="s">
        <v>297</v>
      </c>
      <c r="B557" s="17" t="n">
        <f aca="false">AVERAGE(E557:AE557)</f>
        <v>8.51851851851852</v>
      </c>
      <c r="C557" s="2" t="n">
        <f aca="false">MIN(E557:AE557)</f>
        <v>4</v>
      </c>
      <c r="D557" s="18" t="n">
        <f aca="false">MAX(E557:AE557)</f>
        <v>12</v>
      </c>
      <c r="E557" s="19" t="n">
        <v>5</v>
      </c>
      <c r="F557" s="19" t="n">
        <v>9</v>
      </c>
      <c r="G557" s="19" t="n">
        <v>6</v>
      </c>
      <c r="H557" s="19" t="n">
        <v>9</v>
      </c>
      <c r="I557" s="19" t="n">
        <v>8</v>
      </c>
      <c r="J557" s="19" t="n">
        <v>8</v>
      </c>
      <c r="K557" s="19" t="n">
        <v>9</v>
      </c>
      <c r="L557" s="19" t="n">
        <v>12</v>
      </c>
      <c r="M557" s="19" t="n">
        <v>10</v>
      </c>
      <c r="N557" s="19" t="n">
        <v>11</v>
      </c>
      <c r="O557" s="19" t="n">
        <v>10</v>
      </c>
      <c r="P557" s="19" t="n">
        <v>4</v>
      </c>
      <c r="Q557" s="19" t="n">
        <v>12</v>
      </c>
      <c r="R557" s="19" t="n">
        <v>12</v>
      </c>
      <c r="S557" s="19" t="n">
        <v>6</v>
      </c>
      <c r="T557" s="19" t="n">
        <v>11</v>
      </c>
      <c r="U557" s="19" t="n">
        <v>10</v>
      </c>
      <c r="V557" s="19" t="n">
        <v>12</v>
      </c>
      <c r="W557" s="19" t="n">
        <v>10</v>
      </c>
      <c r="X557" s="19" t="n">
        <v>9</v>
      </c>
      <c r="Y557" s="19" t="n">
        <v>4</v>
      </c>
      <c r="Z557" s="19" t="n">
        <v>5</v>
      </c>
      <c r="AA557" s="19" t="n">
        <v>10</v>
      </c>
      <c r="AB557" s="19" t="n">
        <v>8</v>
      </c>
      <c r="AC557" s="19" t="n">
        <v>8</v>
      </c>
      <c r="AD557" s="19" t="n">
        <v>7</v>
      </c>
      <c r="AE557" s="19" t="n">
        <v>5</v>
      </c>
      <c r="AF557" s="19" t="n">
        <v>5</v>
      </c>
      <c r="AG557" s="19"/>
      <c r="AH557" s="19"/>
    </row>
    <row r="558" customFormat="false" ht="12.75" hidden="false" customHeight="true" outlineLevel="0" collapsed="false">
      <c r="A558" s="16" t="s">
        <v>298</v>
      </c>
      <c r="B558" s="17" t="n">
        <f aca="false">AVERAGE(E558:AE558)</f>
        <v>8.7037037037037</v>
      </c>
      <c r="C558" s="2" t="n">
        <f aca="false">MIN(E558:AE558)</f>
        <v>4</v>
      </c>
      <c r="D558" s="18" t="n">
        <f aca="false">MAX(E558:AE558)</f>
        <v>13</v>
      </c>
      <c r="E558" s="19" t="n">
        <v>5</v>
      </c>
      <c r="F558" s="19" t="n">
        <v>9</v>
      </c>
      <c r="G558" s="19" t="n">
        <v>6</v>
      </c>
      <c r="H558" s="19" t="n">
        <v>9</v>
      </c>
      <c r="I558" s="19" t="n">
        <v>9</v>
      </c>
      <c r="J558" s="19" t="n">
        <v>9</v>
      </c>
      <c r="K558" s="19" t="n">
        <v>10</v>
      </c>
      <c r="L558" s="19" t="n">
        <v>12</v>
      </c>
      <c r="M558" s="19" t="n">
        <v>10</v>
      </c>
      <c r="N558" s="19" t="n">
        <v>11</v>
      </c>
      <c r="O558" s="19" t="n">
        <v>10</v>
      </c>
      <c r="P558" s="19" t="n">
        <v>4</v>
      </c>
      <c r="Q558" s="19" t="n">
        <v>12</v>
      </c>
      <c r="R558" s="2" t="n">
        <v>13</v>
      </c>
      <c r="S558" s="19" t="n">
        <v>6</v>
      </c>
      <c r="T558" s="19" t="n">
        <v>11</v>
      </c>
      <c r="U558" s="19" t="n">
        <v>10</v>
      </c>
      <c r="V558" s="19" t="n">
        <v>12</v>
      </c>
      <c r="W558" s="19" t="n">
        <v>10</v>
      </c>
      <c r="X558" s="19" t="n">
        <v>9</v>
      </c>
      <c r="Y558" s="19" t="n">
        <v>4</v>
      </c>
      <c r="Z558" s="19" t="n">
        <v>5</v>
      </c>
      <c r="AA558" s="19" t="n">
        <v>10</v>
      </c>
      <c r="AB558" s="19" t="n">
        <v>9</v>
      </c>
      <c r="AC558" s="19" t="n">
        <v>8</v>
      </c>
      <c r="AD558" s="19" t="n">
        <v>7</v>
      </c>
      <c r="AE558" s="19" t="n">
        <v>5</v>
      </c>
      <c r="AF558" s="19" t="n">
        <v>6</v>
      </c>
      <c r="AG558" s="19"/>
      <c r="AH558" s="19"/>
    </row>
    <row r="559" customFormat="false" ht="12.75" hidden="false" customHeight="true" outlineLevel="0" collapsed="false">
      <c r="A559" s="16" t="s">
        <v>299</v>
      </c>
      <c r="B559" s="17" t="n">
        <f aca="false">AVERAGE(E559:AE559)</f>
        <v>8.81481481481482</v>
      </c>
      <c r="C559" s="2" t="n">
        <f aca="false">MIN(E559:AE559)</f>
        <v>4</v>
      </c>
      <c r="D559" s="18" t="n">
        <f aca="false">MAX(E559:AE559)</f>
        <v>14</v>
      </c>
      <c r="E559" s="19" t="n">
        <v>5</v>
      </c>
      <c r="F559" s="19" t="n">
        <v>9</v>
      </c>
      <c r="G559" s="19" t="n">
        <v>6</v>
      </c>
      <c r="H559" s="19" t="n">
        <v>9</v>
      </c>
      <c r="I559" s="19" t="n">
        <v>9</v>
      </c>
      <c r="J559" s="19" t="n">
        <v>10</v>
      </c>
      <c r="K559" s="19" t="n">
        <v>10</v>
      </c>
      <c r="L559" s="19" t="n">
        <v>12</v>
      </c>
      <c r="M559" s="19" t="n">
        <v>10</v>
      </c>
      <c r="N559" s="19" t="n">
        <v>11</v>
      </c>
      <c r="O559" s="19" t="n">
        <v>10</v>
      </c>
      <c r="P559" s="19" t="n">
        <v>4</v>
      </c>
      <c r="Q559" s="19" t="n">
        <v>12</v>
      </c>
      <c r="R559" s="19" t="n">
        <v>14</v>
      </c>
      <c r="S559" s="19" t="n">
        <v>6</v>
      </c>
      <c r="T559" s="19" t="n">
        <v>11</v>
      </c>
      <c r="U559" s="19" t="n">
        <v>10</v>
      </c>
      <c r="V559" s="19" t="n">
        <v>12</v>
      </c>
      <c r="W559" s="19" t="n">
        <v>10</v>
      </c>
      <c r="X559" s="19" t="n">
        <v>9</v>
      </c>
      <c r="Y559" s="19" t="n">
        <v>4</v>
      </c>
      <c r="Z559" s="19" t="n">
        <v>6</v>
      </c>
      <c r="AA559" s="19" t="n">
        <v>10</v>
      </c>
      <c r="AB559" s="19" t="n">
        <v>9</v>
      </c>
      <c r="AC559" s="19" t="n">
        <v>8</v>
      </c>
      <c r="AD559" s="19" t="n">
        <v>7</v>
      </c>
      <c r="AE559" s="19" t="n">
        <v>5</v>
      </c>
      <c r="AF559" s="19" t="n">
        <v>6</v>
      </c>
      <c r="AG559" s="19"/>
      <c r="AH559" s="19"/>
    </row>
    <row r="560" customFormat="false" ht="12.75" hidden="false" customHeight="true" outlineLevel="0" collapsed="false">
      <c r="A560" s="16" t="s">
        <v>300</v>
      </c>
      <c r="B560" s="17" t="n">
        <f aca="false">AVERAGE(E560:AE560)</f>
        <v>9</v>
      </c>
      <c r="C560" s="2" t="n">
        <f aca="false">MIN(E560:AE560)</f>
        <v>4</v>
      </c>
      <c r="D560" s="18" t="n">
        <f aca="false">MAX(E560:AE560)</f>
        <v>15</v>
      </c>
      <c r="E560" s="19" t="n">
        <v>5</v>
      </c>
      <c r="F560" s="19" t="n">
        <v>9</v>
      </c>
      <c r="G560" s="19" t="n">
        <v>6</v>
      </c>
      <c r="H560" s="19" t="n">
        <v>9</v>
      </c>
      <c r="I560" s="19" t="n">
        <v>9</v>
      </c>
      <c r="J560" s="19" t="n">
        <v>11</v>
      </c>
      <c r="K560" s="19" t="n">
        <v>10</v>
      </c>
      <c r="L560" s="19" t="n">
        <v>12</v>
      </c>
      <c r="M560" s="19" t="n">
        <v>10</v>
      </c>
      <c r="N560" s="19" t="n">
        <v>12</v>
      </c>
      <c r="O560" s="19" t="n">
        <v>11</v>
      </c>
      <c r="P560" s="19" t="n">
        <v>4</v>
      </c>
      <c r="Q560" s="19" t="n">
        <v>12</v>
      </c>
      <c r="R560" s="19" t="n">
        <v>15</v>
      </c>
      <c r="S560" s="19" t="n">
        <v>6</v>
      </c>
      <c r="T560" s="19" t="n">
        <v>11</v>
      </c>
      <c r="U560" s="19" t="n">
        <v>10</v>
      </c>
      <c r="V560" s="19" t="n">
        <v>13</v>
      </c>
      <c r="W560" s="19" t="n">
        <v>10</v>
      </c>
      <c r="X560" s="19" t="n">
        <v>9</v>
      </c>
      <c r="Y560" s="19" t="n">
        <v>4</v>
      </c>
      <c r="Z560" s="19" t="n">
        <v>6</v>
      </c>
      <c r="AA560" s="19" t="n">
        <v>10</v>
      </c>
      <c r="AB560" s="19" t="n">
        <v>9</v>
      </c>
      <c r="AC560" s="19" t="n">
        <v>8</v>
      </c>
      <c r="AD560" s="19" t="n">
        <v>7</v>
      </c>
      <c r="AE560" s="19" t="n">
        <v>5</v>
      </c>
      <c r="AF560" s="19" t="n">
        <v>6</v>
      </c>
      <c r="AG560" s="19"/>
      <c r="AH560" s="19"/>
    </row>
    <row r="561" customFormat="false" ht="12.75" hidden="false" customHeight="true" outlineLevel="0" collapsed="false">
      <c r="A561" s="16" t="s">
        <v>301</v>
      </c>
      <c r="B561" s="17" t="n">
        <f aca="false">AVERAGE(E561:AE561)</f>
        <v>9.11111111111111</v>
      </c>
      <c r="C561" s="2" t="n">
        <f aca="false">MIN(E561:AE561)</f>
        <v>4</v>
      </c>
      <c r="D561" s="18" t="n">
        <f aca="false">MAX(E561:AE561)</f>
        <v>15</v>
      </c>
      <c r="E561" s="19" t="n">
        <v>5</v>
      </c>
      <c r="F561" s="19" t="n">
        <v>10</v>
      </c>
      <c r="G561" s="19" t="n">
        <v>6</v>
      </c>
      <c r="H561" s="19" t="n">
        <v>9</v>
      </c>
      <c r="I561" s="19" t="n">
        <v>10</v>
      </c>
      <c r="J561" s="19" t="n">
        <v>11</v>
      </c>
      <c r="K561" s="19" t="n">
        <v>10</v>
      </c>
      <c r="L561" s="19" t="n">
        <v>12</v>
      </c>
      <c r="M561" s="19" t="n">
        <v>10</v>
      </c>
      <c r="N561" s="19" t="n">
        <v>12</v>
      </c>
      <c r="O561" s="19" t="n">
        <v>12</v>
      </c>
      <c r="P561" s="19" t="n">
        <v>4</v>
      </c>
      <c r="Q561" s="19" t="n">
        <v>12</v>
      </c>
      <c r="R561" s="19" t="n">
        <v>15</v>
      </c>
      <c r="S561" s="19" t="n">
        <v>6</v>
      </c>
      <c r="T561" s="19" t="n">
        <v>11</v>
      </c>
      <c r="U561" s="19" t="n">
        <v>10</v>
      </c>
      <c r="V561" s="19" t="n">
        <v>13</v>
      </c>
      <c r="W561" s="19" t="n">
        <v>10</v>
      </c>
      <c r="X561" s="19" t="n">
        <v>9</v>
      </c>
      <c r="Y561" s="19" t="n">
        <v>4</v>
      </c>
      <c r="Z561" s="19" t="n">
        <v>6</v>
      </c>
      <c r="AA561" s="19" t="n">
        <v>10</v>
      </c>
      <c r="AB561" s="19" t="n">
        <v>9</v>
      </c>
      <c r="AC561" s="19" t="n">
        <v>8</v>
      </c>
      <c r="AD561" s="19" t="n">
        <v>7</v>
      </c>
      <c r="AE561" s="19" t="n">
        <v>5</v>
      </c>
      <c r="AF561" s="19" t="n">
        <v>6</v>
      </c>
      <c r="AG561" s="19"/>
      <c r="AH561" s="19"/>
    </row>
    <row r="562" customFormat="false" ht="12.75" hidden="false" customHeight="true" outlineLevel="0" collapsed="false">
      <c r="A562" s="16" t="s">
        <v>302</v>
      </c>
      <c r="B562" s="17" t="n">
        <f aca="false">AVERAGE(E562:AE562)</f>
        <v>9.22222222222222</v>
      </c>
      <c r="C562" s="2" t="n">
        <f aca="false">MIN(E562:AE562)</f>
        <v>4</v>
      </c>
      <c r="D562" s="18" t="n">
        <f aca="false">MAX(E562:AE562)</f>
        <v>16</v>
      </c>
      <c r="E562" s="19" t="n">
        <v>6</v>
      </c>
      <c r="F562" s="19" t="n">
        <v>10</v>
      </c>
      <c r="G562" s="19" t="n">
        <v>6</v>
      </c>
      <c r="H562" s="19" t="n">
        <v>9</v>
      </c>
      <c r="I562" s="19" t="n">
        <v>10</v>
      </c>
      <c r="J562" s="19" t="n">
        <v>11</v>
      </c>
      <c r="K562" s="19" t="n">
        <v>10</v>
      </c>
      <c r="L562" s="19" t="n">
        <v>12</v>
      </c>
      <c r="M562" s="19" t="n">
        <v>10</v>
      </c>
      <c r="N562" s="19" t="n">
        <v>12</v>
      </c>
      <c r="O562" s="19" t="n">
        <v>12</v>
      </c>
      <c r="P562" s="19" t="n">
        <v>4</v>
      </c>
      <c r="Q562" s="19" t="n">
        <v>12</v>
      </c>
      <c r="R562" s="19" t="n">
        <v>16</v>
      </c>
      <c r="S562" s="19" t="n">
        <v>6</v>
      </c>
      <c r="T562" s="19" t="n">
        <v>12</v>
      </c>
      <c r="U562" s="19" t="n">
        <v>10</v>
      </c>
      <c r="V562" s="19" t="n">
        <v>13</v>
      </c>
      <c r="W562" s="19" t="n">
        <v>10</v>
      </c>
      <c r="X562" s="19" t="n">
        <v>9</v>
      </c>
      <c r="Y562" s="19" t="n">
        <v>4</v>
      </c>
      <c r="Z562" s="19" t="n">
        <v>6</v>
      </c>
      <c r="AA562" s="19" t="n">
        <v>10</v>
      </c>
      <c r="AB562" s="19" t="n">
        <v>9</v>
      </c>
      <c r="AC562" s="19" t="n">
        <v>8</v>
      </c>
      <c r="AD562" s="19" t="n">
        <v>7</v>
      </c>
      <c r="AE562" s="19" t="n">
        <v>5</v>
      </c>
      <c r="AF562" s="19" t="n">
        <v>6</v>
      </c>
      <c r="AG562" s="19"/>
      <c r="AH562" s="19"/>
    </row>
    <row r="563" customFormat="false" ht="12.75" hidden="false" customHeight="true" outlineLevel="0" collapsed="false">
      <c r="A563" s="16" t="s">
        <v>303</v>
      </c>
      <c r="B563" s="17" t="n">
        <f aca="false">AVERAGE(E563:AE563)</f>
        <v>9.44444444444445</v>
      </c>
      <c r="C563" s="2" t="n">
        <f aca="false">MIN(E563:AE563)</f>
        <v>4</v>
      </c>
      <c r="D563" s="18" t="n">
        <f aca="false">MAX(E563:AE563)</f>
        <v>16</v>
      </c>
      <c r="E563" s="19" t="n">
        <v>7</v>
      </c>
      <c r="F563" s="19" t="n">
        <v>10</v>
      </c>
      <c r="G563" s="19" t="n">
        <v>6</v>
      </c>
      <c r="H563" s="19" t="n">
        <v>10</v>
      </c>
      <c r="I563" s="19" t="n">
        <v>10</v>
      </c>
      <c r="J563" s="19" t="n">
        <v>11</v>
      </c>
      <c r="K563" s="19" t="n">
        <v>10</v>
      </c>
      <c r="L563" s="19" t="n">
        <v>13</v>
      </c>
      <c r="M563" s="19" t="n">
        <v>10</v>
      </c>
      <c r="N563" s="19" t="n">
        <v>12</v>
      </c>
      <c r="O563" s="19" t="n">
        <v>12</v>
      </c>
      <c r="P563" s="19" t="n">
        <v>4</v>
      </c>
      <c r="Q563" s="19" t="n">
        <v>12</v>
      </c>
      <c r="R563" s="19" t="n">
        <v>16</v>
      </c>
      <c r="S563" s="19" t="n">
        <v>6</v>
      </c>
      <c r="T563" s="19" t="n">
        <v>12</v>
      </c>
      <c r="U563" s="19" t="n">
        <v>11</v>
      </c>
      <c r="V563" s="19" t="n">
        <v>13</v>
      </c>
      <c r="W563" s="19" t="n">
        <v>11</v>
      </c>
      <c r="X563" s="19" t="n">
        <v>9</v>
      </c>
      <c r="Y563" s="19" t="n">
        <v>4</v>
      </c>
      <c r="Z563" s="19" t="n">
        <v>6</v>
      </c>
      <c r="AA563" s="19" t="n">
        <v>10</v>
      </c>
      <c r="AB563" s="19" t="n">
        <v>9</v>
      </c>
      <c r="AC563" s="19" t="n">
        <v>8</v>
      </c>
      <c r="AD563" s="19" t="n">
        <v>8</v>
      </c>
      <c r="AE563" s="19" t="n">
        <v>5</v>
      </c>
      <c r="AF563" s="19" t="n">
        <v>6</v>
      </c>
      <c r="AG563" s="19"/>
      <c r="AH563" s="19"/>
    </row>
    <row r="564" customFormat="false" ht="12.75" hidden="false" customHeight="true" outlineLevel="0" collapsed="false">
      <c r="A564" s="16" t="s">
        <v>304</v>
      </c>
      <c r="B564" s="17" t="n">
        <f aca="false">AVERAGE(E564:AE564)</f>
        <v>9.59259259259259</v>
      </c>
      <c r="C564" s="2" t="n">
        <f aca="false">MIN(E564:AE564)</f>
        <v>4</v>
      </c>
      <c r="D564" s="18" t="n">
        <f aca="false">MAX(E564:AE564)</f>
        <v>16</v>
      </c>
      <c r="E564" s="19" t="n">
        <v>7</v>
      </c>
      <c r="F564" s="19" t="n">
        <v>10</v>
      </c>
      <c r="G564" s="19" t="n">
        <v>7</v>
      </c>
      <c r="H564" s="19" t="n">
        <v>10</v>
      </c>
      <c r="I564" s="19" t="n">
        <v>10</v>
      </c>
      <c r="J564" s="19" t="n">
        <v>11</v>
      </c>
      <c r="K564" s="19" t="n">
        <v>10</v>
      </c>
      <c r="L564" s="19" t="n">
        <v>13</v>
      </c>
      <c r="M564" s="19" t="n">
        <v>10</v>
      </c>
      <c r="N564" s="19" t="n">
        <v>12</v>
      </c>
      <c r="O564" s="19" t="n">
        <v>12</v>
      </c>
      <c r="P564" s="19" t="n">
        <v>4</v>
      </c>
      <c r="Q564" s="19" t="n">
        <v>13</v>
      </c>
      <c r="R564" s="19" t="n">
        <v>16</v>
      </c>
      <c r="S564" s="19" t="n">
        <v>6</v>
      </c>
      <c r="T564" s="19" t="n">
        <v>12</v>
      </c>
      <c r="U564" s="19" t="n">
        <v>12</v>
      </c>
      <c r="V564" s="19" t="n">
        <v>13</v>
      </c>
      <c r="W564" s="19" t="n">
        <v>12</v>
      </c>
      <c r="X564" s="19" t="n">
        <v>9</v>
      </c>
      <c r="Y564" s="19" t="n">
        <v>4</v>
      </c>
      <c r="Z564" s="19" t="n">
        <v>6</v>
      </c>
      <c r="AA564" s="19" t="n">
        <v>10</v>
      </c>
      <c r="AB564" s="19" t="n">
        <v>9</v>
      </c>
      <c r="AC564" s="19" t="n">
        <v>8</v>
      </c>
      <c r="AD564" s="19" t="n">
        <v>8</v>
      </c>
      <c r="AE564" s="19" t="n">
        <v>5</v>
      </c>
      <c r="AF564" s="19" t="n">
        <v>6</v>
      </c>
      <c r="AG564" s="19"/>
      <c r="AH564" s="19"/>
    </row>
    <row r="565" customFormat="false" ht="12.75" hidden="false" customHeight="true" outlineLevel="0" collapsed="false">
      <c r="A565" s="16" t="s">
        <v>305</v>
      </c>
      <c r="B565" s="17" t="n">
        <f aca="false">AVERAGE(E565:AE565)</f>
        <v>9.81481481481482</v>
      </c>
      <c r="C565" s="2" t="n">
        <f aca="false">MIN(E565:AE565)</f>
        <v>4</v>
      </c>
      <c r="D565" s="18" t="n">
        <f aca="false">MAX(E565:AE565)</f>
        <v>16</v>
      </c>
      <c r="E565" s="19" t="n">
        <v>7</v>
      </c>
      <c r="F565" s="19" t="n">
        <v>10</v>
      </c>
      <c r="G565" s="19" t="n">
        <v>8</v>
      </c>
      <c r="H565" s="19" t="n">
        <v>10</v>
      </c>
      <c r="I565" s="19" t="n">
        <v>10</v>
      </c>
      <c r="J565" s="19" t="n">
        <v>12</v>
      </c>
      <c r="K565" s="19" t="n">
        <v>10</v>
      </c>
      <c r="L565" s="19" t="n">
        <v>13</v>
      </c>
      <c r="M565" s="19" t="n">
        <v>10</v>
      </c>
      <c r="N565" s="19" t="n">
        <v>12</v>
      </c>
      <c r="O565" s="19" t="n">
        <v>12</v>
      </c>
      <c r="P565" s="19" t="n">
        <v>4</v>
      </c>
      <c r="Q565" s="19" t="n">
        <v>14</v>
      </c>
      <c r="R565" s="19" t="n">
        <v>16</v>
      </c>
      <c r="S565" s="19" t="n">
        <v>6</v>
      </c>
      <c r="T565" s="19" t="n">
        <v>13</v>
      </c>
      <c r="U565" s="19" t="n">
        <v>13</v>
      </c>
      <c r="V565" s="19" t="n">
        <v>13</v>
      </c>
      <c r="W565" s="19" t="n">
        <v>12</v>
      </c>
      <c r="X565" s="19" t="n">
        <v>9</v>
      </c>
      <c r="Y565" s="19" t="n">
        <v>4</v>
      </c>
      <c r="Z565" s="19" t="n">
        <v>6</v>
      </c>
      <c r="AA565" s="19" t="n">
        <v>11</v>
      </c>
      <c r="AB565" s="19" t="n">
        <v>9</v>
      </c>
      <c r="AC565" s="19" t="n">
        <v>8</v>
      </c>
      <c r="AD565" s="19" t="n">
        <v>8</v>
      </c>
      <c r="AE565" s="19" t="n">
        <v>5</v>
      </c>
      <c r="AF565" s="19" t="n">
        <v>6</v>
      </c>
      <c r="AG565" s="19"/>
      <c r="AH565" s="19"/>
    </row>
    <row r="566" customFormat="false" ht="12.75" hidden="false" customHeight="true" outlineLevel="0" collapsed="false">
      <c r="A566" s="16" t="s">
        <v>306</v>
      </c>
      <c r="B566" s="17" t="n">
        <f aca="false">AVERAGE(E566:AE566)</f>
        <v>9.92592592592593</v>
      </c>
      <c r="C566" s="2" t="n">
        <f aca="false">MIN(E566:AE566)</f>
        <v>4</v>
      </c>
      <c r="D566" s="18" t="n">
        <f aca="false">MAX(E566:AE566)</f>
        <v>16</v>
      </c>
      <c r="E566" s="19" t="n">
        <v>7</v>
      </c>
      <c r="F566" s="19" t="n">
        <v>10</v>
      </c>
      <c r="G566" s="19" t="n">
        <v>8</v>
      </c>
      <c r="H566" s="19" t="n">
        <v>10</v>
      </c>
      <c r="I566" s="19" t="n">
        <v>10</v>
      </c>
      <c r="J566" s="19" t="n">
        <v>12</v>
      </c>
      <c r="K566" s="19" t="n">
        <v>10</v>
      </c>
      <c r="L566" s="19" t="n">
        <v>13</v>
      </c>
      <c r="M566" s="19" t="n">
        <v>11</v>
      </c>
      <c r="N566" s="19" t="n">
        <v>12</v>
      </c>
      <c r="O566" s="19" t="n">
        <v>12</v>
      </c>
      <c r="P566" s="19" t="n">
        <v>4</v>
      </c>
      <c r="Q566" s="19" t="n">
        <v>14</v>
      </c>
      <c r="R566" s="19" t="n">
        <v>16</v>
      </c>
      <c r="S566" s="19" t="n">
        <v>6</v>
      </c>
      <c r="T566" s="19" t="n">
        <v>13</v>
      </c>
      <c r="U566" s="19" t="n">
        <v>13</v>
      </c>
      <c r="V566" s="19" t="n">
        <v>13</v>
      </c>
      <c r="W566" s="19" t="n">
        <v>13</v>
      </c>
      <c r="X566" s="19" t="n">
        <v>9</v>
      </c>
      <c r="Y566" s="19" t="n">
        <v>4</v>
      </c>
      <c r="Z566" s="19" t="n">
        <v>6</v>
      </c>
      <c r="AA566" s="19" t="n">
        <v>12</v>
      </c>
      <c r="AB566" s="19" t="n">
        <v>9</v>
      </c>
      <c r="AC566" s="19" t="n">
        <v>8</v>
      </c>
      <c r="AD566" s="19" t="n">
        <v>8</v>
      </c>
      <c r="AE566" s="19" t="n">
        <v>5</v>
      </c>
      <c r="AF566" s="19" t="n">
        <v>6</v>
      </c>
      <c r="AG566" s="19"/>
      <c r="AH566" s="19"/>
    </row>
    <row r="567" customFormat="false" ht="12.75" hidden="false" customHeight="true" outlineLevel="0" collapsed="false">
      <c r="A567" s="16" t="s">
        <v>307</v>
      </c>
      <c r="B567" s="17" t="n">
        <f aca="false">AVERAGE(E567:AE567)</f>
        <v>10.1481481481481</v>
      </c>
      <c r="C567" s="2" t="n">
        <f aca="false">MIN(E567:AE567)</f>
        <v>4</v>
      </c>
      <c r="D567" s="18" t="n">
        <f aca="false">MAX(E567:AE567)</f>
        <v>17</v>
      </c>
      <c r="E567" s="19" t="n">
        <v>7</v>
      </c>
      <c r="F567" s="19" t="n">
        <v>10</v>
      </c>
      <c r="G567" s="19" t="n">
        <v>8</v>
      </c>
      <c r="H567" s="19" t="n">
        <v>11</v>
      </c>
      <c r="I567" s="19" t="n">
        <v>10</v>
      </c>
      <c r="J567" s="19" t="n">
        <v>12</v>
      </c>
      <c r="K567" s="19" t="n">
        <v>11</v>
      </c>
      <c r="L567" s="19" t="n">
        <v>13</v>
      </c>
      <c r="M567" s="19" t="n">
        <v>11</v>
      </c>
      <c r="N567" s="19" t="n">
        <v>12</v>
      </c>
      <c r="O567" s="19" t="n">
        <v>12</v>
      </c>
      <c r="P567" s="19" t="n">
        <v>4</v>
      </c>
      <c r="Q567" s="19" t="n">
        <v>15</v>
      </c>
      <c r="R567" s="19" t="n">
        <v>17</v>
      </c>
      <c r="S567" s="19" t="n">
        <v>6</v>
      </c>
      <c r="T567" s="19" t="n">
        <v>13</v>
      </c>
      <c r="U567" s="19" t="n">
        <v>13</v>
      </c>
      <c r="V567" s="19" t="n">
        <v>13</v>
      </c>
      <c r="W567" s="19" t="n">
        <v>13</v>
      </c>
      <c r="X567" s="19" t="n">
        <v>9</v>
      </c>
      <c r="Y567" s="19" t="n">
        <v>4</v>
      </c>
      <c r="Z567" s="19" t="n">
        <v>6</v>
      </c>
      <c r="AA567" s="19" t="n">
        <v>12</v>
      </c>
      <c r="AB567" s="19" t="n">
        <v>9</v>
      </c>
      <c r="AC567" s="19" t="n">
        <v>9</v>
      </c>
      <c r="AD567" s="19" t="n">
        <v>9</v>
      </c>
      <c r="AE567" s="19" t="n">
        <v>5</v>
      </c>
      <c r="AF567" s="19" t="n">
        <v>6</v>
      </c>
      <c r="AG567" s="19"/>
      <c r="AH567" s="19"/>
    </row>
    <row r="568" customFormat="false" ht="12.75" hidden="false" customHeight="true" outlineLevel="0" collapsed="false">
      <c r="A568" s="16" t="s">
        <v>308</v>
      </c>
      <c r="B568" s="17" t="n">
        <f aca="false">AVERAGE(E568:AE568)</f>
        <v>10.3703703703704</v>
      </c>
      <c r="C568" s="2" t="n">
        <f aca="false">MIN(E568:AE568)</f>
        <v>4</v>
      </c>
      <c r="D568" s="18" t="n">
        <f aca="false">MAX(E568:AE568)</f>
        <v>17</v>
      </c>
      <c r="E568" s="19" t="n">
        <v>7</v>
      </c>
      <c r="F568" s="19" t="n">
        <v>10</v>
      </c>
      <c r="G568" s="19" t="n">
        <v>8</v>
      </c>
      <c r="H568" s="19" t="n">
        <v>11</v>
      </c>
      <c r="I568" s="19" t="n">
        <v>10</v>
      </c>
      <c r="J568" s="19" t="n">
        <v>12</v>
      </c>
      <c r="K568" s="19" t="n">
        <v>11</v>
      </c>
      <c r="L568" s="19" t="n">
        <v>13</v>
      </c>
      <c r="M568" s="19" t="n">
        <v>12</v>
      </c>
      <c r="N568" s="19" t="n">
        <v>13</v>
      </c>
      <c r="O568" s="19" t="n">
        <v>12</v>
      </c>
      <c r="P568" s="19" t="n">
        <v>4</v>
      </c>
      <c r="Q568" s="19" t="n">
        <v>16</v>
      </c>
      <c r="R568" s="19" t="n">
        <v>17</v>
      </c>
      <c r="S568" s="19" t="n">
        <v>6</v>
      </c>
      <c r="T568" s="19" t="n">
        <v>14</v>
      </c>
      <c r="U568" s="19" t="n">
        <v>13</v>
      </c>
      <c r="V568" s="19" t="n">
        <v>13</v>
      </c>
      <c r="W568" s="19" t="n">
        <v>13</v>
      </c>
      <c r="X568" s="19" t="n">
        <v>9</v>
      </c>
      <c r="Y568" s="19" t="n">
        <v>4</v>
      </c>
      <c r="Z568" s="19" t="n">
        <v>6</v>
      </c>
      <c r="AA568" s="19" t="n">
        <v>13</v>
      </c>
      <c r="AB568" s="19" t="n">
        <v>9</v>
      </c>
      <c r="AC568" s="19" t="n">
        <v>9</v>
      </c>
      <c r="AD568" s="19" t="n">
        <v>10</v>
      </c>
      <c r="AE568" s="19" t="n">
        <v>5</v>
      </c>
      <c r="AF568" s="19" t="n">
        <v>6</v>
      </c>
      <c r="AG568" s="19"/>
      <c r="AH568" s="19"/>
    </row>
    <row r="569" customFormat="false" ht="12.75" hidden="false" customHeight="true" outlineLevel="0" collapsed="false">
      <c r="A569" s="16" t="s">
        <v>309</v>
      </c>
      <c r="B569" s="17" t="n">
        <f aca="false">AVERAGE(E569:AE569)</f>
        <v>10.4814814814815</v>
      </c>
      <c r="C569" s="2" t="n">
        <f aca="false">MIN(E569:AE569)</f>
        <v>4</v>
      </c>
      <c r="D569" s="18" t="n">
        <f aca="false">MAX(E569:AE569)</f>
        <v>18</v>
      </c>
      <c r="E569" s="19" t="n">
        <v>7</v>
      </c>
      <c r="F569" s="19" t="n">
        <v>10</v>
      </c>
      <c r="G569" s="19" t="n">
        <v>8</v>
      </c>
      <c r="H569" s="19" t="n">
        <v>11</v>
      </c>
      <c r="I569" s="19" t="n">
        <v>10</v>
      </c>
      <c r="J569" s="19" t="n">
        <v>12</v>
      </c>
      <c r="K569" s="19" t="n">
        <v>11</v>
      </c>
      <c r="L569" s="19" t="n">
        <v>14</v>
      </c>
      <c r="M569" s="19" t="n">
        <v>12</v>
      </c>
      <c r="N569" s="19" t="n">
        <v>13</v>
      </c>
      <c r="O569" s="19" t="n">
        <v>12</v>
      </c>
      <c r="P569" s="19" t="n">
        <v>4</v>
      </c>
      <c r="Q569" s="19" t="n">
        <v>16</v>
      </c>
      <c r="R569" s="19" t="n">
        <v>18</v>
      </c>
      <c r="S569" s="19" t="n">
        <v>6</v>
      </c>
      <c r="T569" s="19" t="n">
        <v>14</v>
      </c>
      <c r="U569" s="19" t="n">
        <v>13</v>
      </c>
      <c r="V569" s="19" t="n">
        <v>13</v>
      </c>
      <c r="W569" s="19" t="n">
        <v>13</v>
      </c>
      <c r="X569" s="19" t="n">
        <v>9</v>
      </c>
      <c r="Y569" s="19" t="n">
        <v>4</v>
      </c>
      <c r="Z569" s="19" t="n">
        <v>6</v>
      </c>
      <c r="AA569" s="19" t="n">
        <v>13</v>
      </c>
      <c r="AB569" s="19" t="n">
        <v>9</v>
      </c>
      <c r="AC569" s="19" t="n">
        <v>9</v>
      </c>
      <c r="AD569" s="19" t="n">
        <v>11</v>
      </c>
      <c r="AE569" s="19" t="n">
        <v>5</v>
      </c>
      <c r="AF569" s="19" t="n">
        <v>6</v>
      </c>
      <c r="AG569" s="19"/>
      <c r="AH569" s="19"/>
    </row>
    <row r="570" customFormat="false" ht="12.75" hidden="false" customHeight="true" outlineLevel="0" collapsed="false">
      <c r="A570" s="16" t="s">
        <v>310</v>
      </c>
      <c r="B570" s="17" t="n">
        <f aca="false">AVERAGE(E570:AE570)</f>
        <v>10.6296296296296</v>
      </c>
      <c r="C570" s="2" t="n">
        <f aca="false">MIN(E570:AE570)</f>
        <v>4</v>
      </c>
      <c r="D570" s="18" t="n">
        <f aca="false">MAX(E570:AE570)</f>
        <v>18</v>
      </c>
      <c r="E570" s="19" t="n">
        <v>7</v>
      </c>
      <c r="F570" s="19" t="n">
        <v>10</v>
      </c>
      <c r="G570" s="19" t="n">
        <v>8</v>
      </c>
      <c r="H570" s="19" t="n">
        <v>12</v>
      </c>
      <c r="I570" s="19" t="n">
        <v>10</v>
      </c>
      <c r="J570" s="19" t="n">
        <v>12</v>
      </c>
      <c r="K570" s="19" t="n">
        <v>11</v>
      </c>
      <c r="L570" s="19" t="n">
        <v>15</v>
      </c>
      <c r="M570" s="19" t="n">
        <v>12</v>
      </c>
      <c r="N570" s="19" t="n">
        <v>13</v>
      </c>
      <c r="O570" s="19" t="n">
        <v>12</v>
      </c>
      <c r="P570" s="19" t="n">
        <v>4</v>
      </c>
      <c r="Q570" s="19" t="n">
        <v>16</v>
      </c>
      <c r="R570" s="19" t="n">
        <v>18</v>
      </c>
      <c r="S570" s="19" t="n">
        <v>6</v>
      </c>
      <c r="T570" s="19" t="n">
        <v>14</v>
      </c>
      <c r="U570" s="19" t="n">
        <v>13</v>
      </c>
      <c r="V570" s="19" t="n">
        <v>14</v>
      </c>
      <c r="W570" s="19" t="n">
        <v>13</v>
      </c>
      <c r="X570" s="19" t="n">
        <v>9</v>
      </c>
      <c r="Y570" s="19" t="n">
        <v>4</v>
      </c>
      <c r="Z570" s="19" t="n">
        <v>6</v>
      </c>
      <c r="AA570" s="19" t="n">
        <v>14</v>
      </c>
      <c r="AB570" s="19" t="n">
        <v>9</v>
      </c>
      <c r="AC570" s="19" t="n">
        <v>9</v>
      </c>
      <c r="AD570" s="19" t="n">
        <v>11</v>
      </c>
      <c r="AE570" s="19" t="n">
        <v>5</v>
      </c>
      <c r="AF570" s="19" t="n">
        <v>6</v>
      </c>
      <c r="AG570" s="19"/>
      <c r="AH570" s="19"/>
    </row>
    <row r="571" customFormat="false" ht="12.75" hidden="false" customHeight="true" outlineLevel="0" collapsed="false">
      <c r="A571" s="16" t="s">
        <v>311</v>
      </c>
      <c r="B571" s="17" t="n">
        <f aca="false">AVERAGE(E571:AE571)</f>
        <v>10.8148148148148</v>
      </c>
      <c r="C571" s="2" t="n">
        <f aca="false">MIN(E571:AE571)</f>
        <v>4</v>
      </c>
      <c r="D571" s="18" t="n">
        <f aca="false">MAX(E571:AE571)</f>
        <v>18</v>
      </c>
      <c r="E571" s="19" t="n">
        <v>8</v>
      </c>
      <c r="F571" s="19" t="n">
        <v>10</v>
      </c>
      <c r="G571" s="19" t="n">
        <v>8</v>
      </c>
      <c r="H571" s="19" t="n">
        <v>13</v>
      </c>
      <c r="I571" s="19" t="n">
        <v>10</v>
      </c>
      <c r="J571" s="19" t="n">
        <v>12</v>
      </c>
      <c r="K571" s="19" t="n">
        <v>12</v>
      </c>
      <c r="L571" s="19" t="n">
        <v>15</v>
      </c>
      <c r="M571" s="19" t="n">
        <v>12</v>
      </c>
      <c r="N571" s="19" t="n">
        <v>13</v>
      </c>
      <c r="O571" s="19" t="n">
        <v>12</v>
      </c>
      <c r="P571" s="19" t="n">
        <v>4</v>
      </c>
      <c r="Q571" s="19" t="n">
        <v>16</v>
      </c>
      <c r="R571" s="19" t="n">
        <v>18</v>
      </c>
      <c r="S571" s="19" t="n">
        <v>6</v>
      </c>
      <c r="T571" s="19" t="n">
        <v>15</v>
      </c>
      <c r="U571" s="19" t="n">
        <v>13</v>
      </c>
      <c r="V571" s="19" t="n">
        <v>14</v>
      </c>
      <c r="W571" s="19" t="n">
        <v>13</v>
      </c>
      <c r="X571" s="19" t="n">
        <v>9</v>
      </c>
      <c r="Y571" s="19" t="n">
        <v>4</v>
      </c>
      <c r="Z571" s="19" t="n">
        <v>6</v>
      </c>
      <c r="AA571" s="19" t="n">
        <v>14</v>
      </c>
      <c r="AB571" s="19" t="n">
        <v>10</v>
      </c>
      <c r="AC571" s="19" t="n">
        <v>9</v>
      </c>
      <c r="AD571" s="19" t="n">
        <v>11</v>
      </c>
      <c r="AE571" s="19" t="n">
        <v>5</v>
      </c>
      <c r="AF571" s="19" t="n">
        <v>7</v>
      </c>
      <c r="AG571" s="19"/>
      <c r="AH571" s="19"/>
    </row>
    <row r="572" customFormat="false" ht="12.75" hidden="false" customHeight="true" outlineLevel="0" collapsed="false">
      <c r="A572" s="16" t="s">
        <v>312</v>
      </c>
      <c r="B572" s="17" t="n">
        <f aca="false">AVERAGE(E572:AE572)</f>
        <v>11.0740740740741</v>
      </c>
      <c r="C572" s="2" t="n">
        <f aca="false">MIN(E572:AE572)</f>
        <v>4</v>
      </c>
      <c r="D572" s="18" t="n">
        <f aca="false">MAX(E572:AE572)</f>
        <v>19</v>
      </c>
      <c r="E572" s="19" t="n">
        <v>8</v>
      </c>
      <c r="F572" s="19" t="n">
        <v>10</v>
      </c>
      <c r="G572" s="19" t="n">
        <v>9</v>
      </c>
      <c r="H572" s="19" t="n">
        <v>13</v>
      </c>
      <c r="I572" s="19" t="n">
        <v>10</v>
      </c>
      <c r="J572" s="19" t="n">
        <v>12</v>
      </c>
      <c r="K572" s="19" t="n">
        <v>13</v>
      </c>
      <c r="L572" s="19" t="n">
        <v>15</v>
      </c>
      <c r="M572" s="19" t="n">
        <v>12</v>
      </c>
      <c r="N572" s="19" t="n">
        <v>13</v>
      </c>
      <c r="O572" s="19" t="n">
        <v>12</v>
      </c>
      <c r="P572" s="19" t="n">
        <v>5</v>
      </c>
      <c r="Q572" s="19" t="n">
        <v>16</v>
      </c>
      <c r="R572" s="19" t="n">
        <v>19</v>
      </c>
      <c r="S572" s="19" t="n">
        <v>6</v>
      </c>
      <c r="T572" s="19" t="n">
        <v>15</v>
      </c>
      <c r="U572" s="19" t="n">
        <v>13</v>
      </c>
      <c r="V572" s="19" t="n">
        <v>14</v>
      </c>
      <c r="W572" s="19" t="n">
        <v>13</v>
      </c>
      <c r="X572" s="19" t="n">
        <v>10</v>
      </c>
      <c r="Y572" s="19" t="n">
        <v>4</v>
      </c>
      <c r="Z572" s="19" t="n">
        <v>6</v>
      </c>
      <c r="AA572" s="19" t="n">
        <v>15</v>
      </c>
      <c r="AB572" s="19" t="n">
        <v>10</v>
      </c>
      <c r="AC572" s="19" t="n">
        <v>9</v>
      </c>
      <c r="AD572" s="19" t="n">
        <v>11</v>
      </c>
      <c r="AE572" s="19" t="n">
        <v>6</v>
      </c>
      <c r="AF572" s="19" t="n">
        <v>7</v>
      </c>
      <c r="AG572" s="19"/>
      <c r="AH572" s="19"/>
    </row>
    <row r="573" customFormat="false" ht="12.75" hidden="false" customHeight="true" outlineLevel="0" collapsed="false">
      <c r="A573" s="16" t="s">
        <v>313</v>
      </c>
      <c r="B573" s="17" t="n">
        <f aca="false">AVERAGE(E573:AE573)</f>
        <v>11.1111111111111</v>
      </c>
      <c r="C573" s="2" t="n">
        <f aca="false">MIN(E573:AE573)</f>
        <v>4</v>
      </c>
      <c r="D573" s="18" t="n">
        <f aca="false">MAX(E573:AE573)</f>
        <v>19</v>
      </c>
      <c r="E573" s="19" t="n">
        <v>8</v>
      </c>
      <c r="F573" s="19" t="n">
        <v>10</v>
      </c>
      <c r="G573" s="19" t="n">
        <v>9</v>
      </c>
      <c r="H573" s="19" t="n">
        <v>14</v>
      </c>
      <c r="I573" s="19" t="n">
        <v>10</v>
      </c>
      <c r="J573" s="19" t="n">
        <v>12</v>
      </c>
      <c r="K573" s="19" t="n">
        <v>13</v>
      </c>
      <c r="L573" s="19" t="n">
        <v>15</v>
      </c>
      <c r="M573" s="19" t="n">
        <v>12</v>
      </c>
      <c r="N573" s="19" t="n">
        <v>13</v>
      </c>
      <c r="O573" s="19" t="n">
        <v>12</v>
      </c>
      <c r="P573" s="19" t="n">
        <v>5</v>
      </c>
      <c r="Q573" s="19" t="n">
        <v>16</v>
      </c>
      <c r="R573" s="19" t="n">
        <v>19</v>
      </c>
      <c r="S573" s="19" t="n">
        <v>6</v>
      </c>
      <c r="T573" s="19" t="n">
        <v>15</v>
      </c>
      <c r="U573" s="19" t="n">
        <v>13</v>
      </c>
      <c r="V573" s="19" t="n">
        <v>14</v>
      </c>
      <c r="W573" s="19" t="n">
        <v>13</v>
      </c>
      <c r="X573" s="19" t="n">
        <v>10</v>
      </c>
      <c r="Y573" s="19" t="n">
        <v>4</v>
      </c>
      <c r="Z573" s="19" t="n">
        <v>6</v>
      </c>
      <c r="AA573" s="19" t="n">
        <v>15</v>
      </c>
      <c r="AB573" s="19" t="n">
        <v>10</v>
      </c>
      <c r="AC573" s="19" t="n">
        <v>9</v>
      </c>
      <c r="AD573" s="19" t="n">
        <v>11</v>
      </c>
      <c r="AE573" s="19" t="n">
        <v>6</v>
      </c>
      <c r="AF573" s="19" t="n">
        <v>7</v>
      </c>
      <c r="AG573" s="19"/>
      <c r="AH573" s="19"/>
    </row>
    <row r="574" customFormat="false" ht="12.75" hidden="false" customHeight="true" outlineLevel="0" collapsed="false">
      <c r="A574" s="16" t="s">
        <v>314</v>
      </c>
      <c r="B574" s="17" t="n">
        <f aca="false">AVERAGE(E574:AE574)</f>
        <v>11.2962962962963</v>
      </c>
      <c r="C574" s="2" t="n">
        <f aca="false">MIN(E574:AE574)</f>
        <v>4</v>
      </c>
      <c r="D574" s="18" t="n">
        <f aca="false">MAX(E574:AE574)</f>
        <v>19</v>
      </c>
      <c r="E574" s="19" t="n">
        <v>8</v>
      </c>
      <c r="F574" s="19" t="n">
        <v>10</v>
      </c>
      <c r="G574" s="19" t="n">
        <v>9</v>
      </c>
      <c r="H574" s="19" t="n">
        <v>14</v>
      </c>
      <c r="I574" s="19" t="n">
        <v>11</v>
      </c>
      <c r="J574" s="19" t="n">
        <v>12</v>
      </c>
      <c r="K574" s="19" t="n">
        <v>13</v>
      </c>
      <c r="L574" s="19" t="n">
        <v>15</v>
      </c>
      <c r="M574" s="19" t="n">
        <v>12</v>
      </c>
      <c r="N574" s="19" t="n">
        <v>13</v>
      </c>
      <c r="O574" s="19" t="n">
        <v>13</v>
      </c>
      <c r="P574" s="19" t="n">
        <v>6</v>
      </c>
      <c r="Q574" s="19" t="n">
        <v>16</v>
      </c>
      <c r="R574" s="19" t="n">
        <v>19</v>
      </c>
      <c r="S574" s="19" t="n">
        <v>6</v>
      </c>
      <c r="T574" s="19" t="n">
        <v>16</v>
      </c>
      <c r="U574" s="19" t="n">
        <v>13</v>
      </c>
      <c r="V574" s="19" t="n">
        <v>15</v>
      </c>
      <c r="W574" s="19" t="n">
        <v>13</v>
      </c>
      <c r="X574" s="19" t="n">
        <v>10</v>
      </c>
      <c r="Y574" s="19" t="n">
        <v>4</v>
      </c>
      <c r="Z574" s="19" t="n">
        <v>6</v>
      </c>
      <c r="AA574" s="19" t="n">
        <v>15</v>
      </c>
      <c r="AB574" s="19" t="n">
        <v>10</v>
      </c>
      <c r="AC574" s="19" t="n">
        <v>9</v>
      </c>
      <c r="AD574" s="19" t="n">
        <v>11</v>
      </c>
      <c r="AE574" s="19" t="n">
        <v>6</v>
      </c>
      <c r="AF574" s="19" t="n">
        <v>7</v>
      </c>
      <c r="AG574" s="19"/>
      <c r="AH574" s="19"/>
    </row>
    <row r="575" customFormat="false" ht="12.75" hidden="false" customHeight="true" outlineLevel="0" collapsed="false">
      <c r="A575" s="16" t="s">
        <v>315</v>
      </c>
      <c r="B575" s="17" t="n">
        <f aca="false">AVERAGE(E575:AE575)</f>
        <v>11.3703703703704</v>
      </c>
      <c r="C575" s="2" t="n">
        <f aca="false">MIN(E575:AE575)</f>
        <v>4</v>
      </c>
      <c r="D575" s="18" t="n">
        <f aca="false">MAX(E575:AE575)</f>
        <v>19</v>
      </c>
      <c r="E575" s="19" t="n">
        <v>8</v>
      </c>
      <c r="F575" s="19" t="n">
        <v>10</v>
      </c>
      <c r="G575" s="19" t="n">
        <v>9</v>
      </c>
      <c r="H575" s="19" t="n">
        <v>14</v>
      </c>
      <c r="I575" s="19" t="n">
        <v>11</v>
      </c>
      <c r="J575" s="19" t="n">
        <v>12</v>
      </c>
      <c r="K575" s="19" t="n">
        <v>13</v>
      </c>
      <c r="L575" s="19" t="n">
        <v>15</v>
      </c>
      <c r="M575" s="19" t="n">
        <v>12</v>
      </c>
      <c r="N575" s="19" t="n">
        <v>13</v>
      </c>
      <c r="O575" s="19" t="n">
        <v>14</v>
      </c>
      <c r="P575" s="19" t="n">
        <v>6</v>
      </c>
      <c r="Q575" s="19" t="n">
        <v>16</v>
      </c>
      <c r="R575" s="19" t="n">
        <v>19</v>
      </c>
      <c r="S575" s="19" t="n">
        <v>6</v>
      </c>
      <c r="T575" s="19" t="n">
        <v>16</v>
      </c>
      <c r="U575" s="19" t="n">
        <v>14</v>
      </c>
      <c r="V575" s="19" t="n">
        <v>15</v>
      </c>
      <c r="W575" s="19" t="n">
        <v>13</v>
      </c>
      <c r="X575" s="19" t="n">
        <v>10</v>
      </c>
      <c r="Y575" s="19" t="n">
        <v>4</v>
      </c>
      <c r="Z575" s="19" t="n">
        <v>6</v>
      </c>
      <c r="AA575" s="19" t="n">
        <v>15</v>
      </c>
      <c r="AB575" s="19" t="n">
        <v>10</v>
      </c>
      <c r="AC575" s="19" t="n">
        <v>9</v>
      </c>
      <c r="AD575" s="19" t="n">
        <v>11</v>
      </c>
      <c r="AE575" s="19" t="n">
        <v>6</v>
      </c>
      <c r="AF575" s="19" t="n">
        <v>7</v>
      </c>
      <c r="AG575" s="19"/>
      <c r="AH575" s="19"/>
    </row>
    <row r="576" customFormat="false" ht="12.75" hidden="false" customHeight="true" outlineLevel="0" collapsed="false">
      <c r="A576" s="16" t="s">
        <v>316</v>
      </c>
      <c r="B576" s="17" t="n">
        <f aca="false">AVERAGE(E576:AE576)</f>
        <v>11.5185185185185</v>
      </c>
      <c r="C576" s="2" t="n">
        <f aca="false">MIN(E576:AE576)</f>
        <v>4</v>
      </c>
      <c r="D576" s="18" t="n">
        <f aca="false">MAX(E576:AE576)</f>
        <v>19</v>
      </c>
      <c r="E576" s="19" t="n">
        <v>8</v>
      </c>
      <c r="F576" s="19" t="n">
        <v>10</v>
      </c>
      <c r="G576" s="19" t="n">
        <v>9</v>
      </c>
      <c r="H576" s="19" t="n">
        <v>14</v>
      </c>
      <c r="I576" s="19" t="n">
        <v>11</v>
      </c>
      <c r="J576" s="19" t="n">
        <v>12</v>
      </c>
      <c r="K576" s="19" t="n">
        <v>14</v>
      </c>
      <c r="L576" s="19" t="n">
        <v>15</v>
      </c>
      <c r="M576" s="19" t="n">
        <v>13</v>
      </c>
      <c r="N576" s="19" t="n">
        <v>13</v>
      </c>
      <c r="O576" s="19" t="n">
        <v>14</v>
      </c>
      <c r="P576" s="19" t="n">
        <v>6</v>
      </c>
      <c r="Q576" s="19" t="n">
        <v>16</v>
      </c>
      <c r="R576" s="19" t="n">
        <v>19</v>
      </c>
      <c r="S576" s="19" t="n">
        <v>6</v>
      </c>
      <c r="T576" s="19" t="n">
        <v>16</v>
      </c>
      <c r="U576" s="19" t="n">
        <v>15</v>
      </c>
      <c r="V576" s="19" t="n">
        <v>15</v>
      </c>
      <c r="W576" s="19" t="n">
        <v>13</v>
      </c>
      <c r="X576" s="19" t="n">
        <v>10</v>
      </c>
      <c r="Y576" s="19" t="n">
        <v>4</v>
      </c>
      <c r="Z576" s="19" t="n">
        <v>7</v>
      </c>
      <c r="AA576" s="19" t="n">
        <v>15</v>
      </c>
      <c r="AB576" s="19" t="n">
        <v>10</v>
      </c>
      <c r="AC576" s="19" t="n">
        <v>9</v>
      </c>
      <c r="AD576" s="19" t="n">
        <v>11</v>
      </c>
      <c r="AE576" s="19" t="n">
        <v>6</v>
      </c>
      <c r="AF576" s="19" t="n">
        <v>7</v>
      </c>
      <c r="AG576" s="19"/>
      <c r="AH576" s="19"/>
    </row>
    <row r="577" customFormat="false" ht="12.75" hidden="false" customHeight="true" outlineLevel="0" collapsed="false">
      <c r="A577" s="16" t="s">
        <v>317</v>
      </c>
      <c r="B577" s="17" t="n">
        <f aca="false">AVERAGE(E577:AE577)</f>
        <v>11.7037037037037</v>
      </c>
      <c r="C577" s="2" t="n">
        <f aca="false">MIN(E577:AE577)</f>
        <v>4</v>
      </c>
      <c r="D577" s="18" t="n">
        <f aca="false">MAX(E577:AE577)</f>
        <v>19</v>
      </c>
      <c r="E577" s="19" t="n">
        <v>9</v>
      </c>
      <c r="F577" s="19" t="n">
        <v>10</v>
      </c>
      <c r="G577" s="19" t="n">
        <v>9</v>
      </c>
      <c r="H577" s="19" t="n">
        <v>14</v>
      </c>
      <c r="I577" s="19" t="n">
        <v>11</v>
      </c>
      <c r="J577" s="19" t="n">
        <v>13</v>
      </c>
      <c r="K577" s="19" t="n">
        <v>14</v>
      </c>
      <c r="L577" s="19" t="n">
        <v>15</v>
      </c>
      <c r="M577" s="19" t="n">
        <v>14</v>
      </c>
      <c r="N577" s="19" t="n">
        <v>13</v>
      </c>
      <c r="O577" s="19" t="n">
        <v>14</v>
      </c>
      <c r="P577" s="19" t="n">
        <v>6</v>
      </c>
      <c r="Q577" s="19" t="n">
        <v>17</v>
      </c>
      <c r="R577" s="19" t="n">
        <v>19</v>
      </c>
      <c r="S577" s="19" t="n">
        <v>6</v>
      </c>
      <c r="T577" s="19" t="n">
        <v>16</v>
      </c>
      <c r="U577" s="19" t="n">
        <v>15</v>
      </c>
      <c r="V577" s="19" t="n">
        <v>15</v>
      </c>
      <c r="W577" s="19" t="n">
        <v>14</v>
      </c>
      <c r="X577" s="19" t="n">
        <v>10</v>
      </c>
      <c r="Y577" s="19" t="n">
        <v>4</v>
      </c>
      <c r="Z577" s="19" t="n">
        <v>7</v>
      </c>
      <c r="AA577" s="19" t="n">
        <v>15</v>
      </c>
      <c r="AB577" s="19" t="n">
        <v>10</v>
      </c>
      <c r="AC577" s="19" t="n">
        <v>9</v>
      </c>
      <c r="AD577" s="19" t="n">
        <v>11</v>
      </c>
      <c r="AE577" s="19" t="n">
        <v>6</v>
      </c>
      <c r="AF577" s="19" t="n">
        <v>7</v>
      </c>
      <c r="AG577" s="19"/>
      <c r="AH577" s="19"/>
    </row>
    <row r="578" customFormat="false" ht="12.75" hidden="false" customHeight="true" outlineLevel="0" collapsed="false">
      <c r="A578" s="16" t="s">
        <v>318</v>
      </c>
      <c r="B578" s="17" t="n">
        <f aca="false">AVERAGE(E578:AE578)</f>
        <v>11.8518518518519</v>
      </c>
      <c r="C578" s="2" t="n">
        <f aca="false">MIN(E578:AE578)</f>
        <v>4</v>
      </c>
      <c r="D578" s="18" t="n">
        <f aca="false">MAX(E578:AE578)</f>
        <v>20</v>
      </c>
      <c r="E578" s="19" t="n">
        <v>9</v>
      </c>
      <c r="F578" s="19" t="n">
        <v>10</v>
      </c>
      <c r="G578" s="19" t="n">
        <v>9</v>
      </c>
      <c r="H578" s="19" t="n">
        <v>15</v>
      </c>
      <c r="I578" s="19" t="n">
        <v>11</v>
      </c>
      <c r="J578" s="19" t="n">
        <v>13</v>
      </c>
      <c r="K578" s="19" t="n">
        <v>14</v>
      </c>
      <c r="L578" s="19" t="n">
        <v>15</v>
      </c>
      <c r="M578" s="19" t="n">
        <v>14</v>
      </c>
      <c r="N578" s="19" t="n">
        <v>13</v>
      </c>
      <c r="O578" s="19" t="n">
        <v>14</v>
      </c>
      <c r="P578" s="19" t="n">
        <v>6</v>
      </c>
      <c r="Q578" s="19" t="n">
        <v>17</v>
      </c>
      <c r="R578" s="19" t="n">
        <v>20</v>
      </c>
      <c r="S578" s="19" t="n">
        <v>6</v>
      </c>
      <c r="T578" s="19" t="n">
        <v>16</v>
      </c>
      <c r="U578" s="19" t="n">
        <v>15</v>
      </c>
      <c r="V578" s="19" t="n">
        <v>15</v>
      </c>
      <c r="W578" s="19" t="n">
        <v>14</v>
      </c>
      <c r="X578" s="19" t="n">
        <v>10</v>
      </c>
      <c r="Y578" s="19" t="n">
        <v>4</v>
      </c>
      <c r="Z578" s="19" t="n">
        <v>7</v>
      </c>
      <c r="AA578" s="19" t="n">
        <v>15</v>
      </c>
      <c r="AB578" s="19" t="n">
        <v>11</v>
      </c>
      <c r="AC578" s="19" t="n">
        <v>9</v>
      </c>
      <c r="AD578" s="19" t="n">
        <v>11</v>
      </c>
      <c r="AE578" s="19" t="n">
        <v>7</v>
      </c>
      <c r="AF578" s="19" t="n">
        <v>7</v>
      </c>
      <c r="AG578" s="19"/>
      <c r="AH578" s="19"/>
    </row>
    <row r="579" customFormat="false" ht="12.75" hidden="false" customHeight="true" outlineLevel="0" collapsed="false">
      <c r="A579" s="16" t="s">
        <v>319</v>
      </c>
      <c r="B579" s="17" t="n">
        <f aca="false">AVERAGE(E579:AE579)</f>
        <v>12.1111111111111</v>
      </c>
      <c r="C579" s="2" t="n">
        <f aca="false">MIN(E579:AE579)</f>
        <v>4</v>
      </c>
      <c r="D579" s="18" t="n">
        <f aca="false">MAX(E579:AE579)</f>
        <v>20</v>
      </c>
      <c r="E579" s="19" t="n">
        <v>9</v>
      </c>
      <c r="F579" s="19" t="n">
        <v>10</v>
      </c>
      <c r="G579" s="19" t="n">
        <v>9</v>
      </c>
      <c r="H579" s="19" t="n">
        <v>15</v>
      </c>
      <c r="I579" s="19" t="n">
        <v>12</v>
      </c>
      <c r="J579" s="19" t="n">
        <v>14</v>
      </c>
      <c r="K579" s="19" t="n">
        <v>14</v>
      </c>
      <c r="L579" s="19" t="n">
        <v>15</v>
      </c>
      <c r="M579" s="19" t="n">
        <v>15</v>
      </c>
      <c r="N579" s="19" t="n">
        <v>13</v>
      </c>
      <c r="O579" s="19" t="n">
        <v>14</v>
      </c>
      <c r="P579" s="19" t="n">
        <v>7</v>
      </c>
      <c r="Q579" s="19" t="n">
        <v>17</v>
      </c>
      <c r="R579" s="19" t="n">
        <v>20</v>
      </c>
      <c r="S579" s="19" t="n">
        <v>6</v>
      </c>
      <c r="T579" s="19" t="n">
        <v>16</v>
      </c>
      <c r="U579" s="19" t="n">
        <v>16</v>
      </c>
      <c r="V579" s="19" t="n">
        <v>15</v>
      </c>
      <c r="W579" s="19" t="n">
        <v>15</v>
      </c>
      <c r="X579" s="19" t="n">
        <v>10</v>
      </c>
      <c r="Y579" s="19" t="n">
        <v>4</v>
      </c>
      <c r="Z579" s="19" t="n">
        <v>7</v>
      </c>
      <c r="AA579" s="19" t="n">
        <v>15</v>
      </c>
      <c r="AB579" s="19" t="n">
        <v>11</v>
      </c>
      <c r="AC579" s="19" t="n">
        <v>9</v>
      </c>
      <c r="AD579" s="19" t="n">
        <v>11</v>
      </c>
      <c r="AE579" s="2" t="n">
        <v>8</v>
      </c>
      <c r="AF579" s="19" t="n">
        <v>7</v>
      </c>
      <c r="AG579" s="19"/>
      <c r="AH579" s="19"/>
    </row>
    <row r="580" customFormat="false" ht="12.75" hidden="false" customHeight="true" outlineLevel="0" collapsed="false">
      <c r="A580" s="16" t="s">
        <v>320</v>
      </c>
      <c r="B580" s="17" t="n">
        <f aca="false">AVERAGE(E580:AE580)</f>
        <v>12.3333333333333</v>
      </c>
      <c r="C580" s="2" t="n">
        <f aca="false">MIN(E580:AE580)</f>
        <v>4</v>
      </c>
      <c r="D580" s="18" t="n">
        <f aca="false">MAX(E580:AE580)</f>
        <v>20</v>
      </c>
      <c r="E580" s="19" t="n">
        <v>9</v>
      </c>
      <c r="F580" s="19" t="n">
        <v>10</v>
      </c>
      <c r="G580" s="19" t="n">
        <v>9</v>
      </c>
      <c r="H580" s="19" t="n">
        <v>15</v>
      </c>
      <c r="I580" s="19" t="n">
        <v>13</v>
      </c>
      <c r="J580" s="19" t="n">
        <v>15</v>
      </c>
      <c r="K580" s="19" t="n">
        <v>14</v>
      </c>
      <c r="L580" s="19" t="n">
        <v>16</v>
      </c>
      <c r="M580" s="19" t="n">
        <v>15</v>
      </c>
      <c r="N580" s="19" t="n">
        <v>13</v>
      </c>
      <c r="O580" s="19" t="n">
        <v>15</v>
      </c>
      <c r="P580" s="19" t="n">
        <v>8</v>
      </c>
      <c r="Q580" s="19" t="n">
        <v>17</v>
      </c>
      <c r="R580" s="19" t="n">
        <v>20</v>
      </c>
      <c r="S580" s="19" t="n">
        <v>6</v>
      </c>
      <c r="T580" s="19" t="n">
        <v>16</v>
      </c>
      <c r="U580" s="19" t="n">
        <v>16</v>
      </c>
      <c r="V580" s="19" t="n">
        <v>16</v>
      </c>
      <c r="W580" s="19" t="n">
        <v>15</v>
      </c>
      <c r="X580" s="19" t="n">
        <v>10</v>
      </c>
      <c r="Y580" s="19" t="n">
        <v>4</v>
      </c>
      <c r="Z580" s="19" t="n">
        <v>7</v>
      </c>
      <c r="AA580" s="19" t="n">
        <v>15</v>
      </c>
      <c r="AB580" s="19" t="n">
        <v>11</v>
      </c>
      <c r="AC580" s="19" t="n">
        <v>9</v>
      </c>
      <c r="AD580" s="19" t="n">
        <v>11</v>
      </c>
      <c r="AE580" s="19" t="n">
        <v>8</v>
      </c>
      <c r="AF580" s="19" t="n">
        <v>7</v>
      </c>
      <c r="AG580" s="19"/>
      <c r="AH580" s="19"/>
    </row>
    <row r="581" customFormat="false" ht="12.75" hidden="false" customHeight="true" outlineLevel="0" collapsed="false">
      <c r="A581" s="16" t="s">
        <v>321</v>
      </c>
      <c r="B581" s="17" t="n">
        <f aca="false">AVERAGE(E581:AE581)</f>
        <v>12.4074074074074</v>
      </c>
      <c r="C581" s="2" t="n">
        <f aca="false">MIN(E581:AE581)</f>
        <v>4</v>
      </c>
      <c r="D581" s="18" t="n">
        <f aca="false">MAX(E581:AE581)</f>
        <v>20</v>
      </c>
      <c r="E581" s="19" t="n">
        <v>9</v>
      </c>
      <c r="F581" s="19" t="n">
        <v>10</v>
      </c>
      <c r="G581" s="19" t="n">
        <v>9</v>
      </c>
      <c r="H581" s="19" t="n">
        <v>15</v>
      </c>
      <c r="I581" s="19" t="n">
        <v>14</v>
      </c>
      <c r="J581" s="19" t="n">
        <v>15</v>
      </c>
      <c r="K581" s="19" t="n">
        <v>14</v>
      </c>
      <c r="L581" s="19" t="n">
        <v>16</v>
      </c>
      <c r="M581" s="19" t="n">
        <v>15</v>
      </c>
      <c r="N581" s="19" t="n">
        <v>13</v>
      </c>
      <c r="O581" s="19" t="n">
        <v>15</v>
      </c>
      <c r="P581" s="19" t="n">
        <v>8</v>
      </c>
      <c r="Q581" s="19" t="n">
        <v>17</v>
      </c>
      <c r="R581" s="19" t="n">
        <v>20</v>
      </c>
      <c r="S581" s="19" t="n">
        <v>6</v>
      </c>
      <c r="T581" s="19" t="n">
        <v>16</v>
      </c>
      <c r="U581" s="19" t="n">
        <v>16</v>
      </c>
      <c r="V581" s="19" t="n">
        <v>16</v>
      </c>
      <c r="W581" s="19" t="n">
        <v>15</v>
      </c>
      <c r="X581" s="19" t="n">
        <v>10</v>
      </c>
      <c r="Y581" s="19" t="n">
        <v>4</v>
      </c>
      <c r="Z581" s="19" t="n">
        <v>7</v>
      </c>
      <c r="AA581" s="19" t="n">
        <v>15</v>
      </c>
      <c r="AB581" s="19" t="n">
        <v>11</v>
      </c>
      <c r="AC581" s="19" t="n">
        <v>10</v>
      </c>
      <c r="AD581" s="19" t="n">
        <v>11</v>
      </c>
      <c r="AE581" s="19" t="n">
        <v>8</v>
      </c>
      <c r="AF581" s="19" t="n">
        <v>7</v>
      </c>
      <c r="AG581" s="19"/>
      <c r="AH581" s="19"/>
    </row>
    <row r="582" customFormat="false" ht="12.75" hidden="false" customHeight="true" outlineLevel="0" collapsed="false">
      <c r="A582" s="16" t="s">
        <v>322</v>
      </c>
      <c r="B582" s="17" t="n">
        <f aca="false">AVERAGE(E582:AE582)</f>
        <v>12.5925925925926</v>
      </c>
      <c r="C582" s="2" t="n">
        <f aca="false">MIN(E582:AE582)</f>
        <v>4</v>
      </c>
      <c r="D582" s="18" t="n">
        <f aca="false">MAX(E582:AE582)</f>
        <v>20</v>
      </c>
      <c r="E582" s="19" t="n">
        <v>9</v>
      </c>
      <c r="F582" s="19" t="n">
        <v>10</v>
      </c>
      <c r="G582" s="19" t="n">
        <v>9</v>
      </c>
      <c r="H582" s="19" t="n">
        <v>15</v>
      </c>
      <c r="I582" s="19" t="n">
        <v>14</v>
      </c>
      <c r="J582" s="19" t="n">
        <v>15</v>
      </c>
      <c r="K582" s="19" t="n">
        <v>14</v>
      </c>
      <c r="L582" s="19" t="n">
        <v>16</v>
      </c>
      <c r="M582" s="19" t="n">
        <v>15</v>
      </c>
      <c r="N582" s="19" t="n">
        <v>13</v>
      </c>
      <c r="O582" s="19" t="n">
        <v>15</v>
      </c>
      <c r="P582" s="19" t="n">
        <v>8</v>
      </c>
      <c r="Q582" s="19" t="n">
        <v>17</v>
      </c>
      <c r="R582" s="19" t="n">
        <v>20</v>
      </c>
      <c r="S582" s="19" t="n">
        <v>6</v>
      </c>
      <c r="T582" s="19" t="n">
        <v>17</v>
      </c>
      <c r="U582" s="19" t="n">
        <v>17</v>
      </c>
      <c r="V582" s="19" t="n">
        <v>16</v>
      </c>
      <c r="W582" s="19" t="n">
        <v>15</v>
      </c>
      <c r="X582" s="19" t="n">
        <v>11</v>
      </c>
      <c r="Y582" s="19" t="n">
        <v>4</v>
      </c>
      <c r="Z582" s="19" t="n">
        <v>7</v>
      </c>
      <c r="AA582" s="19" t="n">
        <v>16</v>
      </c>
      <c r="AB582" s="19" t="n">
        <v>11</v>
      </c>
      <c r="AC582" s="19" t="n">
        <v>10</v>
      </c>
      <c r="AD582" s="19" t="n">
        <v>11</v>
      </c>
      <c r="AE582" s="2" t="n">
        <v>9</v>
      </c>
      <c r="AF582" s="19" t="n">
        <v>7</v>
      </c>
      <c r="AG582" s="19"/>
      <c r="AH582" s="19"/>
    </row>
    <row r="583" customFormat="false" ht="12.75" hidden="false" customHeight="true" outlineLevel="0" collapsed="false">
      <c r="A583" s="16" t="s">
        <v>323</v>
      </c>
      <c r="B583" s="17" t="n">
        <f aca="false">AVERAGE(E583:AE583)</f>
        <v>12.6666666666667</v>
      </c>
      <c r="C583" s="2" t="n">
        <f aca="false">MIN(E583:AE583)</f>
        <v>4</v>
      </c>
      <c r="D583" s="18" t="n">
        <f aca="false">MAX(E583:AE583)</f>
        <v>20</v>
      </c>
      <c r="E583" s="19" t="n">
        <v>9</v>
      </c>
      <c r="F583" s="19" t="n">
        <v>10</v>
      </c>
      <c r="G583" s="19" t="n">
        <v>9</v>
      </c>
      <c r="H583" s="19" t="n">
        <v>15</v>
      </c>
      <c r="I583" s="19" t="n">
        <v>14</v>
      </c>
      <c r="J583" s="19" t="n">
        <v>15</v>
      </c>
      <c r="K583" s="19" t="n">
        <v>14</v>
      </c>
      <c r="L583" s="19" t="n">
        <v>16</v>
      </c>
      <c r="M583" s="19" t="n">
        <v>15</v>
      </c>
      <c r="N583" s="19" t="n">
        <v>13</v>
      </c>
      <c r="O583" s="19" t="n">
        <v>15</v>
      </c>
      <c r="P583" s="19" t="n">
        <v>8</v>
      </c>
      <c r="Q583" s="19" t="n">
        <v>17</v>
      </c>
      <c r="R583" s="19" t="n">
        <v>20</v>
      </c>
      <c r="S583" s="19" t="n">
        <v>6</v>
      </c>
      <c r="T583" s="19" t="n">
        <v>17</v>
      </c>
      <c r="U583" s="19" t="n">
        <v>17</v>
      </c>
      <c r="V583" s="19" t="n">
        <v>17</v>
      </c>
      <c r="W583" s="19" t="n">
        <v>15</v>
      </c>
      <c r="X583" s="19" t="n">
        <v>11</v>
      </c>
      <c r="Y583" s="19" t="n">
        <v>4</v>
      </c>
      <c r="Z583" s="19" t="n">
        <v>7</v>
      </c>
      <c r="AA583" s="19" t="n">
        <v>17</v>
      </c>
      <c r="AB583" s="19" t="n">
        <v>11</v>
      </c>
      <c r="AC583" s="19" t="n">
        <v>10</v>
      </c>
      <c r="AD583" s="19" t="n">
        <v>11</v>
      </c>
      <c r="AE583" s="19" t="n">
        <v>9</v>
      </c>
      <c r="AF583" s="19" t="n">
        <v>7</v>
      </c>
      <c r="AG583" s="19"/>
      <c r="AH583" s="19"/>
    </row>
    <row r="584" customFormat="false" ht="12.75" hidden="false" customHeight="true" outlineLevel="0" collapsed="false">
      <c r="A584" s="16" t="s">
        <v>324</v>
      </c>
      <c r="B584" s="17" t="n">
        <f aca="false">AVERAGE(E584:AE584)</f>
        <v>12.7777777777778</v>
      </c>
      <c r="C584" s="2" t="n">
        <f aca="false">MIN(E584:AE584)</f>
        <v>5</v>
      </c>
      <c r="D584" s="18" t="n">
        <f aca="false">MAX(E584:AE584)</f>
        <v>20</v>
      </c>
      <c r="E584" s="19" t="n">
        <v>9</v>
      </c>
      <c r="F584" s="19" t="n">
        <v>10</v>
      </c>
      <c r="G584" s="19" t="n">
        <v>9</v>
      </c>
      <c r="H584" s="19" t="n">
        <v>15</v>
      </c>
      <c r="I584" s="19" t="n">
        <v>14</v>
      </c>
      <c r="J584" s="19" t="n">
        <v>15</v>
      </c>
      <c r="K584" s="19" t="n">
        <v>14</v>
      </c>
      <c r="L584" s="19" t="n">
        <v>16</v>
      </c>
      <c r="M584" s="19" t="n">
        <v>15</v>
      </c>
      <c r="N584" s="19" t="n">
        <v>13</v>
      </c>
      <c r="O584" s="19" t="n">
        <v>15</v>
      </c>
      <c r="P584" s="19" t="n">
        <v>8</v>
      </c>
      <c r="Q584" s="19" t="n">
        <v>17</v>
      </c>
      <c r="R584" s="19" t="n">
        <v>20</v>
      </c>
      <c r="S584" s="19" t="n">
        <v>6</v>
      </c>
      <c r="T584" s="19" t="n">
        <v>18</v>
      </c>
      <c r="U584" s="19" t="n">
        <v>17</v>
      </c>
      <c r="V584" s="19" t="n">
        <v>18</v>
      </c>
      <c r="W584" s="19" t="n">
        <v>15</v>
      </c>
      <c r="X584" s="19" t="n">
        <v>11</v>
      </c>
      <c r="Y584" s="19" t="n">
        <v>5</v>
      </c>
      <c r="Z584" s="19" t="n">
        <v>7</v>
      </c>
      <c r="AA584" s="19" t="n">
        <v>17</v>
      </c>
      <c r="AB584" s="19" t="n">
        <v>11</v>
      </c>
      <c r="AC584" s="19" t="n">
        <v>10</v>
      </c>
      <c r="AD584" s="19" t="n">
        <v>11</v>
      </c>
      <c r="AE584" s="2" t="n">
        <v>9</v>
      </c>
      <c r="AF584" s="19" t="n">
        <v>7</v>
      </c>
      <c r="AG584" s="19"/>
      <c r="AH584" s="19"/>
    </row>
    <row r="585" customFormat="false" ht="12.75" hidden="false" customHeight="true" outlineLevel="0" collapsed="false">
      <c r="A585" s="16" t="s">
        <v>325</v>
      </c>
      <c r="B585" s="17" t="n">
        <f aca="false">AVERAGE(E585:AE585)</f>
        <v>12.8888888888889</v>
      </c>
      <c r="C585" s="2" t="n">
        <f aca="false">MIN(E585:AE585)</f>
        <v>5</v>
      </c>
      <c r="D585" s="18" t="n">
        <f aca="false">MAX(E585:AE585)</f>
        <v>20</v>
      </c>
      <c r="E585" s="19" t="n">
        <v>9</v>
      </c>
      <c r="F585" s="19" t="n">
        <v>10</v>
      </c>
      <c r="G585" s="19" t="n">
        <v>9</v>
      </c>
      <c r="H585" s="19" t="n">
        <v>15</v>
      </c>
      <c r="I585" s="19" t="n">
        <v>14</v>
      </c>
      <c r="J585" s="19" t="n">
        <v>15</v>
      </c>
      <c r="K585" s="19" t="n">
        <v>14</v>
      </c>
      <c r="L585" s="19" t="n">
        <v>17</v>
      </c>
      <c r="M585" s="19" t="n">
        <v>15</v>
      </c>
      <c r="N585" s="19" t="n">
        <v>13</v>
      </c>
      <c r="O585" s="19" t="n">
        <v>15</v>
      </c>
      <c r="P585" s="19" t="n">
        <v>8</v>
      </c>
      <c r="Q585" s="19" t="n">
        <v>17</v>
      </c>
      <c r="R585" s="19" t="n">
        <v>20</v>
      </c>
      <c r="S585" s="19" t="n">
        <v>7</v>
      </c>
      <c r="T585" s="19" t="n">
        <v>19</v>
      </c>
      <c r="U585" s="19" t="n">
        <v>17</v>
      </c>
      <c r="V585" s="19" t="n">
        <v>18</v>
      </c>
      <c r="W585" s="19" t="n">
        <v>15</v>
      </c>
      <c r="X585" s="19" t="n">
        <v>11</v>
      </c>
      <c r="Y585" s="19" t="n">
        <v>5</v>
      </c>
      <c r="Z585" s="19" t="n">
        <v>7</v>
      </c>
      <c r="AA585" s="19" t="n">
        <v>17</v>
      </c>
      <c r="AB585" s="19" t="n">
        <v>11</v>
      </c>
      <c r="AC585" s="19" t="n">
        <v>10</v>
      </c>
      <c r="AD585" s="19" t="n">
        <v>11</v>
      </c>
      <c r="AE585" s="19" t="n">
        <v>9</v>
      </c>
      <c r="AF585" s="19" t="n">
        <v>7</v>
      </c>
      <c r="AG585" s="19"/>
      <c r="AH585" s="19"/>
    </row>
    <row r="586" customFormat="false" ht="12.75" hidden="false" customHeight="true" outlineLevel="0" collapsed="false">
      <c r="A586" s="16" t="s">
        <v>326</v>
      </c>
      <c r="B586" s="17" t="n">
        <f aca="false">AVERAGE(E586:AE586)</f>
        <v>13.1111111111111</v>
      </c>
      <c r="C586" s="2" t="n">
        <f aca="false">MIN(E586:AE586)</f>
        <v>6</v>
      </c>
      <c r="D586" s="18" t="n">
        <f aca="false">MAX(E586:AE586)</f>
        <v>20</v>
      </c>
      <c r="E586" s="19" t="n">
        <v>9</v>
      </c>
      <c r="F586" s="19" t="n">
        <v>10</v>
      </c>
      <c r="G586" s="19" t="n">
        <v>9</v>
      </c>
      <c r="H586" s="19" t="n">
        <v>15</v>
      </c>
      <c r="I586" s="19" t="n">
        <v>15</v>
      </c>
      <c r="J586" s="19" t="n">
        <v>15</v>
      </c>
      <c r="K586" s="19" t="n">
        <v>15</v>
      </c>
      <c r="L586" s="19" t="n">
        <v>17</v>
      </c>
      <c r="M586" s="19" t="n">
        <v>15</v>
      </c>
      <c r="N586" s="19" t="n">
        <v>13</v>
      </c>
      <c r="O586" s="19" t="n">
        <v>15</v>
      </c>
      <c r="P586" s="19" t="n">
        <v>8</v>
      </c>
      <c r="Q586" s="19" t="n">
        <v>17</v>
      </c>
      <c r="R586" s="19" t="n">
        <v>20</v>
      </c>
      <c r="S586" s="19" t="n">
        <v>8</v>
      </c>
      <c r="T586" s="19" t="n">
        <v>20</v>
      </c>
      <c r="U586" s="19" t="n">
        <v>17</v>
      </c>
      <c r="V586" s="19" t="n">
        <v>18</v>
      </c>
      <c r="W586" s="19" t="n">
        <v>15</v>
      </c>
      <c r="X586" s="19" t="n">
        <v>11</v>
      </c>
      <c r="Y586" s="19" t="n">
        <v>6</v>
      </c>
      <c r="Z586" s="19" t="n">
        <v>7</v>
      </c>
      <c r="AA586" s="19" t="n">
        <v>17</v>
      </c>
      <c r="AB586" s="19" t="n">
        <v>11</v>
      </c>
      <c r="AC586" s="19" t="n">
        <v>11</v>
      </c>
      <c r="AD586" s="19" t="n">
        <v>11</v>
      </c>
      <c r="AE586" s="2" t="n">
        <v>9</v>
      </c>
      <c r="AF586" s="19" t="n">
        <v>7</v>
      </c>
      <c r="AG586" s="19"/>
      <c r="AH586" s="19"/>
    </row>
    <row r="587" customFormat="false" ht="12.75" hidden="false" customHeight="true" outlineLevel="0" collapsed="false">
      <c r="A587" s="16" t="s">
        <v>327</v>
      </c>
      <c r="B587" s="17" t="n">
        <f aca="false">AVERAGE(E587:AE587)</f>
        <v>13.2222222222222</v>
      </c>
      <c r="C587" s="2" t="n">
        <f aca="false">MIN(E587:AE587)</f>
        <v>6</v>
      </c>
      <c r="D587" s="18" t="n">
        <f aca="false">MAX(E587:AE587)</f>
        <v>21</v>
      </c>
      <c r="E587" s="19" t="n">
        <v>9</v>
      </c>
      <c r="F587" s="19" t="n">
        <v>10</v>
      </c>
      <c r="G587" s="19" t="n">
        <v>9</v>
      </c>
      <c r="H587" s="19" t="n">
        <v>15</v>
      </c>
      <c r="I587" s="19" t="n">
        <v>15</v>
      </c>
      <c r="J587" s="19" t="n">
        <v>15</v>
      </c>
      <c r="K587" s="19" t="n">
        <v>16</v>
      </c>
      <c r="L587" s="19" t="n">
        <v>17</v>
      </c>
      <c r="M587" s="19" t="n">
        <v>15</v>
      </c>
      <c r="N587" s="19" t="n">
        <v>13</v>
      </c>
      <c r="O587" s="19" t="n">
        <v>15</v>
      </c>
      <c r="P587" s="19" t="n">
        <v>8</v>
      </c>
      <c r="Q587" s="19" t="n">
        <v>17</v>
      </c>
      <c r="R587" s="19" t="n">
        <v>20</v>
      </c>
      <c r="S587" s="19" t="n">
        <v>8</v>
      </c>
      <c r="T587" s="19" t="n">
        <v>21</v>
      </c>
      <c r="U587" s="19" t="n">
        <v>17</v>
      </c>
      <c r="V587" s="19" t="n">
        <v>18</v>
      </c>
      <c r="W587" s="19" t="n">
        <v>15</v>
      </c>
      <c r="X587" s="19" t="n">
        <v>11</v>
      </c>
      <c r="Y587" s="19" t="n">
        <v>6</v>
      </c>
      <c r="Z587" s="19" t="n">
        <v>7</v>
      </c>
      <c r="AA587" s="19" t="n">
        <v>17</v>
      </c>
      <c r="AB587" s="19" t="n">
        <v>11</v>
      </c>
      <c r="AC587" s="19" t="n">
        <v>12</v>
      </c>
      <c r="AD587" s="19" t="n">
        <v>11</v>
      </c>
      <c r="AE587" s="19" t="n">
        <v>9</v>
      </c>
      <c r="AF587" s="19" t="n">
        <v>7</v>
      </c>
      <c r="AG587" s="19"/>
      <c r="AH587" s="19"/>
    </row>
    <row r="588" customFormat="false" ht="12.75" hidden="false" customHeight="true" outlineLevel="0" collapsed="false">
      <c r="A588" s="16" t="s">
        <v>328</v>
      </c>
      <c r="B588" s="17" t="n">
        <f aca="false">AVERAGE(E588:AE588)</f>
        <v>13.2962962962963</v>
      </c>
      <c r="C588" s="2" t="n">
        <f aca="false">MIN(E588:AE588)</f>
        <v>7</v>
      </c>
      <c r="D588" s="18" t="n">
        <f aca="false">MAX(E588:AE588)</f>
        <v>21</v>
      </c>
      <c r="E588" s="19" t="n">
        <v>9</v>
      </c>
      <c r="F588" s="19" t="n">
        <v>10</v>
      </c>
      <c r="G588" s="19" t="n">
        <v>9</v>
      </c>
      <c r="H588" s="19" t="n">
        <v>15</v>
      </c>
      <c r="I588" s="19" t="n">
        <v>15</v>
      </c>
      <c r="J588" s="19" t="n">
        <v>15</v>
      </c>
      <c r="K588" s="19" t="n">
        <v>16</v>
      </c>
      <c r="L588" s="19" t="n">
        <v>18</v>
      </c>
      <c r="M588" s="19" t="n">
        <v>15</v>
      </c>
      <c r="N588" s="19" t="n">
        <v>13</v>
      </c>
      <c r="O588" s="19" t="n">
        <v>15</v>
      </c>
      <c r="P588" s="19" t="n">
        <v>8</v>
      </c>
      <c r="Q588" s="19" t="n">
        <v>17</v>
      </c>
      <c r="R588" s="19" t="n">
        <v>20</v>
      </c>
      <c r="S588" s="19" t="n">
        <v>8</v>
      </c>
      <c r="T588" s="19" t="n">
        <v>21</v>
      </c>
      <c r="U588" s="19" t="n">
        <v>17</v>
      </c>
      <c r="V588" s="19" t="n">
        <v>18</v>
      </c>
      <c r="W588" s="19" t="n">
        <v>15</v>
      </c>
      <c r="X588" s="19" t="n">
        <v>11</v>
      </c>
      <c r="Y588" s="19" t="n">
        <v>7</v>
      </c>
      <c r="Z588" s="19" t="n">
        <v>7</v>
      </c>
      <c r="AA588" s="19" t="n">
        <v>17</v>
      </c>
      <c r="AB588" s="19" t="n">
        <v>11</v>
      </c>
      <c r="AC588" s="19" t="n">
        <v>12</v>
      </c>
      <c r="AD588" s="19" t="n">
        <v>11</v>
      </c>
      <c r="AE588" s="2" t="n">
        <v>9</v>
      </c>
      <c r="AF588" s="19" t="n">
        <v>7</v>
      </c>
      <c r="AG588" s="19"/>
      <c r="AH588" s="19"/>
    </row>
    <row r="589" customFormat="false" ht="12.75" hidden="false" customHeight="true" outlineLevel="0" collapsed="false">
      <c r="A589" s="16" t="s">
        <v>329</v>
      </c>
      <c r="B589" s="17" t="n">
        <f aca="false">AVERAGE(E589:AE589)</f>
        <v>13.4814814814815</v>
      </c>
      <c r="C589" s="2" t="n">
        <f aca="false">MIN(E589:AE589)</f>
        <v>7</v>
      </c>
      <c r="D589" s="18" t="n">
        <f aca="false">MAX(E589:AE589)</f>
        <v>21</v>
      </c>
      <c r="E589" s="19" t="n">
        <v>9</v>
      </c>
      <c r="F589" s="19" t="n">
        <v>10</v>
      </c>
      <c r="G589" s="19" t="n">
        <v>9</v>
      </c>
      <c r="H589" s="19" t="n">
        <v>16</v>
      </c>
      <c r="I589" s="19" t="n">
        <v>15</v>
      </c>
      <c r="J589" s="19" t="n">
        <v>15</v>
      </c>
      <c r="K589" s="19" t="n">
        <v>16</v>
      </c>
      <c r="L589" s="19" t="n">
        <v>18</v>
      </c>
      <c r="M589" s="19" t="n">
        <v>15</v>
      </c>
      <c r="N589" s="19" t="n">
        <v>14</v>
      </c>
      <c r="O589" s="19" t="n">
        <v>15</v>
      </c>
      <c r="P589" s="19" t="n">
        <v>8</v>
      </c>
      <c r="Q589" s="19" t="n">
        <v>17</v>
      </c>
      <c r="R589" s="19" t="n">
        <v>20</v>
      </c>
      <c r="S589" s="19" t="n">
        <v>8</v>
      </c>
      <c r="T589" s="19" t="n">
        <v>21</v>
      </c>
      <c r="U589" s="19" t="n">
        <v>17</v>
      </c>
      <c r="V589" s="19" t="n">
        <v>18</v>
      </c>
      <c r="W589" s="19" t="n">
        <v>16</v>
      </c>
      <c r="X589" s="19" t="n">
        <v>11</v>
      </c>
      <c r="Y589" s="19" t="n">
        <v>7</v>
      </c>
      <c r="Z589" s="19" t="n">
        <v>7</v>
      </c>
      <c r="AA589" s="19" t="n">
        <v>17</v>
      </c>
      <c r="AB589" s="19" t="n">
        <v>11</v>
      </c>
      <c r="AC589" s="19" t="n">
        <v>12</v>
      </c>
      <c r="AD589" s="19" t="n">
        <v>12</v>
      </c>
      <c r="AE589" s="19" t="n">
        <v>10</v>
      </c>
      <c r="AF589" s="19" t="n">
        <v>7</v>
      </c>
      <c r="AG589" s="19"/>
      <c r="AH589" s="19"/>
    </row>
    <row r="590" customFormat="false" ht="12.75" hidden="false" customHeight="true" outlineLevel="0" collapsed="false">
      <c r="A590" s="16" t="s">
        <v>330</v>
      </c>
      <c r="B590" s="17" t="n">
        <f aca="false">AVERAGE(E590:AE590)</f>
        <v>13.7037037037037</v>
      </c>
      <c r="C590" s="2" t="n">
        <f aca="false">MIN(E590:AE590)</f>
        <v>7</v>
      </c>
      <c r="D590" s="18" t="n">
        <f aca="false">MAX(E590:AE590)</f>
        <v>22</v>
      </c>
      <c r="E590" s="19" t="n">
        <v>9</v>
      </c>
      <c r="F590" s="19" t="n">
        <v>10</v>
      </c>
      <c r="G590" s="19" t="n">
        <v>9</v>
      </c>
      <c r="H590" s="19" t="n">
        <v>16</v>
      </c>
      <c r="I590" s="19" t="n">
        <v>15</v>
      </c>
      <c r="J590" s="19" t="n">
        <v>15</v>
      </c>
      <c r="K590" s="19" t="n">
        <v>16</v>
      </c>
      <c r="L590" s="19" t="n">
        <v>18</v>
      </c>
      <c r="M590" s="19" t="n">
        <v>15</v>
      </c>
      <c r="N590" s="19" t="n">
        <v>14</v>
      </c>
      <c r="O590" s="19" t="n">
        <v>16</v>
      </c>
      <c r="P590" s="19" t="n">
        <v>8</v>
      </c>
      <c r="Q590" s="19" t="n">
        <v>17</v>
      </c>
      <c r="R590" s="19" t="n">
        <v>21</v>
      </c>
      <c r="S590" s="19" t="n">
        <v>8</v>
      </c>
      <c r="T590" s="19" t="n">
        <v>22</v>
      </c>
      <c r="U590" s="19" t="n">
        <v>17</v>
      </c>
      <c r="V590" s="19" t="n">
        <v>18</v>
      </c>
      <c r="W590" s="19" t="n">
        <v>16</v>
      </c>
      <c r="X590" s="19" t="n">
        <v>12</v>
      </c>
      <c r="Y590" s="19" t="n">
        <v>8</v>
      </c>
      <c r="Z590" s="19" t="n">
        <v>7</v>
      </c>
      <c r="AA590" s="19" t="n">
        <v>17</v>
      </c>
      <c r="AB590" s="19" t="n">
        <v>11</v>
      </c>
      <c r="AC590" s="19" t="n">
        <v>12</v>
      </c>
      <c r="AD590" s="19" t="n">
        <v>12</v>
      </c>
      <c r="AE590" s="2" t="n">
        <v>11</v>
      </c>
      <c r="AF590" s="19" t="n">
        <v>7</v>
      </c>
      <c r="AG590" s="19"/>
      <c r="AH590" s="19"/>
    </row>
    <row r="591" customFormat="false" ht="12.75" hidden="false" customHeight="true" outlineLevel="0" collapsed="false">
      <c r="A591" s="16" t="s">
        <v>331</v>
      </c>
      <c r="B591" s="17" t="n">
        <f aca="false">AVERAGE(E591:AE591)</f>
        <v>13.8148148148148</v>
      </c>
      <c r="C591" s="2" t="n">
        <f aca="false">MIN(E591:AE591)</f>
        <v>7</v>
      </c>
      <c r="D591" s="18" t="n">
        <f aca="false">MAX(E591:AE591)</f>
        <v>22</v>
      </c>
      <c r="E591" s="19" t="n">
        <v>9</v>
      </c>
      <c r="F591" s="19" t="n">
        <v>10</v>
      </c>
      <c r="G591" s="19" t="n">
        <v>9</v>
      </c>
      <c r="H591" s="19" t="n">
        <v>16</v>
      </c>
      <c r="I591" s="19" t="n">
        <v>15</v>
      </c>
      <c r="J591" s="19" t="n">
        <v>15</v>
      </c>
      <c r="K591" s="19" t="n">
        <v>16</v>
      </c>
      <c r="L591" s="19" t="n">
        <v>18</v>
      </c>
      <c r="M591" s="19" t="n">
        <v>15</v>
      </c>
      <c r="N591" s="19" t="n">
        <v>14</v>
      </c>
      <c r="O591" s="19" t="n">
        <v>16</v>
      </c>
      <c r="P591" s="19" t="n">
        <v>8</v>
      </c>
      <c r="Q591" s="19" t="n">
        <v>17</v>
      </c>
      <c r="R591" s="19" t="n">
        <v>22</v>
      </c>
      <c r="S591" s="19" t="n">
        <v>8</v>
      </c>
      <c r="T591" s="19" t="n">
        <v>22</v>
      </c>
      <c r="U591" s="19" t="n">
        <v>17</v>
      </c>
      <c r="V591" s="19" t="n">
        <v>18</v>
      </c>
      <c r="W591" s="19" t="n">
        <v>16</v>
      </c>
      <c r="X591" s="19" t="n">
        <v>12</v>
      </c>
      <c r="Y591" s="19" t="n">
        <v>9</v>
      </c>
      <c r="Z591" s="19" t="n">
        <v>7</v>
      </c>
      <c r="AA591" s="19" t="n">
        <v>18</v>
      </c>
      <c r="AB591" s="19" t="n">
        <v>11</v>
      </c>
      <c r="AC591" s="19" t="n">
        <v>12</v>
      </c>
      <c r="AD591" s="19" t="n">
        <v>12</v>
      </c>
      <c r="AE591" s="19" t="n">
        <v>11</v>
      </c>
      <c r="AF591" s="19" t="n">
        <v>7</v>
      </c>
      <c r="AG591" s="19"/>
      <c r="AH591" s="19"/>
    </row>
    <row r="592" customFormat="false" ht="12.75" hidden="false" customHeight="true" outlineLevel="0" collapsed="false">
      <c r="A592" s="16" t="s">
        <v>332</v>
      </c>
      <c r="B592" s="17" t="n">
        <f aca="false">AVERAGE(E592:AE592)</f>
        <v>14.037037037037</v>
      </c>
      <c r="C592" s="2" t="n">
        <f aca="false">MIN(E592:AE592)</f>
        <v>7</v>
      </c>
      <c r="D592" s="18" t="n">
        <f aca="false">MAX(E592:AE592)</f>
        <v>23</v>
      </c>
      <c r="E592" s="19" t="n">
        <v>9</v>
      </c>
      <c r="F592" s="19" t="n">
        <v>10</v>
      </c>
      <c r="G592" s="19" t="n">
        <v>9</v>
      </c>
      <c r="H592" s="19" t="n">
        <v>16</v>
      </c>
      <c r="I592" s="19" t="n">
        <v>15</v>
      </c>
      <c r="J592" s="19" t="n">
        <v>15</v>
      </c>
      <c r="K592" s="19" t="n">
        <v>16</v>
      </c>
      <c r="L592" s="19" t="n">
        <v>18</v>
      </c>
      <c r="M592" s="19" t="n">
        <v>15</v>
      </c>
      <c r="N592" s="19" t="n">
        <v>14</v>
      </c>
      <c r="O592" s="19" t="n">
        <v>16</v>
      </c>
      <c r="P592" s="19" t="n">
        <v>8</v>
      </c>
      <c r="Q592" s="19" t="n">
        <v>18</v>
      </c>
      <c r="R592" s="19" t="n">
        <v>22</v>
      </c>
      <c r="S592" s="19" t="n">
        <v>9</v>
      </c>
      <c r="T592" s="19" t="n">
        <v>23</v>
      </c>
      <c r="U592" s="19" t="n">
        <v>17</v>
      </c>
      <c r="V592" s="19" t="n">
        <v>18</v>
      </c>
      <c r="W592" s="19" t="n">
        <v>16</v>
      </c>
      <c r="X592" s="19" t="n">
        <v>13</v>
      </c>
      <c r="Y592" s="19" t="n">
        <v>10</v>
      </c>
      <c r="Z592" s="19" t="n">
        <v>7</v>
      </c>
      <c r="AA592" s="19" t="n">
        <v>18</v>
      </c>
      <c r="AB592" s="19" t="n">
        <v>11</v>
      </c>
      <c r="AC592" s="19" t="n">
        <v>12</v>
      </c>
      <c r="AD592" s="19" t="n">
        <v>13</v>
      </c>
      <c r="AE592" s="2" t="n">
        <v>11</v>
      </c>
      <c r="AF592" s="19" t="n">
        <v>8</v>
      </c>
      <c r="AG592" s="19"/>
      <c r="AH592" s="19"/>
    </row>
    <row r="593" customFormat="false" ht="12.75" hidden="false" customHeight="true" outlineLevel="0" collapsed="false">
      <c r="A593" s="16" t="s">
        <v>333</v>
      </c>
      <c r="B593" s="17" t="n">
        <f aca="false">AVERAGE(E593:AE593)</f>
        <v>14.0740740740741</v>
      </c>
      <c r="C593" s="2" t="n">
        <f aca="false">MIN(E593:AE593)</f>
        <v>7</v>
      </c>
      <c r="D593" s="18" t="n">
        <f aca="false">MAX(E593:AE593)</f>
        <v>23</v>
      </c>
      <c r="E593" s="19" t="n">
        <v>9</v>
      </c>
      <c r="F593" s="19" t="n">
        <v>10</v>
      </c>
      <c r="G593" s="19" t="n">
        <v>9</v>
      </c>
      <c r="H593" s="19" t="n">
        <v>16</v>
      </c>
      <c r="I593" s="19" t="n">
        <v>15</v>
      </c>
      <c r="J593" s="19" t="n">
        <v>15</v>
      </c>
      <c r="K593" s="19" t="n">
        <v>16</v>
      </c>
      <c r="L593" s="19" t="n">
        <v>18</v>
      </c>
      <c r="M593" s="19" t="n">
        <v>15</v>
      </c>
      <c r="N593" s="19" t="n">
        <v>14</v>
      </c>
      <c r="O593" s="19" t="n">
        <v>16</v>
      </c>
      <c r="P593" s="19" t="n">
        <v>8</v>
      </c>
      <c r="Q593" s="19" t="n">
        <v>18</v>
      </c>
      <c r="R593" s="19" t="n">
        <v>22</v>
      </c>
      <c r="S593" s="19" t="n">
        <v>9</v>
      </c>
      <c r="T593" s="19" t="n">
        <v>23</v>
      </c>
      <c r="U593" s="19" t="n">
        <v>17</v>
      </c>
      <c r="V593" s="19" t="n">
        <v>19</v>
      </c>
      <c r="W593" s="19" t="n">
        <v>16</v>
      </c>
      <c r="X593" s="19" t="n">
        <v>13</v>
      </c>
      <c r="Y593" s="19" t="n">
        <v>10</v>
      </c>
      <c r="Z593" s="19" t="n">
        <v>7</v>
      </c>
      <c r="AA593" s="19" t="n">
        <v>18</v>
      </c>
      <c r="AB593" s="19" t="n">
        <v>11</v>
      </c>
      <c r="AC593" s="19" t="n">
        <v>12</v>
      </c>
      <c r="AD593" s="19" t="n">
        <v>13</v>
      </c>
      <c r="AE593" s="19" t="n">
        <v>11</v>
      </c>
      <c r="AF593" s="19" t="n">
        <v>9</v>
      </c>
      <c r="AG593" s="19"/>
      <c r="AH593" s="19"/>
    </row>
    <row r="594" customFormat="false" ht="12.75" hidden="false" customHeight="true" outlineLevel="0" collapsed="false">
      <c r="A594" s="16" t="s">
        <v>334</v>
      </c>
      <c r="B594" s="17" t="n">
        <f aca="false">AVERAGE(E594:AE594)</f>
        <v>14.1481481481481</v>
      </c>
      <c r="C594" s="2" t="n">
        <f aca="false">MIN(E594:AE594)</f>
        <v>7</v>
      </c>
      <c r="D594" s="18" t="n">
        <f aca="false">MAX(E594:AE594)</f>
        <v>23</v>
      </c>
      <c r="E594" s="19" t="n">
        <v>9</v>
      </c>
      <c r="F594" s="19" t="n">
        <v>10</v>
      </c>
      <c r="G594" s="19" t="n">
        <v>9</v>
      </c>
      <c r="H594" s="19" t="n">
        <v>16</v>
      </c>
      <c r="I594" s="19" t="n">
        <v>15</v>
      </c>
      <c r="J594" s="19" t="n">
        <v>15</v>
      </c>
      <c r="K594" s="19" t="n">
        <v>16</v>
      </c>
      <c r="L594" s="19" t="n">
        <v>18</v>
      </c>
      <c r="M594" s="19" t="n">
        <v>15</v>
      </c>
      <c r="N594" s="19" t="n">
        <v>14</v>
      </c>
      <c r="O594" s="19" t="n">
        <v>16</v>
      </c>
      <c r="P594" s="19" t="n">
        <v>8</v>
      </c>
      <c r="Q594" s="19" t="n">
        <v>18</v>
      </c>
      <c r="R594" s="19" t="n">
        <v>22</v>
      </c>
      <c r="S594" s="19" t="n">
        <v>10</v>
      </c>
      <c r="T594" s="19" t="n">
        <v>23</v>
      </c>
      <c r="U594" s="19" t="n">
        <v>17</v>
      </c>
      <c r="V594" s="19" t="n">
        <v>19</v>
      </c>
      <c r="W594" s="19" t="n">
        <v>16</v>
      </c>
      <c r="X594" s="19" t="n">
        <v>13</v>
      </c>
      <c r="Y594" s="19" t="n">
        <v>10</v>
      </c>
      <c r="Z594" s="19" t="n">
        <v>7</v>
      </c>
      <c r="AA594" s="19" t="n">
        <v>18</v>
      </c>
      <c r="AB594" s="19" t="n">
        <v>12</v>
      </c>
      <c r="AC594" s="19" t="n">
        <v>12</v>
      </c>
      <c r="AD594" s="19" t="n">
        <v>13</v>
      </c>
      <c r="AE594" s="2" t="n">
        <v>11</v>
      </c>
      <c r="AF594" s="19" t="n">
        <v>9</v>
      </c>
      <c r="AG594" s="19"/>
      <c r="AH594" s="19"/>
    </row>
    <row r="595" customFormat="false" ht="12.75" hidden="false" customHeight="true" outlineLevel="0" collapsed="false">
      <c r="A595" s="16" t="s">
        <v>335</v>
      </c>
      <c r="B595" s="17" t="n">
        <f aca="false">AVERAGE(E595:AE595)</f>
        <v>14.2962962962963</v>
      </c>
      <c r="C595" s="2" t="n">
        <f aca="false">MIN(E595:AE595)</f>
        <v>7</v>
      </c>
      <c r="D595" s="18" t="n">
        <f aca="false">MAX(E595:AE595)</f>
        <v>23</v>
      </c>
      <c r="E595" s="19" t="n">
        <v>9</v>
      </c>
      <c r="F595" s="19" t="n">
        <v>10</v>
      </c>
      <c r="G595" s="19" t="n">
        <v>9</v>
      </c>
      <c r="H595" s="19" t="n">
        <v>16</v>
      </c>
      <c r="I595" s="19" t="n">
        <v>15</v>
      </c>
      <c r="J595" s="19" t="n">
        <v>15</v>
      </c>
      <c r="K595" s="19" t="n">
        <v>17</v>
      </c>
      <c r="L595" s="19" t="n">
        <v>18</v>
      </c>
      <c r="M595" s="19" t="n">
        <v>16</v>
      </c>
      <c r="N595" s="19" t="n">
        <v>15</v>
      </c>
      <c r="O595" s="19" t="n">
        <v>16</v>
      </c>
      <c r="P595" s="19" t="n">
        <v>8</v>
      </c>
      <c r="Q595" s="19" t="n">
        <v>18</v>
      </c>
      <c r="R595" s="19" t="n">
        <v>22</v>
      </c>
      <c r="S595" s="19" t="n">
        <v>10</v>
      </c>
      <c r="T595" s="19" t="n">
        <v>23</v>
      </c>
      <c r="U595" s="19" t="n">
        <v>17</v>
      </c>
      <c r="V595" s="19" t="n">
        <v>19</v>
      </c>
      <c r="W595" s="19" t="n">
        <v>16</v>
      </c>
      <c r="X595" s="19" t="n">
        <v>13</v>
      </c>
      <c r="Y595" s="19" t="n">
        <v>11</v>
      </c>
      <c r="Z595" s="19" t="n">
        <v>7</v>
      </c>
      <c r="AA595" s="19" t="n">
        <v>18</v>
      </c>
      <c r="AB595" s="19" t="n">
        <v>12</v>
      </c>
      <c r="AC595" s="19" t="n">
        <v>12</v>
      </c>
      <c r="AD595" s="19" t="n">
        <v>13</v>
      </c>
      <c r="AE595" s="19" t="n">
        <v>11</v>
      </c>
      <c r="AF595" s="19" t="n">
        <v>9</v>
      </c>
      <c r="AG595" s="19"/>
      <c r="AH595" s="19"/>
    </row>
    <row r="596" customFormat="false" ht="12.75" hidden="false" customHeight="true" outlineLevel="0" collapsed="false">
      <c r="A596" s="16" t="s">
        <v>336</v>
      </c>
      <c r="B596" s="17" t="n">
        <f aca="false">AVERAGE(E596:AE596)</f>
        <v>14.4814814814815</v>
      </c>
      <c r="C596" s="2" t="n">
        <f aca="false">MIN(E596:AE596)</f>
        <v>7</v>
      </c>
      <c r="D596" s="18" t="n">
        <f aca="false">MAX(E596:AE596)</f>
        <v>23</v>
      </c>
      <c r="E596" s="19" t="n">
        <v>9</v>
      </c>
      <c r="F596" s="19" t="n">
        <v>10</v>
      </c>
      <c r="G596" s="19" t="n">
        <v>9</v>
      </c>
      <c r="H596" s="19" t="n">
        <v>17</v>
      </c>
      <c r="I596" s="19" t="n">
        <v>15</v>
      </c>
      <c r="J596" s="19" t="n">
        <v>15</v>
      </c>
      <c r="K596" s="19" t="n">
        <v>17</v>
      </c>
      <c r="L596" s="19" t="n">
        <v>18</v>
      </c>
      <c r="M596" s="19" t="n">
        <v>17</v>
      </c>
      <c r="N596" s="19" t="n">
        <v>16</v>
      </c>
      <c r="O596" s="19" t="n">
        <v>16</v>
      </c>
      <c r="P596" s="19" t="n">
        <v>8</v>
      </c>
      <c r="Q596" s="19" t="n">
        <v>18</v>
      </c>
      <c r="R596" s="19" t="n">
        <v>22</v>
      </c>
      <c r="S596" s="19" t="n">
        <v>10</v>
      </c>
      <c r="T596" s="19" t="n">
        <v>23</v>
      </c>
      <c r="U596" s="19" t="n">
        <v>17</v>
      </c>
      <c r="V596" s="19" t="n">
        <v>19</v>
      </c>
      <c r="W596" s="19" t="n">
        <v>16</v>
      </c>
      <c r="X596" s="19" t="n">
        <v>14</v>
      </c>
      <c r="Y596" s="19" t="n">
        <v>11</v>
      </c>
      <c r="Z596" s="19" t="n">
        <v>7</v>
      </c>
      <c r="AA596" s="19" t="n">
        <v>18</v>
      </c>
      <c r="AB596" s="19" t="n">
        <v>12</v>
      </c>
      <c r="AC596" s="19" t="n">
        <v>12</v>
      </c>
      <c r="AD596" s="19" t="n">
        <v>14</v>
      </c>
      <c r="AE596" s="2" t="n">
        <v>11</v>
      </c>
      <c r="AF596" s="19" t="n">
        <v>9</v>
      </c>
      <c r="AG596" s="19"/>
      <c r="AH596" s="19"/>
    </row>
    <row r="597" customFormat="false" ht="12.75" hidden="false" customHeight="true" outlineLevel="0" collapsed="false">
      <c r="A597" s="16" t="s">
        <v>337</v>
      </c>
      <c r="B597" s="17" t="n">
        <f aca="false">AVERAGE(E597:AE597)</f>
        <v>14.5555555555556</v>
      </c>
      <c r="C597" s="2" t="n">
        <f aca="false">MIN(E597:AE597)</f>
        <v>7</v>
      </c>
      <c r="D597" s="18" t="n">
        <f aca="false">MAX(E597:AE597)</f>
        <v>23</v>
      </c>
      <c r="E597" s="19" t="n">
        <v>9</v>
      </c>
      <c r="F597" s="19" t="n">
        <v>10</v>
      </c>
      <c r="G597" s="19" t="n">
        <v>9</v>
      </c>
      <c r="H597" s="19" t="n">
        <v>17</v>
      </c>
      <c r="I597" s="19" t="n">
        <v>15</v>
      </c>
      <c r="J597" s="19" t="n">
        <v>15</v>
      </c>
      <c r="K597" s="19" t="n">
        <v>17</v>
      </c>
      <c r="L597" s="19" t="n">
        <v>18</v>
      </c>
      <c r="M597" s="19" t="n">
        <v>18</v>
      </c>
      <c r="N597" s="19" t="n">
        <v>16</v>
      </c>
      <c r="O597" s="19" t="n">
        <v>16</v>
      </c>
      <c r="P597" s="19" t="n">
        <v>8</v>
      </c>
      <c r="Q597" s="19" t="n">
        <v>18</v>
      </c>
      <c r="R597" s="19" t="n">
        <v>22</v>
      </c>
      <c r="S597" s="19" t="n">
        <v>10</v>
      </c>
      <c r="T597" s="19" t="n">
        <v>23</v>
      </c>
      <c r="U597" s="19" t="n">
        <v>17</v>
      </c>
      <c r="V597" s="19" t="n">
        <v>19</v>
      </c>
      <c r="W597" s="19" t="n">
        <v>17</v>
      </c>
      <c r="X597" s="19" t="n">
        <v>14</v>
      </c>
      <c r="Y597" s="19" t="n">
        <v>11</v>
      </c>
      <c r="Z597" s="19" t="n">
        <v>7</v>
      </c>
      <c r="AA597" s="19" t="n">
        <v>18</v>
      </c>
      <c r="AB597" s="19" t="n">
        <v>12</v>
      </c>
      <c r="AC597" s="19" t="n">
        <v>12</v>
      </c>
      <c r="AD597" s="19" t="n">
        <v>14</v>
      </c>
      <c r="AE597" s="19" t="n">
        <v>11</v>
      </c>
      <c r="AF597" s="19" t="n">
        <v>9</v>
      </c>
      <c r="AG597" s="19"/>
      <c r="AH597" s="19"/>
    </row>
    <row r="598" customFormat="false" ht="12.75" hidden="false" customHeight="true" outlineLevel="0" collapsed="false">
      <c r="A598" s="16" t="s">
        <v>338</v>
      </c>
      <c r="B598" s="17" t="n">
        <f aca="false">AVERAGE(E598:AE598)</f>
        <v>14.7037037037037</v>
      </c>
      <c r="C598" s="2" t="n">
        <f aca="false">MIN(E598:AE598)</f>
        <v>8</v>
      </c>
      <c r="D598" s="18" t="n">
        <f aca="false">MAX(E598:AE598)</f>
        <v>23</v>
      </c>
      <c r="E598" s="19" t="n">
        <v>9</v>
      </c>
      <c r="F598" s="19" t="n">
        <v>10</v>
      </c>
      <c r="G598" s="19" t="n">
        <v>9</v>
      </c>
      <c r="H598" s="19" t="n">
        <v>17</v>
      </c>
      <c r="I598" s="19" t="n">
        <v>15</v>
      </c>
      <c r="J598" s="19" t="n">
        <v>15</v>
      </c>
      <c r="K598" s="19" t="n">
        <v>17</v>
      </c>
      <c r="L598" s="19" t="n">
        <v>18</v>
      </c>
      <c r="M598" s="19" t="n">
        <v>18</v>
      </c>
      <c r="N598" s="19" t="n">
        <v>16</v>
      </c>
      <c r="O598" s="19" t="n">
        <v>17</v>
      </c>
      <c r="P598" s="19" t="n">
        <v>8</v>
      </c>
      <c r="Q598" s="19" t="n">
        <v>18</v>
      </c>
      <c r="R598" s="19" t="n">
        <v>22</v>
      </c>
      <c r="S598" s="19" t="n">
        <v>11</v>
      </c>
      <c r="T598" s="19" t="n">
        <v>23</v>
      </c>
      <c r="U598" s="19" t="n">
        <v>17</v>
      </c>
      <c r="V598" s="19" t="n">
        <v>19</v>
      </c>
      <c r="W598" s="19" t="n">
        <v>18</v>
      </c>
      <c r="X598" s="19" t="n">
        <v>14</v>
      </c>
      <c r="Y598" s="19" t="n">
        <v>11</v>
      </c>
      <c r="Z598" s="19" t="n">
        <v>8</v>
      </c>
      <c r="AA598" s="19" t="n">
        <v>18</v>
      </c>
      <c r="AB598" s="19" t="n">
        <v>12</v>
      </c>
      <c r="AC598" s="19" t="n">
        <v>12</v>
      </c>
      <c r="AD598" s="19" t="n">
        <v>14</v>
      </c>
      <c r="AE598" s="2" t="n">
        <v>11</v>
      </c>
      <c r="AF598" s="19" t="n">
        <v>9</v>
      </c>
      <c r="AG598" s="19"/>
      <c r="AH598" s="19"/>
    </row>
    <row r="599" customFormat="false" ht="12.75" hidden="false" customHeight="true" outlineLevel="0" collapsed="false">
      <c r="A599" s="16" t="s">
        <v>339</v>
      </c>
      <c r="B599" s="17" t="n">
        <f aca="false">AVERAGE(E599:AE599)</f>
        <v>14.8148148148148</v>
      </c>
      <c r="C599" s="2" t="n">
        <f aca="false">MIN(E599:AE599)</f>
        <v>8</v>
      </c>
      <c r="D599" s="18" t="n">
        <f aca="false">MAX(E599:AE599)</f>
        <v>23</v>
      </c>
      <c r="E599" s="19" t="n">
        <v>9</v>
      </c>
      <c r="F599" s="19" t="n">
        <v>10</v>
      </c>
      <c r="G599" s="19" t="n">
        <v>9</v>
      </c>
      <c r="H599" s="19" t="n">
        <v>18</v>
      </c>
      <c r="I599" s="19" t="n">
        <v>15</v>
      </c>
      <c r="J599" s="19" t="n">
        <v>15</v>
      </c>
      <c r="K599" s="19" t="n">
        <v>17</v>
      </c>
      <c r="L599" s="19" t="n">
        <v>18</v>
      </c>
      <c r="M599" s="19" t="n">
        <v>18</v>
      </c>
      <c r="N599" s="19" t="n">
        <v>16</v>
      </c>
      <c r="O599" s="19" t="n">
        <v>17</v>
      </c>
      <c r="P599" s="19" t="n">
        <v>8</v>
      </c>
      <c r="Q599" s="19" t="n">
        <v>18</v>
      </c>
      <c r="R599" s="19" t="n">
        <v>22</v>
      </c>
      <c r="S599" s="19" t="n">
        <v>11</v>
      </c>
      <c r="T599" s="19" t="n">
        <v>23</v>
      </c>
      <c r="U599" s="19" t="n">
        <v>17</v>
      </c>
      <c r="V599" s="19" t="n">
        <v>19</v>
      </c>
      <c r="W599" s="19" t="n">
        <v>19</v>
      </c>
      <c r="X599" s="19" t="n">
        <v>14</v>
      </c>
      <c r="Y599" s="19" t="n">
        <v>12</v>
      </c>
      <c r="Z599" s="19" t="n">
        <v>8</v>
      </c>
      <c r="AA599" s="19" t="n">
        <v>18</v>
      </c>
      <c r="AB599" s="19" t="n">
        <v>12</v>
      </c>
      <c r="AC599" s="19" t="n">
        <v>12</v>
      </c>
      <c r="AD599" s="19" t="n">
        <v>14</v>
      </c>
      <c r="AE599" s="19" t="n">
        <v>11</v>
      </c>
      <c r="AF599" s="19" t="n">
        <v>9</v>
      </c>
      <c r="AG599" s="19"/>
      <c r="AH599" s="19"/>
    </row>
    <row r="600" customFormat="false" ht="12.75" hidden="false" customHeight="true" outlineLevel="0" collapsed="false">
      <c r="A600" s="16" t="s">
        <v>340</v>
      </c>
      <c r="B600" s="17" t="n">
        <f aca="false">AVERAGE(E600:AE600)</f>
        <v>14.8888888888889</v>
      </c>
      <c r="C600" s="2" t="n">
        <f aca="false">MIN(E600:AE600)</f>
        <v>8</v>
      </c>
      <c r="D600" s="18" t="n">
        <f aca="false">MAX(E600:AE600)</f>
        <v>23</v>
      </c>
      <c r="E600" s="19" t="n">
        <v>9</v>
      </c>
      <c r="F600" s="19" t="n">
        <v>10</v>
      </c>
      <c r="G600" s="19" t="n">
        <v>9</v>
      </c>
      <c r="H600" s="19" t="n">
        <v>18</v>
      </c>
      <c r="I600" s="19" t="n">
        <v>15</v>
      </c>
      <c r="J600" s="19" t="n">
        <v>15</v>
      </c>
      <c r="K600" s="19" t="n">
        <v>17</v>
      </c>
      <c r="L600" s="19" t="n">
        <v>18</v>
      </c>
      <c r="M600" s="19" t="n">
        <v>18</v>
      </c>
      <c r="N600" s="19" t="n">
        <v>16</v>
      </c>
      <c r="O600" s="19" t="n">
        <v>17</v>
      </c>
      <c r="P600" s="19" t="n">
        <v>9</v>
      </c>
      <c r="Q600" s="19" t="n">
        <v>18</v>
      </c>
      <c r="R600" s="19" t="n">
        <v>22</v>
      </c>
      <c r="S600" s="19" t="n">
        <v>11</v>
      </c>
      <c r="T600" s="19" t="n">
        <v>23</v>
      </c>
      <c r="U600" s="19" t="n">
        <v>17</v>
      </c>
      <c r="V600" s="19" t="n">
        <v>19</v>
      </c>
      <c r="W600" s="19" t="n">
        <v>19</v>
      </c>
      <c r="X600" s="19" t="n">
        <v>14</v>
      </c>
      <c r="Y600" s="19" t="n">
        <v>13</v>
      </c>
      <c r="Z600" s="19" t="n">
        <v>8</v>
      </c>
      <c r="AA600" s="19" t="n">
        <v>18</v>
      </c>
      <c r="AB600" s="19" t="n">
        <v>12</v>
      </c>
      <c r="AC600" s="19" t="n">
        <v>12</v>
      </c>
      <c r="AD600" s="19" t="n">
        <v>14</v>
      </c>
      <c r="AE600" s="2" t="n">
        <v>11</v>
      </c>
      <c r="AF600" s="19" t="n">
        <v>9</v>
      </c>
      <c r="AG600" s="19"/>
      <c r="AH600" s="19"/>
    </row>
    <row r="601" customFormat="false" ht="12.75" hidden="false" customHeight="true" outlineLevel="0" collapsed="false">
      <c r="A601" s="16" t="s">
        <v>341</v>
      </c>
      <c r="B601" s="17" t="n">
        <f aca="false">AVERAGE(E601:AE601)</f>
        <v>15</v>
      </c>
      <c r="C601" s="2" t="n">
        <f aca="false">MIN(E601:AE601)</f>
        <v>8</v>
      </c>
      <c r="D601" s="18" t="n">
        <f aca="false">MAX(E601:AE601)</f>
        <v>23</v>
      </c>
      <c r="E601" s="19" t="n">
        <v>9</v>
      </c>
      <c r="F601" s="19" t="n">
        <v>10</v>
      </c>
      <c r="G601" s="19" t="n">
        <v>9</v>
      </c>
      <c r="H601" s="19" t="n">
        <v>18</v>
      </c>
      <c r="I601" s="19" t="n">
        <v>16</v>
      </c>
      <c r="J601" s="19" t="n">
        <v>16</v>
      </c>
      <c r="K601" s="19" t="n">
        <v>17</v>
      </c>
      <c r="L601" s="19" t="n">
        <v>18</v>
      </c>
      <c r="M601" s="19" t="n">
        <v>18</v>
      </c>
      <c r="N601" s="19" t="n">
        <v>16</v>
      </c>
      <c r="O601" s="19" t="n">
        <v>17</v>
      </c>
      <c r="P601" s="19" t="n">
        <v>9</v>
      </c>
      <c r="Q601" s="19" t="n">
        <v>18</v>
      </c>
      <c r="R601" s="19" t="n">
        <v>22</v>
      </c>
      <c r="S601" s="19" t="n">
        <v>11</v>
      </c>
      <c r="T601" s="19" t="n">
        <v>23</v>
      </c>
      <c r="U601" s="19" t="n">
        <v>17</v>
      </c>
      <c r="V601" s="19" t="n">
        <v>19</v>
      </c>
      <c r="W601" s="19" t="n">
        <v>19</v>
      </c>
      <c r="X601" s="19" t="n">
        <v>15</v>
      </c>
      <c r="Y601" s="19" t="n">
        <v>13</v>
      </c>
      <c r="Z601" s="19" t="n">
        <v>8</v>
      </c>
      <c r="AA601" s="19" t="n">
        <v>18</v>
      </c>
      <c r="AB601" s="19" t="n">
        <v>12</v>
      </c>
      <c r="AC601" s="19" t="n">
        <v>12</v>
      </c>
      <c r="AD601" s="19" t="n">
        <v>14</v>
      </c>
      <c r="AE601" s="19" t="n">
        <v>11</v>
      </c>
      <c r="AF601" s="19" t="n">
        <v>9</v>
      </c>
      <c r="AG601" s="19"/>
      <c r="AH601" s="19"/>
    </row>
    <row r="602" customFormat="false" ht="12.75" hidden="false" customHeight="true" outlineLevel="0" collapsed="false">
      <c r="A602" s="16" t="s">
        <v>342</v>
      </c>
      <c r="B602" s="17" t="n">
        <f aca="false">AVERAGE(E602:AE602)</f>
        <v>15.1481481481481</v>
      </c>
      <c r="C602" s="2" t="n">
        <f aca="false">MIN(E602:AE602)</f>
        <v>9</v>
      </c>
      <c r="D602" s="18" t="n">
        <f aca="false">MAX(E602:AE602)</f>
        <v>23</v>
      </c>
      <c r="E602" s="19" t="n">
        <v>9</v>
      </c>
      <c r="F602" s="19" t="n">
        <v>10</v>
      </c>
      <c r="G602" s="19" t="n">
        <v>9</v>
      </c>
      <c r="H602" s="19" t="n">
        <v>18</v>
      </c>
      <c r="I602" s="19" t="n">
        <v>17</v>
      </c>
      <c r="J602" s="19" t="n">
        <v>16</v>
      </c>
      <c r="K602" s="19" t="n">
        <v>17</v>
      </c>
      <c r="L602" s="19" t="n">
        <v>18</v>
      </c>
      <c r="M602" s="19" t="n">
        <v>18</v>
      </c>
      <c r="N602" s="19" t="n">
        <v>16</v>
      </c>
      <c r="O602" s="19" t="n">
        <v>17</v>
      </c>
      <c r="P602" s="19" t="n">
        <v>9</v>
      </c>
      <c r="Q602" s="19" t="n">
        <v>19</v>
      </c>
      <c r="R602" s="19" t="n">
        <v>22</v>
      </c>
      <c r="S602" s="19" t="n">
        <v>11</v>
      </c>
      <c r="T602" s="19" t="n">
        <v>23</v>
      </c>
      <c r="U602" s="19" t="n">
        <v>17</v>
      </c>
      <c r="V602" s="19" t="n">
        <v>19</v>
      </c>
      <c r="W602" s="19" t="n">
        <v>19</v>
      </c>
      <c r="X602" s="19" t="n">
        <v>15</v>
      </c>
      <c r="Y602" s="19" t="n">
        <v>13</v>
      </c>
      <c r="Z602" s="19" t="n">
        <v>9</v>
      </c>
      <c r="AA602" s="19" t="n">
        <v>18</v>
      </c>
      <c r="AB602" s="19" t="n">
        <v>12</v>
      </c>
      <c r="AC602" s="19" t="n">
        <v>12</v>
      </c>
      <c r="AD602" s="19" t="n">
        <v>15</v>
      </c>
      <c r="AE602" s="2" t="n">
        <v>11</v>
      </c>
      <c r="AF602" s="19" t="n">
        <v>9</v>
      </c>
      <c r="AG602" s="19"/>
      <c r="AH602" s="19"/>
    </row>
    <row r="603" customFormat="false" ht="12.75" hidden="false" customHeight="true" outlineLevel="0" collapsed="false">
      <c r="A603" s="16" t="s">
        <v>343</v>
      </c>
      <c r="B603" s="17" t="n">
        <f aca="false">AVERAGE(E603:AE603)</f>
        <v>15.2592592592593</v>
      </c>
      <c r="C603" s="2" t="n">
        <f aca="false">MIN(E603:AE603)</f>
        <v>9</v>
      </c>
      <c r="D603" s="18" t="n">
        <f aca="false">MAX(E603:AE603)</f>
        <v>23</v>
      </c>
      <c r="E603" s="19" t="n">
        <v>9</v>
      </c>
      <c r="F603" s="19" t="n">
        <v>10</v>
      </c>
      <c r="G603" s="19" t="n">
        <v>9</v>
      </c>
      <c r="H603" s="19" t="n">
        <v>18</v>
      </c>
      <c r="I603" s="19" t="n">
        <v>17</v>
      </c>
      <c r="J603" s="19" t="n">
        <v>16</v>
      </c>
      <c r="K603" s="19" t="n">
        <v>17</v>
      </c>
      <c r="L603" s="19" t="n">
        <v>18</v>
      </c>
      <c r="M603" s="19" t="n">
        <v>18</v>
      </c>
      <c r="N603" s="19" t="n">
        <v>16</v>
      </c>
      <c r="O603" s="19" t="n">
        <v>17</v>
      </c>
      <c r="P603" s="19" t="n">
        <v>10</v>
      </c>
      <c r="Q603" s="19" t="n">
        <v>19</v>
      </c>
      <c r="R603" s="19" t="n">
        <v>22</v>
      </c>
      <c r="S603" s="19" t="n">
        <v>11</v>
      </c>
      <c r="T603" s="19" t="n">
        <v>23</v>
      </c>
      <c r="U603" s="19" t="n">
        <v>18</v>
      </c>
      <c r="V603" s="19" t="n">
        <v>19</v>
      </c>
      <c r="W603" s="19" t="n">
        <v>19</v>
      </c>
      <c r="X603" s="19" t="n">
        <v>15</v>
      </c>
      <c r="Y603" s="19" t="n">
        <v>13</v>
      </c>
      <c r="Z603" s="19" t="n">
        <v>9</v>
      </c>
      <c r="AA603" s="19" t="n">
        <v>18</v>
      </c>
      <c r="AB603" s="19" t="n">
        <v>12</v>
      </c>
      <c r="AC603" s="19" t="n">
        <v>12</v>
      </c>
      <c r="AD603" s="19" t="n">
        <v>16</v>
      </c>
      <c r="AE603" s="19" t="n">
        <v>11</v>
      </c>
      <c r="AF603" s="19" t="n">
        <v>9</v>
      </c>
      <c r="AG603" s="19"/>
      <c r="AH603" s="19"/>
    </row>
    <row r="604" customFormat="false" ht="12.75" hidden="false" customHeight="true" outlineLevel="0" collapsed="false">
      <c r="A604" s="16" t="s">
        <v>344</v>
      </c>
      <c r="B604" s="17" t="n">
        <f aca="false">AVERAGE(E604:AE604)</f>
        <v>15.3703703703704</v>
      </c>
      <c r="C604" s="2" t="n">
        <f aca="false">MIN(E604:AE604)</f>
        <v>9</v>
      </c>
      <c r="D604" s="18" t="n">
        <f aca="false">MAX(E604:AE604)</f>
        <v>23</v>
      </c>
      <c r="E604" s="19" t="n">
        <v>9</v>
      </c>
      <c r="F604" s="19" t="n">
        <v>10</v>
      </c>
      <c r="G604" s="19" t="n">
        <v>10</v>
      </c>
      <c r="H604" s="19" t="n">
        <v>18</v>
      </c>
      <c r="I604" s="19" t="n">
        <v>17</v>
      </c>
      <c r="J604" s="19" t="n">
        <v>16</v>
      </c>
      <c r="K604" s="19" t="n">
        <v>17</v>
      </c>
      <c r="L604" s="19" t="n">
        <v>18</v>
      </c>
      <c r="M604" s="19" t="n">
        <v>18</v>
      </c>
      <c r="N604" s="19" t="n">
        <v>16</v>
      </c>
      <c r="O604" s="19" t="n">
        <v>17</v>
      </c>
      <c r="P604" s="19" t="n">
        <v>11</v>
      </c>
      <c r="Q604" s="19" t="n">
        <v>19</v>
      </c>
      <c r="R604" s="19" t="n">
        <v>22</v>
      </c>
      <c r="S604" s="19" t="n">
        <v>11</v>
      </c>
      <c r="T604" s="19" t="n">
        <v>23</v>
      </c>
      <c r="U604" s="19" t="n">
        <v>19</v>
      </c>
      <c r="V604" s="19" t="n">
        <v>19</v>
      </c>
      <c r="W604" s="19" t="n">
        <v>19</v>
      </c>
      <c r="X604" s="19" t="n">
        <v>15</v>
      </c>
      <c r="Y604" s="19" t="n">
        <v>13</v>
      </c>
      <c r="Z604" s="19" t="n">
        <v>9</v>
      </c>
      <c r="AA604" s="19" t="n">
        <v>18</v>
      </c>
      <c r="AB604" s="19" t="n">
        <v>12</v>
      </c>
      <c r="AC604" s="19" t="n">
        <v>12</v>
      </c>
      <c r="AD604" s="19" t="n">
        <v>16</v>
      </c>
      <c r="AE604" s="2" t="n">
        <v>11</v>
      </c>
      <c r="AF604" s="19" t="n">
        <v>9</v>
      </c>
      <c r="AG604" s="19"/>
      <c r="AH604" s="19"/>
    </row>
    <row r="605" customFormat="false" ht="12.75" hidden="false" customHeight="true" outlineLevel="0" collapsed="false">
      <c r="A605" s="16" t="s">
        <v>345</v>
      </c>
      <c r="B605" s="17" t="n">
        <f aca="false">AVERAGE(E605:AE605)</f>
        <v>15.5185185185185</v>
      </c>
      <c r="C605" s="2" t="n">
        <f aca="false">MIN(E605:AE605)</f>
        <v>9</v>
      </c>
      <c r="D605" s="18" t="n">
        <f aca="false">MAX(E605:AE605)</f>
        <v>23</v>
      </c>
      <c r="E605" s="19" t="n">
        <v>9</v>
      </c>
      <c r="F605" s="19" t="n">
        <v>10</v>
      </c>
      <c r="G605" s="19" t="n">
        <v>10</v>
      </c>
      <c r="H605" s="19" t="n">
        <v>19</v>
      </c>
      <c r="I605" s="19" t="n">
        <v>17</v>
      </c>
      <c r="J605" s="19" t="n">
        <v>16</v>
      </c>
      <c r="K605" s="19" t="n">
        <v>17</v>
      </c>
      <c r="L605" s="19" t="n">
        <v>18</v>
      </c>
      <c r="M605" s="19" t="n">
        <v>18</v>
      </c>
      <c r="N605" s="19" t="n">
        <v>16</v>
      </c>
      <c r="O605" s="19" t="n">
        <v>18</v>
      </c>
      <c r="P605" s="19" t="n">
        <v>11</v>
      </c>
      <c r="Q605" s="19" t="n">
        <v>19</v>
      </c>
      <c r="R605" s="19" t="n">
        <v>22</v>
      </c>
      <c r="S605" s="19" t="n">
        <v>11</v>
      </c>
      <c r="T605" s="19" t="n">
        <v>23</v>
      </c>
      <c r="U605" s="19" t="n">
        <v>19</v>
      </c>
      <c r="V605" s="19" t="n">
        <v>19</v>
      </c>
      <c r="W605" s="19" t="n">
        <v>19</v>
      </c>
      <c r="X605" s="19" t="n">
        <v>15</v>
      </c>
      <c r="Y605" s="19" t="n">
        <v>13</v>
      </c>
      <c r="Z605" s="19" t="n">
        <v>9</v>
      </c>
      <c r="AA605" s="19" t="n">
        <v>18</v>
      </c>
      <c r="AB605" s="19" t="n">
        <v>12</v>
      </c>
      <c r="AC605" s="19" t="n">
        <v>13</v>
      </c>
      <c r="AD605" s="19" t="n">
        <v>17</v>
      </c>
      <c r="AE605" s="19" t="n">
        <v>11</v>
      </c>
      <c r="AF605" s="19" t="n">
        <v>10</v>
      </c>
      <c r="AG605" s="19"/>
      <c r="AH605" s="19"/>
    </row>
    <row r="606" customFormat="false" ht="12.75" hidden="false" customHeight="true" outlineLevel="0" collapsed="false">
      <c r="A606" s="16" t="s">
        <v>346</v>
      </c>
      <c r="B606" s="17" t="n">
        <f aca="false">AVERAGE(E606:AE606)</f>
        <v>15.6666666666667</v>
      </c>
      <c r="C606" s="2" t="n">
        <f aca="false">MIN(E606:AE606)</f>
        <v>9</v>
      </c>
      <c r="D606" s="18" t="n">
        <f aca="false">MAX(E606:AE606)</f>
        <v>23</v>
      </c>
      <c r="E606" s="19" t="n">
        <v>9</v>
      </c>
      <c r="F606" s="19" t="n">
        <v>10</v>
      </c>
      <c r="G606" s="19" t="n">
        <v>10</v>
      </c>
      <c r="H606" s="19" t="n">
        <v>19</v>
      </c>
      <c r="I606" s="19" t="n">
        <v>17</v>
      </c>
      <c r="J606" s="19" t="n">
        <v>16</v>
      </c>
      <c r="K606" s="19" t="n">
        <v>17</v>
      </c>
      <c r="L606" s="19" t="n">
        <v>18</v>
      </c>
      <c r="M606" s="19" t="n">
        <v>18</v>
      </c>
      <c r="N606" s="19" t="n">
        <v>16</v>
      </c>
      <c r="O606" s="19" t="n">
        <v>18</v>
      </c>
      <c r="P606" s="19" t="n">
        <v>11</v>
      </c>
      <c r="Q606" s="19" t="n">
        <v>19</v>
      </c>
      <c r="R606" s="19" t="n">
        <v>22</v>
      </c>
      <c r="S606" s="19" t="n">
        <v>11</v>
      </c>
      <c r="T606" s="19" t="n">
        <v>23</v>
      </c>
      <c r="U606" s="19" t="n">
        <v>19</v>
      </c>
      <c r="V606" s="19" t="n">
        <v>19</v>
      </c>
      <c r="W606" s="19" t="n">
        <v>20</v>
      </c>
      <c r="X606" s="19" t="n">
        <v>15</v>
      </c>
      <c r="Y606" s="19" t="n">
        <v>13</v>
      </c>
      <c r="Z606" s="19" t="n">
        <v>10</v>
      </c>
      <c r="AA606" s="19" t="n">
        <v>18</v>
      </c>
      <c r="AB606" s="19" t="n">
        <v>12</v>
      </c>
      <c r="AC606" s="19" t="n">
        <v>14</v>
      </c>
      <c r="AD606" s="19" t="n">
        <v>18</v>
      </c>
      <c r="AE606" s="2" t="n">
        <v>11</v>
      </c>
      <c r="AF606" s="19" t="n">
        <v>10</v>
      </c>
      <c r="AG606" s="19"/>
      <c r="AH606" s="19"/>
    </row>
    <row r="607" customFormat="false" ht="12.75" hidden="false" customHeight="true" outlineLevel="0" collapsed="false">
      <c r="A607" s="16" t="s">
        <v>347</v>
      </c>
      <c r="B607" s="17" t="n">
        <f aca="false">AVERAGE(E607:AE607)</f>
        <v>15.7777777777778</v>
      </c>
      <c r="C607" s="2" t="n">
        <f aca="false">MIN(E607:AE607)</f>
        <v>9</v>
      </c>
      <c r="D607" s="18" t="n">
        <f aca="false">MAX(E607:AE607)</f>
        <v>23</v>
      </c>
      <c r="E607" s="19" t="n">
        <v>9</v>
      </c>
      <c r="F607" s="19" t="n">
        <v>10</v>
      </c>
      <c r="G607" s="19" t="n">
        <v>11</v>
      </c>
      <c r="H607" s="19" t="n">
        <v>19</v>
      </c>
      <c r="I607" s="19" t="n">
        <v>17</v>
      </c>
      <c r="J607" s="19" t="n">
        <v>16</v>
      </c>
      <c r="K607" s="19" t="n">
        <v>17</v>
      </c>
      <c r="L607" s="19" t="n">
        <v>18</v>
      </c>
      <c r="M607" s="19" t="n">
        <v>18</v>
      </c>
      <c r="N607" s="19" t="n">
        <v>17</v>
      </c>
      <c r="O607" s="19" t="n">
        <v>18</v>
      </c>
      <c r="P607" s="19" t="n">
        <v>11</v>
      </c>
      <c r="Q607" s="19" t="n">
        <v>20</v>
      </c>
      <c r="R607" s="19" t="n">
        <v>22</v>
      </c>
      <c r="S607" s="19" t="n">
        <v>11</v>
      </c>
      <c r="T607" s="19" t="n">
        <v>23</v>
      </c>
      <c r="U607" s="19" t="n">
        <v>19</v>
      </c>
      <c r="V607" s="19" t="n">
        <v>19</v>
      </c>
      <c r="W607" s="19" t="n">
        <v>20</v>
      </c>
      <c r="X607" s="19" t="n">
        <v>15</v>
      </c>
      <c r="Y607" s="19" t="n">
        <v>13</v>
      </c>
      <c r="Z607" s="19" t="n">
        <v>10</v>
      </c>
      <c r="AA607" s="19" t="n">
        <v>18</v>
      </c>
      <c r="AB607" s="19" t="n">
        <v>12</v>
      </c>
      <c r="AC607" s="19" t="n">
        <v>14</v>
      </c>
      <c r="AD607" s="19" t="n">
        <v>18</v>
      </c>
      <c r="AE607" s="19" t="n">
        <v>11</v>
      </c>
      <c r="AF607" s="19" t="n">
        <v>10</v>
      </c>
      <c r="AG607" s="19"/>
      <c r="AH607" s="19"/>
    </row>
    <row r="608" customFormat="false" ht="12.75" hidden="false" customHeight="true" outlineLevel="0" collapsed="false">
      <c r="A608" s="16" t="s">
        <v>348</v>
      </c>
      <c r="B608" s="17" t="n">
        <f aca="false">AVERAGE(E608:AE608)</f>
        <v>15.9259259259259</v>
      </c>
      <c r="C608" s="2" t="n">
        <f aca="false">MIN(E608:AE608)</f>
        <v>9</v>
      </c>
      <c r="D608" s="18" t="n">
        <f aca="false">MAX(E608:AE608)</f>
        <v>23</v>
      </c>
      <c r="E608" s="19" t="n">
        <v>9</v>
      </c>
      <c r="F608" s="19" t="n">
        <v>10</v>
      </c>
      <c r="G608" s="19" t="n">
        <v>12</v>
      </c>
      <c r="H608" s="19" t="n">
        <v>19</v>
      </c>
      <c r="I608" s="19" t="n">
        <v>17</v>
      </c>
      <c r="J608" s="19" t="n">
        <v>17</v>
      </c>
      <c r="K608" s="19" t="n">
        <v>18</v>
      </c>
      <c r="L608" s="19" t="n">
        <v>19</v>
      </c>
      <c r="M608" s="19" t="n">
        <v>18</v>
      </c>
      <c r="N608" s="19" t="n">
        <v>17</v>
      </c>
      <c r="O608" s="19" t="n">
        <v>18</v>
      </c>
      <c r="P608" s="19" t="n">
        <v>11</v>
      </c>
      <c r="Q608" s="19" t="n">
        <v>20</v>
      </c>
      <c r="R608" s="19" t="n">
        <v>22</v>
      </c>
      <c r="S608" s="19" t="n">
        <v>11</v>
      </c>
      <c r="T608" s="19" t="n">
        <v>23</v>
      </c>
      <c r="U608" s="19" t="n">
        <v>19</v>
      </c>
      <c r="V608" s="19" t="n">
        <v>19</v>
      </c>
      <c r="W608" s="19" t="n">
        <v>20</v>
      </c>
      <c r="X608" s="19" t="n">
        <v>15</v>
      </c>
      <c r="Y608" s="19" t="n">
        <v>13</v>
      </c>
      <c r="Z608" s="19" t="n">
        <v>10</v>
      </c>
      <c r="AA608" s="19" t="n">
        <v>18</v>
      </c>
      <c r="AB608" s="19" t="n">
        <v>12</v>
      </c>
      <c r="AC608" s="19" t="n">
        <v>14</v>
      </c>
      <c r="AD608" s="19" t="n">
        <v>18</v>
      </c>
      <c r="AE608" s="2" t="n">
        <v>11</v>
      </c>
      <c r="AF608" s="19" t="n">
        <v>11</v>
      </c>
      <c r="AG608" s="19"/>
      <c r="AH608" s="19"/>
    </row>
    <row r="609" customFormat="false" ht="12.75" hidden="false" customHeight="true" outlineLevel="0" collapsed="false">
      <c r="A609" s="16" t="s">
        <v>349</v>
      </c>
      <c r="B609" s="17" t="n">
        <f aca="false">AVERAGE(E609:AE609)</f>
        <v>16.037037037037</v>
      </c>
      <c r="C609" s="2" t="n">
        <f aca="false">MIN(E609:AE609)</f>
        <v>9</v>
      </c>
      <c r="D609" s="18" t="n">
        <f aca="false">MAX(E609:AE609)</f>
        <v>23</v>
      </c>
      <c r="E609" s="19" t="n">
        <v>9</v>
      </c>
      <c r="F609" s="19" t="n">
        <v>11</v>
      </c>
      <c r="G609" s="19" t="n">
        <v>12</v>
      </c>
      <c r="H609" s="19" t="n">
        <v>19</v>
      </c>
      <c r="I609" s="19" t="n">
        <v>17</v>
      </c>
      <c r="J609" s="19" t="n">
        <v>17</v>
      </c>
      <c r="K609" s="19" t="n">
        <v>18</v>
      </c>
      <c r="L609" s="19" t="n">
        <v>19</v>
      </c>
      <c r="M609" s="19" t="n">
        <v>18</v>
      </c>
      <c r="N609" s="19" t="n">
        <v>17</v>
      </c>
      <c r="O609" s="19" t="n">
        <v>18</v>
      </c>
      <c r="P609" s="19" t="n">
        <v>11</v>
      </c>
      <c r="Q609" s="19" t="n">
        <v>20</v>
      </c>
      <c r="R609" s="19" t="n">
        <v>23</v>
      </c>
      <c r="S609" s="19" t="n">
        <v>11</v>
      </c>
      <c r="T609" s="19" t="n">
        <v>23</v>
      </c>
      <c r="U609" s="19" t="n">
        <v>19</v>
      </c>
      <c r="V609" s="19" t="n">
        <v>19</v>
      </c>
      <c r="W609" s="19" t="n">
        <v>20</v>
      </c>
      <c r="X609" s="19" t="n">
        <v>15</v>
      </c>
      <c r="Y609" s="19" t="n">
        <v>13</v>
      </c>
      <c r="Z609" s="19" t="n">
        <v>10</v>
      </c>
      <c r="AA609" s="19" t="n">
        <v>18</v>
      </c>
      <c r="AB609" s="19" t="n">
        <v>12</v>
      </c>
      <c r="AC609" s="19" t="n">
        <v>14</v>
      </c>
      <c r="AD609" s="19" t="n">
        <v>19</v>
      </c>
      <c r="AE609" s="19" t="n">
        <v>11</v>
      </c>
      <c r="AF609" s="19" t="n">
        <v>11</v>
      </c>
      <c r="AG609" s="19"/>
      <c r="AH609" s="19"/>
    </row>
    <row r="610" customFormat="false" ht="12.75" hidden="false" customHeight="true" outlineLevel="0" collapsed="false">
      <c r="A610" s="16" t="s">
        <v>350</v>
      </c>
      <c r="B610" s="17" t="n">
        <f aca="false">AVERAGE(E610:AE610)</f>
        <v>16.1481481481482</v>
      </c>
      <c r="C610" s="2" t="n">
        <f aca="false">MIN(E610:AE610)</f>
        <v>9</v>
      </c>
      <c r="D610" s="18" t="n">
        <f aca="false">MAX(E610:AE610)</f>
        <v>23</v>
      </c>
      <c r="E610" s="19" t="n">
        <v>9</v>
      </c>
      <c r="F610" s="19" t="n">
        <v>11</v>
      </c>
      <c r="G610" s="19" t="n">
        <v>12</v>
      </c>
      <c r="H610" s="19" t="n">
        <v>19</v>
      </c>
      <c r="I610" s="19" t="n">
        <v>17</v>
      </c>
      <c r="J610" s="19" t="n">
        <v>17</v>
      </c>
      <c r="K610" s="19" t="n">
        <v>19</v>
      </c>
      <c r="L610" s="19" t="n">
        <v>19</v>
      </c>
      <c r="M610" s="19" t="n">
        <v>19</v>
      </c>
      <c r="N610" s="19" t="n">
        <v>17</v>
      </c>
      <c r="O610" s="19" t="n">
        <v>18</v>
      </c>
      <c r="P610" s="19" t="n">
        <v>12</v>
      </c>
      <c r="Q610" s="19" t="n">
        <v>20</v>
      </c>
      <c r="R610" s="19" t="n">
        <v>23</v>
      </c>
      <c r="S610" s="19" t="n">
        <v>11</v>
      </c>
      <c r="T610" s="19" t="n">
        <v>23</v>
      </c>
      <c r="U610" s="19" t="n">
        <v>19</v>
      </c>
      <c r="V610" s="19" t="n">
        <v>19</v>
      </c>
      <c r="W610" s="19" t="n">
        <v>20</v>
      </c>
      <c r="X610" s="19" t="n">
        <v>15</v>
      </c>
      <c r="Y610" s="19" t="n">
        <v>13</v>
      </c>
      <c r="Z610" s="19" t="n">
        <v>10</v>
      </c>
      <c r="AA610" s="19" t="n">
        <v>18</v>
      </c>
      <c r="AB610" s="19" t="n">
        <v>12</v>
      </c>
      <c r="AC610" s="19" t="n">
        <v>14</v>
      </c>
      <c r="AD610" s="19" t="n">
        <v>19</v>
      </c>
      <c r="AE610" s="2" t="n">
        <v>11</v>
      </c>
      <c r="AF610" s="19" t="n">
        <v>11</v>
      </c>
      <c r="AG610" s="19"/>
      <c r="AH610" s="19"/>
    </row>
    <row r="611" customFormat="false" ht="12.75" hidden="false" customHeight="true" outlineLevel="0" collapsed="false">
      <c r="A611" s="16" t="s">
        <v>351</v>
      </c>
      <c r="B611" s="17" t="n">
        <f aca="false">AVERAGE(E611:AE611)</f>
        <v>16.2592592592593</v>
      </c>
      <c r="C611" s="2" t="n">
        <f aca="false">MIN(E611:AE611)</f>
        <v>9</v>
      </c>
      <c r="D611" s="18" t="n">
        <f aca="false">MAX(E611:AE611)</f>
        <v>23</v>
      </c>
      <c r="E611" s="19" t="n">
        <v>9</v>
      </c>
      <c r="F611" s="19" t="n">
        <v>11</v>
      </c>
      <c r="G611" s="19" t="n">
        <v>13</v>
      </c>
      <c r="H611" s="19" t="n">
        <v>19</v>
      </c>
      <c r="I611" s="19" t="n">
        <v>17</v>
      </c>
      <c r="J611" s="19" t="n">
        <v>17</v>
      </c>
      <c r="K611" s="19" t="n">
        <v>19</v>
      </c>
      <c r="L611" s="19" t="n">
        <v>19</v>
      </c>
      <c r="M611" s="19" t="n">
        <v>20</v>
      </c>
      <c r="N611" s="19" t="n">
        <v>17</v>
      </c>
      <c r="O611" s="19" t="n">
        <v>18</v>
      </c>
      <c r="P611" s="19" t="n">
        <v>12</v>
      </c>
      <c r="Q611" s="19" t="n">
        <v>20</v>
      </c>
      <c r="R611" s="19" t="n">
        <v>23</v>
      </c>
      <c r="S611" s="19" t="n">
        <v>11</v>
      </c>
      <c r="T611" s="19" t="n">
        <v>23</v>
      </c>
      <c r="U611" s="19" t="n">
        <v>19</v>
      </c>
      <c r="V611" s="19" t="n">
        <v>19</v>
      </c>
      <c r="W611" s="19" t="n">
        <v>20</v>
      </c>
      <c r="X611" s="19" t="n">
        <v>15</v>
      </c>
      <c r="Y611" s="19" t="n">
        <v>13</v>
      </c>
      <c r="Z611" s="19" t="n">
        <v>11</v>
      </c>
      <c r="AA611" s="19" t="n">
        <v>18</v>
      </c>
      <c r="AB611" s="19" t="n">
        <v>12</v>
      </c>
      <c r="AC611" s="19" t="n">
        <v>14</v>
      </c>
      <c r="AD611" s="19" t="n">
        <v>19</v>
      </c>
      <c r="AE611" s="19" t="n">
        <v>11</v>
      </c>
      <c r="AF611" s="19" t="n">
        <v>11</v>
      </c>
      <c r="AG611" s="19"/>
      <c r="AH611" s="19"/>
    </row>
    <row r="612" customFormat="false" ht="12.75" hidden="false" customHeight="true" outlineLevel="0" collapsed="false">
      <c r="A612" s="16" t="s">
        <v>352</v>
      </c>
      <c r="B612" s="17" t="n">
        <f aca="false">AVERAGE(E612:AE612)</f>
        <v>16.2962962962963</v>
      </c>
      <c r="C612" s="2" t="n">
        <f aca="false">MIN(E612:AE612)</f>
        <v>9</v>
      </c>
      <c r="D612" s="18" t="n">
        <f aca="false">MAX(E612:AE612)</f>
        <v>23</v>
      </c>
      <c r="E612" s="19" t="n">
        <v>9</v>
      </c>
      <c r="F612" s="19" t="n">
        <v>11</v>
      </c>
      <c r="G612" s="19" t="n">
        <v>13</v>
      </c>
      <c r="H612" s="19" t="n">
        <v>19</v>
      </c>
      <c r="I612" s="19" t="n">
        <v>17</v>
      </c>
      <c r="J612" s="19" t="n">
        <v>17</v>
      </c>
      <c r="K612" s="19" t="n">
        <v>19</v>
      </c>
      <c r="L612" s="19" t="n">
        <v>19</v>
      </c>
      <c r="M612" s="19" t="n">
        <v>21</v>
      </c>
      <c r="N612" s="19" t="n">
        <v>17</v>
      </c>
      <c r="O612" s="19" t="n">
        <v>18</v>
      </c>
      <c r="P612" s="19" t="n">
        <v>12</v>
      </c>
      <c r="Q612" s="19" t="n">
        <v>20</v>
      </c>
      <c r="R612" s="19" t="n">
        <v>23</v>
      </c>
      <c r="S612" s="19" t="n">
        <v>11</v>
      </c>
      <c r="T612" s="19" t="n">
        <v>23</v>
      </c>
      <c r="U612" s="19" t="n">
        <v>19</v>
      </c>
      <c r="V612" s="19" t="n">
        <v>19</v>
      </c>
      <c r="W612" s="19" t="n">
        <v>20</v>
      </c>
      <c r="X612" s="19" t="n">
        <v>15</v>
      </c>
      <c r="Y612" s="19" t="n">
        <v>13</v>
      </c>
      <c r="Z612" s="19" t="n">
        <v>11</v>
      </c>
      <c r="AA612" s="19" t="n">
        <v>18</v>
      </c>
      <c r="AB612" s="19" t="n">
        <v>12</v>
      </c>
      <c r="AC612" s="19" t="n">
        <v>14</v>
      </c>
      <c r="AD612" s="19" t="n">
        <v>19</v>
      </c>
      <c r="AE612" s="2" t="n">
        <v>11</v>
      </c>
      <c r="AF612" s="19" t="n">
        <v>11</v>
      </c>
      <c r="AG612" s="19"/>
      <c r="AH612" s="19"/>
    </row>
    <row r="613" customFormat="false" ht="12.75" hidden="false" customHeight="true" outlineLevel="0" collapsed="false">
      <c r="A613" s="16" t="s">
        <v>353</v>
      </c>
      <c r="B613" s="17" t="n">
        <f aca="false">AVERAGE(E613:AE613)</f>
        <v>16.3333333333333</v>
      </c>
      <c r="C613" s="2" t="n">
        <f aca="false">MIN(E613:AE613)</f>
        <v>9</v>
      </c>
      <c r="D613" s="18" t="n">
        <f aca="false">MAX(E613:AE613)</f>
        <v>23</v>
      </c>
      <c r="E613" s="19" t="n">
        <v>9</v>
      </c>
      <c r="F613" s="19" t="n">
        <v>11</v>
      </c>
      <c r="G613" s="19" t="n">
        <v>13</v>
      </c>
      <c r="H613" s="19" t="n">
        <v>19</v>
      </c>
      <c r="I613" s="19" t="n">
        <v>17</v>
      </c>
      <c r="J613" s="19" t="n">
        <v>17</v>
      </c>
      <c r="K613" s="19" t="n">
        <v>19</v>
      </c>
      <c r="L613" s="19" t="n">
        <v>19</v>
      </c>
      <c r="M613" s="19" t="n">
        <v>21</v>
      </c>
      <c r="N613" s="19" t="n">
        <v>17</v>
      </c>
      <c r="O613" s="19" t="n">
        <v>18</v>
      </c>
      <c r="P613" s="19" t="n">
        <v>12</v>
      </c>
      <c r="Q613" s="19" t="n">
        <v>21</v>
      </c>
      <c r="R613" s="19" t="n">
        <v>23</v>
      </c>
      <c r="S613" s="19" t="n">
        <v>11</v>
      </c>
      <c r="T613" s="19" t="n">
        <v>23</v>
      </c>
      <c r="U613" s="19" t="n">
        <v>19</v>
      </c>
      <c r="V613" s="19" t="n">
        <v>19</v>
      </c>
      <c r="W613" s="19" t="n">
        <v>20</v>
      </c>
      <c r="X613" s="19" t="n">
        <v>15</v>
      </c>
      <c r="Y613" s="19" t="n">
        <v>13</v>
      </c>
      <c r="Z613" s="19" t="n">
        <v>11</v>
      </c>
      <c r="AA613" s="19" t="n">
        <v>18</v>
      </c>
      <c r="AB613" s="19" t="n">
        <v>12</v>
      </c>
      <c r="AC613" s="19" t="n">
        <v>14</v>
      </c>
      <c r="AD613" s="19" t="n">
        <v>19</v>
      </c>
      <c r="AE613" s="19" t="n">
        <v>11</v>
      </c>
      <c r="AF613" s="19" t="n">
        <v>11</v>
      </c>
      <c r="AG613" s="19"/>
      <c r="AH613" s="19"/>
    </row>
    <row r="614" customFormat="false" ht="12.75" hidden="false" customHeight="true" outlineLevel="0" collapsed="false">
      <c r="A614" s="16" t="s">
        <v>354</v>
      </c>
      <c r="B614" s="17" t="n">
        <f aca="false">AVERAGE(E614:AE614)</f>
        <v>16.4814814814815</v>
      </c>
      <c r="C614" s="2" t="n">
        <f aca="false">MIN(E614:AE614)</f>
        <v>9</v>
      </c>
      <c r="D614" s="18" t="n">
        <f aca="false">MAX(E614:AE614)</f>
        <v>23</v>
      </c>
      <c r="E614" s="19" t="n">
        <v>9</v>
      </c>
      <c r="F614" s="19" t="n">
        <v>11</v>
      </c>
      <c r="G614" s="19" t="n">
        <v>13</v>
      </c>
      <c r="H614" s="19" t="n">
        <v>19</v>
      </c>
      <c r="I614" s="19" t="n">
        <v>17</v>
      </c>
      <c r="J614" s="19" t="n">
        <v>18</v>
      </c>
      <c r="K614" s="19" t="n">
        <v>19</v>
      </c>
      <c r="L614" s="19" t="n">
        <v>20</v>
      </c>
      <c r="M614" s="19" t="n">
        <v>21</v>
      </c>
      <c r="N614" s="19" t="n">
        <v>17</v>
      </c>
      <c r="O614" s="19" t="n">
        <v>18</v>
      </c>
      <c r="P614" s="19" t="n">
        <v>12</v>
      </c>
      <c r="Q614" s="19" t="n">
        <v>21</v>
      </c>
      <c r="R614" s="19" t="n">
        <v>23</v>
      </c>
      <c r="S614" s="19" t="n">
        <v>11</v>
      </c>
      <c r="T614" s="19" t="n">
        <v>23</v>
      </c>
      <c r="U614" s="19" t="n">
        <v>19</v>
      </c>
      <c r="V614" s="19" t="n">
        <v>19</v>
      </c>
      <c r="W614" s="19" t="n">
        <v>21</v>
      </c>
      <c r="X614" s="19" t="n">
        <v>15</v>
      </c>
      <c r="Y614" s="19" t="n">
        <v>13</v>
      </c>
      <c r="Z614" s="19" t="n">
        <v>11</v>
      </c>
      <c r="AA614" s="19" t="n">
        <v>18</v>
      </c>
      <c r="AB614" s="19" t="n">
        <v>13</v>
      </c>
      <c r="AC614" s="19" t="n">
        <v>14</v>
      </c>
      <c r="AD614" s="19" t="n">
        <v>19</v>
      </c>
      <c r="AE614" s="2" t="n">
        <v>11</v>
      </c>
      <c r="AF614" s="19" t="n">
        <v>11</v>
      </c>
      <c r="AG614" s="19"/>
      <c r="AH614" s="19"/>
    </row>
    <row r="615" customFormat="false" ht="12.75" hidden="false" customHeight="true" outlineLevel="0" collapsed="false">
      <c r="A615" s="16" t="s">
        <v>355</v>
      </c>
      <c r="B615" s="17" t="n">
        <f aca="false">AVERAGE(E615:AE615)</f>
        <v>16.5555555555556</v>
      </c>
      <c r="C615" s="2" t="n">
        <f aca="false">MIN(E615:AE615)</f>
        <v>9</v>
      </c>
      <c r="D615" s="18" t="n">
        <f aca="false">MAX(E615:AE615)</f>
        <v>23</v>
      </c>
      <c r="E615" s="19" t="n">
        <v>9</v>
      </c>
      <c r="F615" s="19" t="n">
        <v>11</v>
      </c>
      <c r="G615" s="19" t="n">
        <v>14</v>
      </c>
      <c r="H615" s="19" t="n">
        <v>19</v>
      </c>
      <c r="I615" s="19" t="n">
        <v>17</v>
      </c>
      <c r="J615" s="19" t="n">
        <v>18</v>
      </c>
      <c r="K615" s="19" t="n">
        <v>19</v>
      </c>
      <c r="L615" s="19" t="n">
        <v>21</v>
      </c>
      <c r="M615" s="19" t="n">
        <v>21</v>
      </c>
      <c r="N615" s="19" t="n">
        <v>17</v>
      </c>
      <c r="O615" s="19" t="n">
        <v>18</v>
      </c>
      <c r="P615" s="19" t="n">
        <v>12</v>
      </c>
      <c r="Q615" s="19" t="n">
        <v>21</v>
      </c>
      <c r="R615" s="19" t="n">
        <v>23</v>
      </c>
      <c r="S615" s="19" t="n">
        <v>11</v>
      </c>
      <c r="T615" s="19" t="n">
        <v>23</v>
      </c>
      <c r="U615" s="19" t="n">
        <v>19</v>
      </c>
      <c r="V615" s="19" t="n">
        <v>19</v>
      </c>
      <c r="W615" s="19" t="n">
        <v>21</v>
      </c>
      <c r="X615" s="19" t="n">
        <v>15</v>
      </c>
      <c r="Y615" s="19" t="n">
        <v>13</v>
      </c>
      <c r="Z615" s="19" t="n">
        <v>11</v>
      </c>
      <c r="AA615" s="19" t="n">
        <v>18</v>
      </c>
      <c r="AB615" s="19" t="n">
        <v>13</v>
      </c>
      <c r="AC615" s="19" t="n">
        <v>14</v>
      </c>
      <c r="AD615" s="19" t="n">
        <v>19</v>
      </c>
      <c r="AE615" s="19" t="n">
        <v>11</v>
      </c>
      <c r="AF615" s="19" t="n">
        <v>11</v>
      </c>
      <c r="AG615" s="19"/>
      <c r="AH615" s="19"/>
    </row>
    <row r="616" customFormat="false" ht="12.75" hidden="false" customHeight="true" outlineLevel="0" collapsed="false">
      <c r="A616" s="16" t="s">
        <v>356</v>
      </c>
      <c r="B616" s="17" t="n">
        <f aca="false">AVERAGE(E616:AE616)</f>
        <v>16.5555555555556</v>
      </c>
      <c r="C616" s="2" t="n">
        <f aca="false">MIN(E616:AE616)</f>
        <v>9</v>
      </c>
      <c r="D616" s="18" t="n">
        <f aca="false">MAX(E616:AE616)</f>
        <v>23</v>
      </c>
      <c r="E616" s="19" t="n">
        <v>9</v>
      </c>
      <c r="F616" s="19" t="n">
        <v>11</v>
      </c>
      <c r="G616" s="19" t="n">
        <v>14</v>
      </c>
      <c r="H616" s="19" t="n">
        <v>19</v>
      </c>
      <c r="I616" s="19" t="n">
        <v>17</v>
      </c>
      <c r="J616" s="19" t="n">
        <v>18</v>
      </c>
      <c r="K616" s="19" t="n">
        <v>19</v>
      </c>
      <c r="L616" s="19" t="n">
        <v>21</v>
      </c>
      <c r="M616" s="19" t="n">
        <v>21</v>
      </c>
      <c r="N616" s="19" t="n">
        <v>17</v>
      </c>
      <c r="O616" s="19" t="n">
        <v>18</v>
      </c>
      <c r="P616" s="19" t="n">
        <v>12</v>
      </c>
      <c r="Q616" s="19" t="n">
        <v>21</v>
      </c>
      <c r="R616" s="19" t="n">
        <v>23</v>
      </c>
      <c r="S616" s="19" t="n">
        <v>11</v>
      </c>
      <c r="T616" s="19" t="n">
        <v>23</v>
      </c>
      <c r="U616" s="19" t="n">
        <v>19</v>
      </c>
      <c r="V616" s="19" t="n">
        <v>19</v>
      </c>
      <c r="W616" s="19" t="n">
        <v>21</v>
      </c>
      <c r="X616" s="19" t="n">
        <v>15</v>
      </c>
      <c r="Y616" s="19" t="n">
        <v>13</v>
      </c>
      <c r="Z616" s="19" t="n">
        <v>11</v>
      </c>
      <c r="AA616" s="19" t="n">
        <v>18</v>
      </c>
      <c r="AB616" s="19" t="n">
        <v>13</v>
      </c>
      <c r="AC616" s="19" t="n">
        <v>14</v>
      </c>
      <c r="AD616" s="19" t="n">
        <v>19</v>
      </c>
      <c r="AE616" s="2" t="n">
        <v>11</v>
      </c>
      <c r="AF616" s="19" t="n">
        <v>11</v>
      </c>
      <c r="AG616" s="19"/>
      <c r="AH616" s="19"/>
    </row>
    <row r="617" customFormat="false" ht="12.75" hidden="false" customHeight="true" outlineLevel="0" collapsed="false">
      <c r="A617" s="16" t="s">
        <v>357</v>
      </c>
      <c r="B617" s="17" t="n">
        <f aca="false">AVERAGE(E617:AE617)</f>
        <v>16.6296296296296</v>
      </c>
      <c r="C617" s="2" t="n">
        <f aca="false">MIN(E617:AE617)</f>
        <v>9</v>
      </c>
      <c r="D617" s="18" t="n">
        <f aca="false">MAX(E617:AE617)</f>
        <v>23</v>
      </c>
      <c r="E617" s="19" t="n">
        <v>9</v>
      </c>
      <c r="F617" s="19" t="n">
        <v>11</v>
      </c>
      <c r="G617" s="19" t="n">
        <v>14</v>
      </c>
      <c r="H617" s="19" t="n">
        <v>19</v>
      </c>
      <c r="I617" s="19" t="n">
        <v>17</v>
      </c>
      <c r="J617" s="19" t="n">
        <v>18</v>
      </c>
      <c r="K617" s="19" t="n">
        <v>19</v>
      </c>
      <c r="L617" s="19" t="n">
        <v>21</v>
      </c>
      <c r="M617" s="19" t="n">
        <v>21</v>
      </c>
      <c r="N617" s="19" t="n">
        <v>17</v>
      </c>
      <c r="O617" s="19" t="n">
        <v>18</v>
      </c>
      <c r="P617" s="19" t="n">
        <v>12</v>
      </c>
      <c r="Q617" s="19" t="n">
        <v>21</v>
      </c>
      <c r="R617" s="19" t="n">
        <v>23</v>
      </c>
      <c r="S617" s="19" t="n">
        <v>11</v>
      </c>
      <c r="T617" s="19" t="n">
        <v>23</v>
      </c>
      <c r="U617" s="19" t="n">
        <v>19</v>
      </c>
      <c r="V617" s="19" t="n">
        <v>19</v>
      </c>
      <c r="W617" s="19" t="n">
        <v>21</v>
      </c>
      <c r="X617" s="19" t="n">
        <v>15</v>
      </c>
      <c r="Y617" s="19" t="n">
        <v>14</v>
      </c>
      <c r="Z617" s="19" t="n">
        <v>11</v>
      </c>
      <c r="AA617" s="19" t="n">
        <v>19</v>
      </c>
      <c r="AB617" s="19" t="n">
        <v>13</v>
      </c>
      <c r="AC617" s="19" t="n">
        <v>14</v>
      </c>
      <c r="AD617" s="19" t="n">
        <v>19</v>
      </c>
      <c r="AE617" s="19" t="n">
        <v>11</v>
      </c>
      <c r="AF617" s="19" t="n">
        <v>11</v>
      </c>
      <c r="AG617" s="19"/>
      <c r="AH617" s="19"/>
    </row>
    <row r="618" customFormat="false" ht="12.75" hidden="false" customHeight="true" outlineLevel="0" collapsed="false">
      <c r="A618" s="16" t="s">
        <v>358</v>
      </c>
      <c r="B618" s="17" t="n">
        <f aca="false">AVERAGE(E618:AE618)</f>
        <v>16.7037037037037</v>
      </c>
      <c r="C618" s="2" t="n">
        <f aca="false">MIN(E618:AE618)</f>
        <v>9</v>
      </c>
      <c r="D618" s="18" t="n">
        <f aca="false">MAX(E618:AE618)</f>
        <v>24</v>
      </c>
      <c r="E618" s="19" t="n">
        <v>9</v>
      </c>
      <c r="F618" s="19" t="n">
        <v>11</v>
      </c>
      <c r="G618" s="19" t="n">
        <v>14</v>
      </c>
      <c r="H618" s="19" t="n">
        <v>19</v>
      </c>
      <c r="I618" s="19" t="n">
        <v>17</v>
      </c>
      <c r="J618" s="19" t="n">
        <v>18</v>
      </c>
      <c r="K618" s="19" t="n">
        <v>19</v>
      </c>
      <c r="L618" s="19" t="n">
        <v>21</v>
      </c>
      <c r="M618" s="19" t="n">
        <v>21</v>
      </c>
      <c r="N618" s="19" t="n">
        <v>17</v>
      </c>
      <c r="O618" s="19" t="n">
        <v>18</v>
      </c>
      <c r="P618" s="19" t="n">
        <v>12</v>
      </c>
      <c r="Q618" s="19" t="n">
        <v>21</v>
      </c>
      <c r="R618" s="19" t="n">
        <v>24</v>
      </c>
      <c r="S618" s="19" t="n">
        <v>11</v>
      </c>
      <c r="T618" s="19" t="n">
        <v>24</v>
      </c>
      <c r="U618" s="19" t="n">
        <v>19</v>
      </c>
      <c r="V618" s="19" t="n">
        <v>19</v>
      </c>
      <c r="W618" s="19" t="n">
        <v>21</v>
      </c>
      <c r="X618" s="19" t="n">
        <v>15</v>
      </c>
      <c r="Y618" s="19" t="n">
        <v>14</v>
      </c>
      <c r="Z618" s="19" t="n">
        <v>11</v>
      </c>
      <c r="AA618" s="19" t="n">
        <v>19</v>
      </c>
      <c r="AB618" s="19" t="n">
        <v>13</v>
      </c>
      <c r="AC618" s="19" t="n">
        <v>14</v>
      </c>
      <c r="AD618" s="19" t="n">
        <v>19</v>
      </c>
      <c r="AE618" s="2" t="n">
        <v>11</v>
      </c>
      <c r="AF618" s="19" t="n">
        <v>11</v>
      </c>
      <c r="AG618" s="19"/>
      <c r="AH618" s="19"/>
    </row>
    <row r="619" customFormat="false" ht="12.75" hidden="false" customHeight="true" outlineLevel="0" collapsed="false">
      <c r="A619" s="16" t="s">
        <v>359</v>
      </c>
      <c r="B619" s="17" t="n">
        <f aca="false">AVERAGE(E619:AE619)</f>
        <v>16.7777777777778</v>
      </c>
      <c r="C619" s="2" t="n">
        <f aca="false">MIN(E619:AE619)</f>
        <v>9</v>
      </c>
      <c r="D619" s="18" t="n">
        <f aca="false">MAX(E619:AE619)</f>
        <v>24</v>
      </c>
      <c r="E619" s="19" t="n">
        <v>9</v>
      </c>
      <c r="F619" s="19" t="n">
        <v>12</v>
      </c>
      <c r="G619" s="19" t="n">
        <v>14</v>
      </c>
      <c r="H619" s="19" t="n">
        <v>19</v>
      </c>
      <c r="I619" s="19" t="n">
        <v>18</v>
      </c>
      <c r="J619" s="19" t="n">
        <v>18</v>
      </c>
      <c r="K619" s="19" t="n">
        <v>19</v>
      </c>
      <c r="L619" s="19" t="n">
        <v>21</v>
      </c>
      <c r="M619" s="19" t="n">
        <v>21</v>
      </c>
      <c r="N619" s="19" t="n">
        <v>17</v>
      </c>
      <c r="O619" s="19" t="n">
        <v>18</v>
      </c>
      <c r="P619" s="19" t="n">
        <v>12</v>
      </c>
      <c r="Q619" s="19" t="n">
        <v>21</v>
      </c>
      <c r="R619" s="19" t="n">
        <v>24</v>
      </c>
      <c r="S619" s="19" t="n">
        <v>11</v>
      </c>
      <c r="T619" s="19" t="n">
        <v>24</v>
      </c>
      <c r="U619" s="19" t="n">
        <v>19</v>
      </c>
      <c r="V619" s="19" t="n">
        <v>19</v>
      </c>
      <c r="W619" s="19" t="n">
        <v>21</v>
      </c>
      <c r="X619" s="19" t="n">
        <v>15</v>
      </c>
      <c r="Y619" s="19" t="n">
        <v>14</v>
      </c>
      <c r="Z619" s="19" t="n">
        <v>11</v>
      </c>
      <c r="AA619" s="19" t="n">
        <v>19</v>
      </c>
      <c r="AB619" s="19" t="n">
        <v>13</v>
      </c>
      <c r="AC619" s="19" t="n">
        <v>14</v>
      </c>
      <c r="AD619" s="19" t="n">
        <v>19</v>
      </c>
      <c r="AE619" s="19" t="n">
        <v>11</v>
      </c>
      <c r="AF619" s="19" t="n">
        <v>12</v>
      </c>
      <c r="AG619" s="19"/>
      <c r="AH619" s="19"/>
    </row>
    <row r="620" customFormat="false" ht="12.75" hidden="false" customHeight="true" outlineLevel="0" collapsed="false">
      <c r="A620" s="16" t="s">
        <v>360</v>
      </c>
      <c r="B620" s="17" t="n">
        <f aca="false">AVERAGE(E620:AE620)</f>
        <v>16.8148148148148</v>
      </c>
      <c r="C620" s="2" t="n">
        <f aca="false">MIN(E620:AE620)</f>
        <v>9</v>
      </c>
      <c r="D620" s="18" t="n">
        <f aca="false">MAX(E620:AE620)</f>
        <v>24</v>
      </c>
      <c r="E620" s="19" t="n">
        <v>9</v>
      </c>
      <c r="F620" s="19" t="n">
        <v>12</v>
      </c>
      <c r="G620" s="19" t="n">
        <v>14</v>
      </c>
      <c r="H620" s="19" t="n">
        <v>19</v>
      </c>
      <c r="I620" s="19" t="n">
        <v>18</v>
      </c>
      <c r="J620" s="19" t="n">
        <v>18</v>
      </c>
      <c r="K620" s="19" t="n">
        <v>19</v>
      </c>
      <c r="L620" s="19" t="n">
        <v>21</v>
      </c>
      <c r="M620" s="19" t="n">
        <v>21</v>
      </c>
      <c r="N620" s="19" t="n">
        <v>17</v>
      </c>
      <c r="O620" s="19" t="n">
        <v>18</v>
      </c>
      <c r="P620" s="19" t="n">
        <v>12</v>
      </c>
      <c r="Q620" s="19" t="n">
        <v>21</v>
      </c>
      <c r="R620" s="19" t="n">
        <v>24</v>
      </c>
      <c r="S620" s="19" t="n">
        <v>11</v>
      </c>
      <c r="T620" s="19" t="n">
        <v>24</v>
      </c>
      <c r="U620" s="19" t="n">
        <v>19</v>
      </c>
      <c r="V620" s="19" t="n">
        <v>19</v>
      </c>
      <c r="W620" s="19" t="n">
        <v>21</v>
      </c>
      <c r="X620" s="19" t="n">
        <v>15</v>
      </c>
      <c r="Y620" s="19" t="n">
        <v>15</v>
      </c>
      <c r="Z620" s="19" t="n">
        <v>11</v>
      </c>
      <c r="AA620" s="19" t="n">
        <v>19</v>
      </c>
      <c r="AB620" s="19" t="n">
        <v>13</v>
      </c>
      <c r="AC620" s="19" t="n">
        <v>14</v>
      </c>
      <c r="AD620" s="19" t="n">
        <v>19</v>
      </c>
      <c r="AE620" s="2" t="n">
        <v>11</v>
      </c>
      <c r="AF620" s="19" t="n">
        <v>12</v>
      </c>
      <c r="AG620" s="19"/>
      <c r="AH620" s="19"/>
    </row>
    <row r="621" customFormat="false" ht="12.75" hidden="false" customHeight="true" outlineLevel="0" collapsed="false">
      <c r="A621" s="16" t="s">
        <v>361</v>
      </c>
      <c r="B621" s="17" t="n">
        <f aca="false">AVERAGE(E621:AE621)</f>
        <v>16.8148148148148</v>
      </c>
      <c r="C621" s="2" t="n">
        <f aca="false">MIN(E621:AE621)</f>
        <v>9</v>
      </c>
      <c r="D621" s="18" t="n">
        <f aca="false">MAX(E621:AE621)</f>
        <v>24</v>
      </c>
      <c r="E621" s="19" t="n">
        <v>9</v>
      </c>
      <c r="F621" s="19" t="n">
        <v>12</v>
      </c>
      <c r="G621" s="19" t="n">
        <v>14</v>
      </c>
      <c r="H621" s="19" t="n">
        <v>19</v>
      </c>
      <c r="I621" s="19" t="n">
        <v>18</v>
      </c>
      <c r="J621" s="19" t="n">
        <v>18</v>
      </c>
      <c r="K621" s="19" t="n">
        <v>19</v>
      </c>
      <c r="L621" s="19" t="n">
        <v>21</v>
      </c>
      <c r="M621" s="19" t="n">
        <v>21</v>
      </c>
      <c r="N621" s="19" t="n">
        <v>17</v>
      </c>
      <c r="O621" s="19" t="n">
        <v>18</v>
      </c>
      <c r="P621" s="19" t="n">
        <v>12</v>
      </c>
      <c r="Q621" s="19" t="n">
        <v>21</v>
      </c>
      <c r="R621" s="19" t="n">
        <v>24</v>
      </c>
      <c r="S621" s="19" t="n">
        <v>11</v>
      </c>
      <c r="T621" s="19" t="n">
        <v>24</v>
      </c>
      <c r="U621" s="19" t="n">
        <v>19</v>
      </c>
      <c r="V621" s="19" t="n">
        <v>19</v>
      </c>
      <c r="W621" s="19" t="n">
        <v>21</v>
      </c>
      <c r="X621" s="19" t="n">
        <v>15</v>
      </c>
      <c r="Y621" s="19" t="n">
        <v>15</v>
      </c>
      <c r="Z621" s="19" t="n">
        <v>11</v>
      </c>
      <c r="AA621" s="19" t="n">
        <v>19</v>
      </c>
      <c r="AB621" s="19" t="n">
        <v>13</v>
      </c>
      <c r="AC621" s="19" t="n">
        <v>14</v>
      </c>
      <c r="AD621" s="19" t="n">
        <v>19</v>
      </c>
      <c r="AE621" s="19" t="n">
        <v>11</v>
      </c>
      <c r="AF621" s="19"/>
      <c r="AG621" s="19"/>
      <c r="AH621" s="19"/>
    </row>
    <row r="622" customFormat="false" ht="12.75" hidden="false" customHeight="true" outlineLevel="0" collapsed="false">
      <c r="A622" s="16" t="s">
        <v>362</v>
      </c>
      <c r="B622" s="17" t="n">
        <f aca="false">AVERAGE(E622:AE622)</f>
        <v>16.8148148148148</v>
      </c>
      <c r="C622" s="2" t="n">
        <f aca="false">MIN(E622:AE622)</f>
        <v>9</v>
      </c>
      <c r="D622" s="18" t="n">
        <f aca="false">MAX(E622:AE622)</f>
        <v>24</v>
      </c>
      <c r="E622" s="19" t="n">
        <v>9</v>
      </c>
      <c r="F622" s="19" t="n">
        <v>12</v>
      </c>
      <c r="G622" s="19" t="n">
        <v>14</v>
      </c>
      <c r="H622" s="19" t="n">
        <v>19</v>
      </c>
      <c r="I622" s="19" t="n">
        <v>18</v>
      </c>
      <c r="J622" s="19" t="n">
        <v>18</v>
      </c>
      <c r="K622" s="19" t="n">
        <v>19</v>
      </c>
      <c r="L622" s="19" t="n">
        <v>21</v>
      </c>
      <c r="M622" s="19" t="n">
        <v>21</v>
      </c>
      <c r="N622" s="19" t="n">
        <v>17</v>
      </c>
      <c r="O622" s="19" t="n">
        <v>18</v>
      </c>
      <c r="P622" s="19" t="n">
        <v>12</v>
      </c>
      <c r="Q622" s="19" t="n">
        <v>21</v>
      </c>
      <c r="R622" s="19" t="n">
        <v>24</v>
      </c>
      <c r="S622" s="19" t="n">
        <v>11</v>
      </c>
      <c r="T622" s="19" t="n">
        <v>24</v>
      </c>
      <c r="U622" s="19" t="n">
        <v>19</v>
      </c>
      <c r="V622" s="19" t="n">
        <v>19</v>
      </c>
      <c r="W622" s="19" t="n">
        <v>21</v>
      </c>
      <c r="X622" s="19" t="n">
        <v>15</v>
      </c>
      <c r="Y622" s="19" t="n">
        <v>15</v>
      </c>
      <c r="Z622" s="19" t="n">
        <v>11</v>
      </c>
      <c r="AA622" s="19" t="n">
        <v>19</v>
      </c>
      <c r="AB622" s="19" t="n">
        <v>13</v>
      </c>
      <c r="AC622" s="19" t="n">
        <v>14</v>
      </c>
      <c r="AD622" s="19" t="n">
        <v>19</v>
      </c>
      <c r="AE622" s="2" t="n">
        <v>11</v>
      </c>
      <c r="AF622" s="19"/>
      <c r="AG622" s="19"/>
      <c r="AH622" s="19"/>
    </row>
    <row r="623" customFormat="false" ht="12.75" hidden="false" customHeight="true" outlineLevel="0" collapsed="false">
      <c r="A623" s="16" t="s">
        <v>363</v>
      </c>
      <c r="B623" s="17" t="n">
        <f aca="false">AVERAGE(E623:AE623)</f>
        <v>16.8148148148148</v>
      </c>
      <c r="C623" s="2" t="n">
        <f aca="false">MIN(E623:AE623)</f>
        <v>9</v>
      </c>
      <c r="D623" s="18" t="n">
        <f aca="false">MAX(E623:AE623)</f>
        <v>24</v>
      </c>
      <c r="E623" s="19" t="n">
        <v>9</v>
      </c>
      <c r="F623" s="19" t="n">
        <v>12</v>
      </c>
      <c r="G623" s="19" t="n">
        <v>14</v>
      </c>
      <c r="H623" s="19" t="n">
        <v>19</v>
      </c>
      <c r="I623" s="19" t="n">
        <v>18</v>
      </c>
      <c r="J623" s="19" t="n">
        <v>18</v>
      </c>
      <c r="K623" s="19" t="n">
        <v>19</v>
      </c>
      <c r="L623" s="19" t="n">
        <v>21</v>
      </c>
      <c r="M623" s="19" t="n">
        <v>21</v>
      </c>
      <c r="N623" s="19" t="n">
        <v>17</v>
      </c>
      <c r="O623" s="19" t="n">
        <v>18</v>
      </c>
      <c r="P623" s="19" t="n">
        <v>12</v>
      </c>
      <c r="Q623" s="19" t="n">
        <v>21</v>
      </c>
      <c r="R623" s="19" t="n">
        <v>24</v>
      </c>
      <c r="S623" s="19" t="n">
        <v>11</v>
      </c>
      <c r="T623" s="19" t="n">
        <v>24</v>
      </c>
      <c r="U623" s="19" t="n">
        <v>19</v>
      </c>
      <c r="V623" s="19" t="n">
        <v>19</v>
      </c>
      <c r="W623" s="19" t="n">
        <v>21</v>
      </c>
      <c r="X623" s="19" t="n">
        <v>15</v>
      </c>
      <c r="Y623" s="19" t="n">
        <v>15</v>
      </c>
      <c r="Z623" s="19" t="n">
        <v>11</v>
      </c>
      <c r="AA623" s="19" t="n">
        <v>19</v>
      </c>
      <c r="AB623" s="19" t="n">
        <v>13</v>
      </c>
      <c r="AC623" s="19" t="n">
        <v>14</v>
      </c>
      <c r="AD623" s="19" t="n">
        <v>19</v>
      </c>
      <c r="AE623" s="19" t="n">
        <v>11</v>
      </c>
      <c r="AF623" s="19"/>
      <c r="AG623" s="19"/>
      <c r="AH623" s="19"/>
    </row>
    <row r="624" customFormat="false" ht="12.75" hidden="false" customHeight="true" outlineLevel="0" collapsed="false">
      <c r="A624" s="16" t="s">
        <v>364</v>
      </c>
      <c r="B624" s="17" t="n">
        <f aca="false">AVERAGE(E624:AE624)</f>
        <v>16.9259259259259</v>
      </c>
      <c r="C624" s="2" t="n">
        <f aca="false">MIN(E624:AE624)</f>
        <v>9</v>
      </c>
      <c r="D624" s="18" t="n">
        <f aca="false">MAX(E624:AE624)</f>
        <v>24</v>
      </c>
      <c r="E624" s="19" t="n">
        <v>9</v>
      </c>
      <c r="F624" s="19" t="n">
        <v>12</v>
      </c>
      <c r="G624" s="19" t="n">
        <v>14</v>
      </c>
      <c r="H624" s="19" t="n">
        <v>20</v>
      </c>
      <c r="I624" s="19" t="n">
        <v>18</v>
      </c>
      <c r="J624" s="19" t="n">
        <v>18</v>
      </c>
      <c r="K624" s="19" t="n">
        <v>19</v>
      </c>
      <c r="L624" s="19" t="n">
        <v>21</v>
      </c>
      <c r="M624" s="19" t="n">
        <v>21</v>
      </c>
      <c r="N624" s="19" t="n">
        <v>17</v>
      </c>
      <c r="O624" s="19" t="n">
        <v>18</v>
      </c>
      <c r="P624" s="19" t="n">
        <v>12</v>
      </c>
      <c r="Q624" s="19" t="n">
        <v>22</v>
      </c>
      <c r="R624" s="19" t="n">
        <v>24</v>
      </c>
      <c r="S624" s="19" t="n">
        <v>11</v>
      </c>
      <c r="T624" s="19" t="n">
        <v>24</v>
      </c>
      <c r="U624" s="19" t="n">
        <v>19</v>
      </c>
      <c r="V624" s="19" t="n">
        <v>19</v>
      </c>
      <c r="W624" s="19" t="n">
        <v>21</v>
      </c>
      <c r="X624" s="19" t="n">
        <v>15</v>
      </c>
      <c r="Y624" s="19" t="n">
        <v>15</v>
      </c>
      <c r="Z624" s="19" t="n">
        <v>12</v>
      </c>
      <c r="AA624" s="19" t="n">
        <v>19</v>
      </c>
      <c r="AB624" s="19" t="n">
        <v>13</v>
      </c>
      <c r="AC624" s="19" t="n">
        <v>14</v>
      </c>
      <c r="AD624" s="19" t="n">
        <v>19</v>
      </c>
      <c r="AE624" s="2" t="n">
        <v>11</v>
      </c>
      <c r="AF624" s="19"/>
      <c r="AG624" s="19"/>
      <c r="AH624" s="19"/>
    </row>
    <row r="625" customFormat="false" ht="12.75" hidden="false" customHeight="true" outlineLevel="0" collapsed="false">
      <c r="A625" s="16" t="s">
        <v>365</v>
      </c>
      <c r="B625" s="17" t="n">
        <f aca="false">AVERAGE(E625:AE625)</f>
        <v>16.962962962963</v>
      </c>
      <c r="C625" s="2" t="n">
        <f aca="false">MIN(E625:AE625)</f>
        <v>9</v>
      </c>
      <c r="D625" s="18" t="n">
        <f aca="false">MAX(E625:AE625)</f>
        <v>25</v>
      </c>
      <c r="E625" s="19" t="n">
        <v>9</v>
      </c>
      <c r="F625" s="19" t="n">
        <v>12</v>
      </c>
      <c r="G625" s="19" t="n">
        <v>14</v>
      </c>
      <c r="H625" s="19" t="n">
        <v>20</v>
      </c>
      <c r="I625" s="19" t="n">
        <v>18</v>
      </c>
      <c r="J625" s="19" t="n">
        <v>18</v>
      </c>
      <c r="K625" s="19" t="n">
        <v>19</v>
      </c>
      <c r="L625" s="19" t="n">
        <v>21</v>
      </c>
      <c r="M625" s="19" t="n">
        <v>21</v>
      </c>
      <c r="N625" s="19" t="n">
        <v>17</v>
      </c>
      <c r="O625" s="19" t="n">
        <v>18</v>
      </c>
      <c r="P625" s="19" t="n">
        <v>12</v>
      </c>
      <c r="Q625" s="19" t="n">
        <v>22</v>
      </c>
      <c r="R625" s="19" t="n">
        <v>24</v>
      </c>
      <c r="S625" s="19" t="n">
        <v>11</v>
      </c>
      <c r="T625" s="19" t="n">
        <v>25</v>
      </c>
      <c r="U625" s="19" t="n">
        <v>19</v>
      </c>
      <c r="V625" s="19" t="n">
        <v>19</v>
      </c>
      <c r="W625" s="19" t="n">
        <v>21</v>
      </c>
      <c r="X625" s="19" t="n">
        <v>15</v>
      </c>
      <c r="Y625" s="19" t="n">
        <v>15</v>
      </c>
      <c r="Z625" s="19" t="n">
        <v>12</v>
      </c>
      <c r="AA625" s="19" t="n">
        <v>19</v>
      </c>
      <c r="AB625" s="19" t="n">
        <v>13</v>
      </c>
      <c r="AC625" s="19" t="n">
        <v>14</v>
      </c>
      <c r="AD625" s="19" t="n">
        <v>19</v>
      </c>
      <c r="AE625" s="19" t="n">
        <v>11</v>
      </c>
      <c r="AF625" s="19"/>
      <c r="AG625" s="19"/>
      <c r="AH625" s="19"/>
    </row>
    <row r="626" customFormat="false" ht="12.75" hidden="false" customHeight="true" outlineLevel="0" collapsed="false">
      <c r="A626" s="16" t="s">
        <v>366</v>
      </c>
      <c r="B626" s="17" t="n">
        <f aca="false">AVERAGE(E626:AE626)</f>
        <v>17</v>
      </c>
      <c r="C626" s="2" t="n">
        <f aca="false">MIN(E626:AE626)</f>
        <v>9</v>
      </c>
      <c r="D626" s="18" t="n">
        <f aca="false">MAX(E626:AE626)</f>
        <v>25</v>
      </c>
      <c r="E626" s="19" t="n">
        <v>9</v>
      </c>
      <c r="F626" s="19" t="n">
        <v>12</v>
      </c>
      <c r="G626" s="19" t="n">
        <v>14</v>
      </c>
      <c r="H626" s="19" t="n">
        <v>20</v>
      </c>
      <c r="I626" s="19" t="n">
        <v>18</v>
      </c>
      <c r="J626" s="19" t="n">
        <v>18</v>
      </c>
      <c r="K626" s="19" t="n">
        <v>19</v>
      </c>
      <c r="L626" s="19" t="n">
        <v>21</v>
      </c>
      <c r="M626" s="19" t="n">
        <v>21</v>
      </c>
      <c r="N626" s="19" t="n">
        <v>17</v>
      </c>
      <c r="O626" s="19" t="n">
        <v>18</v>
      </c>
      <c r="P626" s="19" t="n">
        <v>12</v>
      </c>
      <c r="Q626" s="19" t="n">
        <v>22</v>
      </c>
      <c r="R626" s="19" t="n">
        <v>24</v>
      </c>
      <c r="S626" s="19" t="n">
        <v>11</v>
      </c>
      <c r="T626" s="19" t="n">
        <v>25</v>
      </c>
      <c r="U626" s="19" t="n">
        <v>19</v>
      </c>
      <c r="V626" s="19" t="n">
        <v>19</v>
      </c>
      <c r="W626" s="19" t="n">
        <v>21</v>
      </c>
      <c r="X626" s="19" t="n">
        <v>15</v>
      </c>
      <c r="Y626" s="19" t="n">
        <v>15</v>
      </c>
      <c r="Z626" s="19" t="n">
        <v>12</v>
      </c>
      <c r="AA626" s="19" t="n">
        <v>19</v>
      </c>
      <c r="AB626" s="19" t="n">
        <v>14</v>
      </c>
      <c r="AC626" s="19" t="n">
        <v>14</v>
      </c>
      <c r="AD626" s="19" t="n">
        <v>19</v>
      </c>
      <c r="AE626" s="2" t="n">
        <v>11</v>
      </c>
      <c r="AF626" s="19"/>
      <c r="AG626" s="19"/>
      <c r="AH626" s="19"/>
    </row>
    <row r="627" customFormat="false" ht="12.75" hidden="false" customHeight="true" outlineLevel="0" collapsed="false">
      <c r="A627" s="16" t="s">
        <v>367</v>
      </c>
      <c r="B627" s="17" t="n">
        <f aca="false">AVERAGE(E627:AE627)</f>
        <v>17.0740740740741</v>
      </c>
      <c r="C627" s="2" t="n">
        <f aca="false">MIN(E627:AE627)</f>
        <v>9</v>
      </c>
      <c r="D627" s="18" t="n">
        <f aca="false">MAX(E627:AE627)</f>
        <v>26</v>
      </c>
      <c r="E627" s="19" t="n">
        <v>9</v>
      </c>
      <c r="F627" s="19" t="n">
        <v>12</v>
      </c>
      <c r="G627" s="19" t="n">
        <v>14</v>
      </c>
      <c r="H627" s="19" t="n">
        <v>20</v>
      </c>
      <c r="I627" s="19" t="n">
        <v>18</v>
      </c>
      <c r="J627" s="19" t="n">
        <v>18</v>
      </c>
      <c r="K627" s="19" t="n">
        <v>19</v>
      </c>
      <c r="L627" s="19" t="n">
        <v>21</v>
      </c>
      <c r="M627" s="19" t="n">
        <v>21</v>
      </c>
      <c r="N627" s="19" t="n">
        <v>18</v>
      </c>
      <c r="O627" s="19" t="n">
        <v>18</v>
      </c>
      <c r="P627" s="19" t="n">
        <v>12</v>
      </c>
      <c r="Q627" s="19" t="n">
        <v>22</v>
      </c>
      <c r="R627" s="19" t="n">
        <v>24</v>
      </c>
      <c r="S627" s="19" t="n">
        <v>11</v>
      </c>
      <c r="T627" s="19" t="n">
        <v>26</v>
      </c>
      <c r="U627" s="19" t="n">
        <v>19</v>
      </c>
      <c r="V627" s="19" t="n">
        <v>19</v>
      </c>
      <c r="W627" s="19" t="n">
        <v>21</v>
      </c>
      <c r="X627" s="19" t="n">
        <v>15</v>
      </c>
      <c r="Y627" s="19" t="n">
        <v>15</v>
      </c>
      <c r="Z627" s="19" t="n">
        <v>12</v>
      </c>
      <c r="AA627" s="19" t="n">
        <v>19</v>
      </c>
      <c r="AB627" s="19" t="n">
        <v>14</v>
      </c>
      <c r="AC627" s="19" t="n">
        <v>14</v>
      </c>
      <c r="AD627" s="19" t="n">
        <v>19</v>
      </c>
      <c r="AE627" s="19" t="n">
        <v>11</v>
      </c>
      <c r="AF627" s="19"/>
      <c r="AG627" s="19"/>
      <c r="AH627" s="19"/>
    </row>
    <row r="628" customFormat="false" ht="12.75" hidden="false" customHeight="true" outlineLevel="0" collapsed="false">
      <c r="A628" s="16" t="s">
        <v>368</v>
      </c>
      <c r="B628" s="17" t="n">
        <f aca="false">AVERAGE(E628:AE628)</f>
        <v>17.1481481481482</v>
      </c>
      <c r="C628" s="2" t="n">
        <f aca="false">MIN(E628:AE628)</f>
        <v>9</v>
      </c>
      <c r="D628" s="18" t="n">
        <f aca="false">MAX(E628:AE628)</f>
        <v>26</v>
      </c>
      <c r="E628" s="19" t="n">
        <v>9</v>
      </c>
      <c r="F628" s="19" t="n">
        <v>12</v>
      </c>
      <c r="G628" s="19" t="n">
        <v>14</v>
      </c>
      <c r="H628" s="19" t="n">
        <v>20</v>
      </c>
      <c r="I628" s="19" t="n">
        <v>18</v>
      </c>
      <c r="J628" s="19" t="n">
        <v>18</v>
      </c>
      <c r="K628" s="19" t="n">
        <v>19</v>
      </c>
      <c r="L628" s="19" t="n">
        <v>21</v>
      </c>
      <c r="M628" s="19" t="n">
        <v>21</v>
      </c>
      <c r="N628" s="19" t="n">
        <v>18</v>
      </c>
      <c r="O628" s="19" t="n">
        <v>18</v>
      </c>
      <c r="P628" s="19" t="n">
        <v>12</v>
      </c>
      <c r="Q628" s="19" t="n">
        <v>22</v>
      </c>
      <c r="R628" s="19" t="n">
        <v>24</v>
      </c>
      <c r="S628" s="19" t="n">
        <v>12</v>
      </c>
      <c r="T628" s="19" t="n">
        <v>26</v>
      </c>
      <c r="U628" s="19" t="n">
        <v>19</v>
      </c>
      <c r="V628" s="19" t="n">
        <v>19</v>
      </c>
      <c r="W628" s="19" t="n">
        <v>21</v>
      </c>
      <c r="X628" s="19" t="n">
        <v>15</v>
      </c>
      <c r="Y628" s="19" t="n">
        <v>15</v>
      </c>
      <c r="Z628" s="19" t="n">
        <v>12</v>
      </c>
      <c r="AA628" s="19" t="n">
        <v>19</v>
      </c>
      <c r="AB628" s="19" t="n">
        <v>15</v>
      </c>
      <c r="AC628" s="19" t="n">
        <v>14</v>
      </c>
      <c r="AD628" s="19" t="n">
        <v>19</v>
      </c>
      <c r="AE628" s="2" t="n">
        <v>11</v>
      </c>
      <c r="AF628" s="19"/>
      <c r="AG628" s="19"/>
      <c r="AH628" s="19"/>
    </row>
    <row r="629" customFormat="false" ht="12.75" hidden="false" customHeight="true" outlineLevel="0" collapsed="false">
      <c r="A629" s="16" t="s">
        <v>369</v>
      </c>
      <c r="B629" s="17" t="n">
        <f aca="false">AVERAGE(E629:AE629)</f>
        <v>17.2222222222222</v>
      </c>
      <c r="C629" s="2" t="n">
        <f aca="false">MIN(E629:AE629)</f>
        <v>9</v>
      </c>
      <c r="D629" s="18" t="n">
        <f aca="false">MAX(E629:AE629)</f>
        <v>26</v>
      </c>
      <c r="E629" s="19" t="n">
        <v>9</v>
      </c>
      <c r="F629" s="19" t="n">
        <v>12</v>
      </c>
      <c r="G629" s="19" t="n">
        <v>14</v>
      </c>
      <c r="H629" s="19" t="n">
        <v>21</v>
      </c>
      <c r="I629" s="19" t="n">
        <v>18</v>
      </c>
      <c r="J629" s="19" t="n">
        <v>18</v>
      </c>
      <c r="K629" s="19" t="n">
        <v>20</v>
      </c>
      <c r="L629" s="19" t="n">
        <v>21</v>
      </c>
      <c r="M629" s="19" t="n">
        <v>21</v>
      </c>
      <c r="N629" s="19" t="n">
        <v>18</v>
      </c>
      <c r="O629" s="19" t="n">
        <v>18</v>
      </c>
      <c r="P629" s="19" t="n">
        <v>12</v>
      </c>
      <c r="Q629" s="19" t="n">
        <v>22</v>
      </c>
      <c r="R629" s="19" t="n">
        <v>24</v>
      </c>
      <c r="S629" s="19" t="n">
        <v>12</v>
      </c>
      <c r="T629" s="19" t="n">
        <v>26</v>
      </c>
      <c r="U629" s="19" t="n">
        <v>19</v>
      </c>
      <c r="V629" s="19" t="n">
        <v>19</v>
      </c>
      <c r="W629" s="19" t="n">
        <v>21</v>
      </c>
      <c r="X629" s="19" t="n">
        <v>15</v>
      </c>
      <c r="Y629" s="19" t="n">
        <v>15</v>
      </c>
      <c r="Z629" s="19" t="n">
        <v>12</v>
      </c>
      <c r="AA629" s="19" t="n">
        <v>19</v>
      </c>
      <c r="AB629" s="19" t="n">
        <v>15</v>
      </c>
      <c r="AC629" s="19" t="n">
        <v>14</v>
      </c>
      <c r="AD629" s="19" t="n">
        <v>19</v>
      </c>
      <c r="AE629" s="19" t="n">
        <v>11</v>
      </c>
      <c r="AF629" s="19"/>
      <c r="AG629" s="19"/>
      <c r="AH629" s="19"/>
    </row>
    <row r="630" customFormat="false" ht="12.75" hidden="false" customHeight="true" outlineLevel="0" collapsed="false">
      <c r="A630" s="16" t="s">
        <v>370</v>
      </c>
      <c r="B630" s="17" t="n">
        <f aca="false">AVERAGE(E630:AE630)</f>
        <v>17.2962962962963</v>
      </c>
      <c r="C630" s="2" t="n">
        <f aca="false">MIN(E630:AE630)</f>
        <v>9</v>
      </c>
      <c r="D630" s="18" t="n">
        <f aca="false">MAX(E630:AE630)</f>
        <v>26</v>
      </c>
      <c r="E630" s="19" t="n">
        <v>9</v>
      </c>
      <c r="F630" s="19" t="n">
        <v>12</v>
      </c>
      <c r="G630" s="19" t="n">
        <v>14</v>
      </c>
      <c r="H630" s="19" t="n">
        <v>21</v>
      </c>
      <c r="I630" s="19" t="n">
        <v>18</v>
      </c>
      <c r="J630" s="19" t="n">
        <v>18</v>
      </c>
      <c r="K630" s="19" t="n">
        <v>20</v>
      </c>
      <c r="L630" s="19" t="n">
        <v>21</v>
      </c>
      <c r="M630" s="19" t="n">
        <v>21</v>
      </c>
      <c r="N630" s="19" t="n">
        <v>18</v>
      </c>
      <c r="O630" s="19" t="n">
        <v>18</v>
      </c>
      <c r="P630" s="19" t="n">
        <v>12</v>
      </c>
      <c r="Q630" s="19" t="n">
        <v>23</v>
      </c>
      <c r="R630" s="19" t="n">
        <v>25</v>
      </c>
      <c r="S630" s="19" t="n">
        <v>12</v>
      </c>
      <c r="T630" s="19" t="n">
        <v>26</v>
      </c>
      <c r="U630" s="19" t="n">
        <v>19</v>
      </c>
      <c r="V630" s="19" t="n">
        <v>19</v>
      </c>
      <c r="W630" s="19" t="n">
        <v>21</v>
      </c>
      <c r="X630" s="19" t="n">
        <v>15</v>
      </c>
      <c r="Y630" s="19" t="n">
        <v>15</v>
      </c>
      <c r="Z630" s="19" t="n">
        <v>12</v>
      </c>
      <c r="AA630" s="19" t="n">
        <v>19</v>
      </c>
      <c r="AB630" s="19" t="n">
        <v>15</v>
      </c>
      <c r="AC630" s="19" t="n">
        <v>14</v>
      </c>
      <c r="AD630" s="19" t="n">
        <v>19</v>
      </c>
      <c r="AE630" s="2" t="n">
        <v>11</v>
      </c>
      <c r="AF630" s="19"/>
      <c r="AG630" s="19"/>
      <c r="AH630" s="19"/>
    </row>
    <row r="631" customFormat="false" ht="12.75" hidden="false" customHeight="true" outlineLevel="0" collapsed="false">
      <c r="A631" s="16" t="s">
        <v>371</v>
      </c>
      <c r="B631" s="17" t="n">
        <f aca="false">AVERAGE(E631:AE631)</f>
        <v>17.2962962962963</v>
      </c>
      <c r="C631" s="2" t="n">
        <f aca="false">MIN(E631:AE631)</f>
        <v>9</v>
      </c>
      <c r="D631" s="18" t="n">
        <f aca="false">MAX(E631:AE631)</f>
        <v>26</v>
      </c>
      <c r="E631" s="19" t="n">
        <v>9</v>
      </c>
      <c r="F631" s="19" t="n">
        <v>12</v>
      </c>
      <c r="G631" s="19" t="n">
        <v>14</v>
      </c>
      <c r="H631" s="19" t="n">
        <v>21</v>
      </c>
      <c r="I631" s="19" t="n">
        <v>18</v>
      </c>
      <c r="J631" s="19" t="n">
        <v>18</v>
      </c>
      <c r="K631" s="19" t="n">
        <v>20</v>
      </c>
      <c r="L631" s="19" t="n">
        <v>21</v>
      </c>
      <c r="M631" s="19" t="n">
        <v>21</v>
      </c>
      <c r="N631" s="19" t="n">
        <v>18</v>
      </c>
      <c r="O631" s="19" t="n">
        <v>18</v>
      </c>
      <c r="P631" s="19" t="n">
        <v>12</v>
      </c>
      <c r="Q631" s="19" t="n">
        <v>23</v>
      </c>
      <c r="R631" s="19" t="n">
        <v>25</v>
      </c>
      <c r="S631" s="19" t="n">
        <v>12</v>
      </c>
      <c r="T631" s="19" t="n">
        <v>26</v>
      </c>
      <c r="U631" s="19" t="n">
        <v>19</v>
      </c>
      <c r="V631" s="19" t="n">
        <v>19</v>
      </c>
      <c r="W631" s="19" t="n">
        <v>21</v>
      </c>
      <c r="X631" s="19" t="n">
        <v>15</v>
      </c>
      <c r="Y631" s="19" t="n">
        <v>15</v>
      </c>
      <c r="Z631" s="19" t="n">
        <v>12</v>
      </c>
      <c r="AA631" s="19" t="n">
        <v>19</v>
      </c>
      <c r="AB631" s="19" t="n">
        <v>15</v>
      </c>
      <c r="AC631" s="19" t="n">
        <v>14</v>
      </c>
      <c r="AD631" s="19" t="n">
        <v>19</v>
      </c>
      <c r="AE631" s="19" t="n">
        <v>11</v>
      </c>
      <c r="AF631" s="19"/>
      <c r="AG631" s="19"/>
      <c r="AH631" s="19"/>
    </row>
    <row r="632" customFormat="false" ht="12.75" hidden="false" customHeight="true" outlineLevel="0" collapsed="false">
      <c r="A632" s="16" t="s">
        <v>372</v>
      </c>
      <c r="B632" s="17" t="n">
        <f aca="false">AVERAGE(E632:AE632)</f>
        <v>17.2962962962963</v>
      </c>
      <c r="C632" s="2" t="n">
        <f aca="false">MIN(E632:AE632)</f>
        <v>9</v>
      </c>
      <c r="D632" s="18" t="n">
        <f aca="false">MAX(E632:AE632)</f>
        <v>26</v>
      </c>
      <c r="E632" s="19" t="n">
        <v>9</v>
      </c>
      <c r="F632" s="19" t="n">
        <v>12</v>
      </c>
      <c r="G632" s="19" t="n">
        <v>14</v>
      </c>
      <c r="H632" s="19" t="n">
        <v>21</v>
      </c>
      <c r="I632" s="19" t="n">
        <v>18</v>
      </c>
      <c r="J632" s="19" t="n">
        <v>18</v>
      </c>
      <c r="K632" s="19" t="n">
        <v>20</v>
      </c>
      <c r="L632" s="19" t="n">
        <v>21</v>
      </c>
      <c r="M632" s="19" t="n">
        <v>21</v>
      </c>
      <c r="N632" s="19" t="n">
        <v>18</v>
      </c>
      <c r="O632" s="19" t="n">
        <v>18</v>
      </c>
      <c r="P632" s="19" t="n">
        <v>12</v>
      </c>
      <c r="Q632" s="19" t="n">
        <v>23</v>
      </c>
      <c r="R632" s="19" t="n">
        <v>25</v>
      </c>
      <c r="S632" s="19" t="n">
        <v>12</v>
      </c>
      <c r="T632" s="19" t="n">
        <v>26</v>
      </c>
      <c r="U632" s="19" t="n">
        <v>19</v>
      </c>
      <c r="V632" s="19" t="n">
        <v>19</v>
      </c>
      <c r="W632" s="19" t="n">
        <v>21</v>
      </c>
      <c r="X632" s="19" t="n">
        <v>15</v>
      </c>
      <c r="Y632" s="19" t="n">
        <v>15</v>
      </c>
      <c r="Z632" s="19" t="n">
        <v>12</v>
      </c>
      <c r="AA632" s="19" t="n">
        <v>19</v>
      </c>
      <c r="AB632" s="19" t="n">
        <v>15</v>
      </c>
      <c r="AC632" s="19" t="n">
        <v>14</v>
      </c>
      <c r="AD632" s="19" t="n">
        <v>19</v>
      </c>
      <c r="AE632" s="2" t="n">
        <v>11</v>
      </c>
      <c r="AF632" s="19"/>
      <c r="AG632" s="19"/>
      <c r="AH632" s="19"/>
    </row>
    <row r="633" customFormat="false" ht="12.75" hidden="false" customHeight="true" outlineLevel="0" collapsed="false">
      <c r="A633" s="16" t="s">
        <v>373</v>
      </c>
      <c r="B633" s="17" t="n">
        <f aca="false">AVERAGE(E633:AE633)</f>
        <v>17.2962962962963</v>
      </c>
      <c r="C633" s="2" t="n">
        <f aca="false">MIN(E633:AE633)</f>
        <v>9</v>
      </c>
      <c r="D633" s="18" t="n">
        <f aca="false">MAX(E633:AE633)</f>
        <v>26</v>
      </c>
      <c r="E633" s="19" t="n">
        <v>9</v>
      </c>
      <c r="F633" s="19" t="n">
        <v>12</v>
      </c>
      <c r="G633" s="19" t="n">
        <v>14</v>
      </c>
      <c r="H633" s="19" t="n">
        <v>21</v>
      </c>
      <c r="I633" s="19" t="n">
        <v>18</v>
      </c>
      <c r="J633" s="19" t="n">
        <v>18</v>
      </c>
      <c r="K633" s="19" t="n">
        <v>20</v>
      </c>
      <c r="L633" s="19" t="n">
        <v>21</v>
      </c>
      <c r="M633" s="19" t="n">
        <v>21</v>
      </c>
      <c r="N633" s="19" t="n">
        <v>18</v>
      </c>
      <c r="O633" s="19" t="n">
        <v>18</v>
      </c>
      <c r="P633" s="19" t="n">
        <v>12</v>
      </c>
      <c r="Q633" s="19" t="n">
        <v>23</v>
      </c>
      <c r="R633" s="19" t="n">
        <v>25</v>
      </c>
      <c r="S633" s="19" t="n">
        <v>12</v>
      </c>
      <c r="T633" s="19" t="n">
        <v>26</v>
      </c>
      <c r="U633" s="19" t="n">
        <v>19</v>
      </c>
      <c r="V633" s="19" t="n">
        <v>19</v>
      </c>
      <c r="W633" s="19" t="n">
        <v>21</v>
      </c>
      <c r="X633" s="19" t="n">
        <v>15</v>
      </c>
      <c r="Y633" s="19" t="n">
        <v>15</v>
      </c>
      <c r="Z633" s="19" t="n">
        <v>12</v>
      </c>
      <c r="AA633" s="19" t="n">
        <v>19</v>
      </c>
      <c r="AB633" s="19" t="n">
        <v>15</v>
      </c>
      <c r="AC633" s="19" t="n">
        <v>14</v>
      </c>
      <c r="AD633" s="19" t="n">
        <v>19</v>
      </c>
      <c r="AE633" s="19" t="n">
        <v>11</v>
      </c>
      <c r="AF633" s="19"/>
      <c r="AG633" s="19"/>
      <c r="AH633" s="19"/>
    </row>
    <row r="634" customFormat="false" ht="12.75" hidden="false" customHeight="true" outlineLevel="0" collapsed="false">
      <c r="A634" s="16" t="s">
        <v>374</v>
      </c>
      <c r="B634" s="17" t="n">
        <f aca="false">AVERAGE(E634:AE634)</f>
        <v>17.2962962962963</v>
      </c>
      <c r="C634" s="2" t="n">
        <f aca="false">MIN(E634:AE634)</f>
        <v>9</v>
      </c>
      <c r="D634" s="18" t="n">
        <f aca="false">MAX(E634:AE634)</f>
        <v>26</v>
      </c>
      <c r="E634" s="19" t="n">
        <v>9</v>
      </c>
      <c r="F634" s="19" t="n">
        <v>12</v>
      </c>
      <c r="G634" s="19" t="n">
        <v>14</v>
      </c>
      <c r="H634" s="19" t="n">
        <v>21</v>
      </c>
      <c r="I634" s="19" t="n">
        <v>18</v>
      </c>
      <c r="J634" s="19" t="n">
        <v>18</v>
      </c>
      <c r="K634" s="19" t="n">
        <v>20</v>
      </c>
      <c r="L634" s="19" t="n">
        <v>21</v>
      </c>
      <c r="M634" s="19" t="n">
        <v>21</v>
      </c>
      <c r="N634" s="19" t="n">
        <v>18</v>
      </c>
      <c r="O634" s="19" t="n">
        <v>18</v>
      </c>
      <c r="P634" s="19" t="n">
        <v>12</v>
      </c>
      <c r="Q634" s="19" t="n">
        <v>23</v>
      </c>
      <c r="R634" s="19" t="n">
        <v>25</v>
      </c>
      <c r="S634" s="19" t="n">
        <v>12</v>
      </c>
      <c r="T634" s="19" t="n">
        <v>26</v>
      </c>
      <c r="U634" s="19" t="n">
        <v>19</v>
      </c>
      <c r="V634" s="19" t="n">
        <v>19</v>
      </c>
      <c r="W634" s="19" t="n">
        <v>21</v>
      </c>
      <c r="X634" s="19" t="n">
        <v>15</v>
      </c>
      <c r="Y634" s="19" t="n">
        <v>15</v>
      </c>
      <c r="Z634" s="19" t="n">
        <v>12</v>
      </c>
      <c r="AA634" s="19" t="n">
        <v>19</v>
      </c>
      <c r="AB634" s="19" t="n">
        <v>15</v>
      </c>
      <c r="AC634" s="19" t="n">
        <v>14</v>
      </c>
      <c r="AD634" s="19" t="n">
        <v>19</v>
      </c>
      <c r="AE634" s="2" t="n">
        <v>11</v>
      </c>
      <c r="AF634" s="19"/>
      <c r="AG634" s="19"/>
      <c r="AH634" s="19"/>
    </row>
    <row r="635" customFormat="false" ht="12.75" hidden="false" customHeight="true" outlineLevel="0" collapsed="false">
      <c r="A635" s="16" t="s">
        <v>375</v>
      </c>
      <c r="B635" s="17" t="n">
        <f aca="false">AVERAGE(E635:AE635)</f>
        <v>17.2962962962963</v>
      </c>
      <c r="C635" s="2" t="n">
        <f aca="false">MIN(E635:AE635)</f>
        <v>9</v>
      </c>
      <c r="D635" s="18" t="n">
        <f aca="false">MAX(E635:AE635)</f>
        <v>26</v>
      </c>
      <c r="E635" s="19" t="n">
        <v>9</v>
      </c>
      <c r="F635" s="19" t="n">
        <v>12</v>
      </c>
      <c r="G635" s="19" t="n">
        <v>14</v>
      </c>
      <c r="H635" s="19" t="n">
        <v>21</v>
      </c>
      <c r="I635" s="19" t="n">
        <v>18</v>
      </c>
      <c r="J635" s="19" t="n">
        <v>18</v>
      </c>
      <c r="K635" s="19" t="n">
        <v>20</v>
      </c>
      <c r="L635" s="19" t="n">
        <v>21</v>
      </c>
      <c r="M635" s="19" t="n">
        <v>21</v>
      </c>
      <c r="N635" s="19" t="n">
        <v>18</v>
      </c>
      <c r="O635" s="19" t="n">
        <v>18</v>
      </c>
      <c r="P635" s="19" t="n">
        <v>12</v>
      </c>
      <c r="Q635" s="19" t="n">
        <v>23</v>
      </c>
      <c r="R635" s="19" t="n">
        <v>25</v>
      </c>
      <c r="S635" s="19" t="n">
        <v>12</v>
      </c>
      <c r="T635" s="19" t="n">
        <v>26</v>
      </c>
      <c r="U635" s="19" t="n">
        <v>19</v>
      </c>
      <c r="V635" s="19" t="n">
        <v>19</v>
      </c>
      <c r="W635" s="19" t="n">
        <v>21</v>
      </c>
      <c r="X635" s="19" t="n">
        <v>15</v>
      </c>
      <c r="Y635" s="19" t="n">
        <v>15</v>
      </c>
      <c r="Z635" s="19" t="n">
        <v>12</v>
      </c>
      <c r="AA635" s="19" t="n">
        <v>19</v>
      </c>
      <c r="AB635" s="19" t="n">
        <v>15</v>
      </c>
      <c r="AC635" s="19" t="n">
        <v>14</v>
      </c>
      <c r="AD635" s="19" t="n">
        <v>19</v>
      </c>
      <c r="AE635" s="19" t="n">
        <v>11</v>
      </c>
      <c r="AF635" s="19"/>
      <c r="AG635" s="19"/>
      <c r="AH635" s="19"/>
    </row>
    <row r="636" customFormat="false" ht="12.75" hidden="false" customHeight="true" outlineLevel="0" collapsed="false">
      <c r="A636" s="16" t="s">
        <v>376</v>
      </c>
      <c r="B636" s="17" t="n">
        <f aca="false">AVERAGE(E636:AE636)</f>
        <v>17.2962962962963</v>
      </c>
      <c r="C636" s="2" t="n">
        <f aca="false">MIN(E636:AE636)</f>
        <v>9</v>
      </c>
      <c r="D636" s="18" t="n">
        <f aca="false">MAX(E636:AE636)</f>
        <v>26</v>
      </c>
      <c r="E636" s="19" t="n">
        <v>9</v>
      </c>
      <c r="F636" s="19" t="n">
        <v>12</v>
      </c>
      <c r="G636" s="19" t="n">
        <v>14</v>
      </c>
      <c r="H636" s="19" t="n">
        <v>21</v>
      </c>
      <c r="I636" s="19" t="n">
        <v>18</v>
      </c>
      <c r="J636" s="19" t="n">
        <v>18</v>
      </c>
      <c r="K636" s="19" t="n">
        <v>20</v>
      </c>
      <c r="L636" s="19" t="n">
        <v>21</v>
      </c>
      <c r="M636" s="19" t="n">
        <v>21</v>
      </c>
      <c r="N636" s="19" t="n">
        <v>18</v>
      </c>
      <c r="O636" s="19" t="n">
        <v>18</v>
      </c>
      <c r="P636" s="19" t="n">
        <v>12</v>
      </c>
      <c r="Q636" s="19" t="n">
        <v>23</v>
      </c>
      <c r="R636" s="19" t="n">
        <v>25</v>
      </c>
      <c r="S636" s="19" t="n">
        <v>12</v>
      </c>
      <c r="T636" s="19" t="n">
        <v>26</v>
      </c>
      <c r="U636" s="19" t="n">
        <v>19</v>
      </c>
      <c r="V636" s="19" t="n">
        <v>19</v>
      </c>
      <c r="W636" s="19" t="n">
        <v>21</v>
      </c>
      <c r="X636" s="19" t="n">
        <v>15</v>
      </c>
      <c r="Y636" s="19" t="n">
        <v>15</v>
      </c>
      <c r="Z636" s="19" t="n">
        <v>12</v>
      </c>
      <c r="AA636" s="19" t="n">
        <v>19</v>
      </c>
      <c r="AB636" s="19" t="n">
        <v>15</v>
      </c>
      <c r="AC636" s="19" t="n">
        <v>14</v>
      </c>
      <c r="AD636" s="19" t="n">
        <v>19</v>
      </c>
      <c r="AE636" s="2" t="n">
        <v>11</v>
      </c>
      <c r="AF636" s="19"/>
      <c r="AG636" s="19"/>
      <c r="AH636" s="19"/>
    </row>
    <row r="637" customFormat="false" ht="12.75" hidden="false" customHeight="true" outlineLevel="0" collapsed="false">
      <c r="A637" s="16" t="s">
        <v>377</v>
      </c>
      <c r="B637" s="17" t="n">
        <f aca="false">AVERAGE(E637:AE637)</f>
        <v>17.3703703703704</v>
      </c>
      <c r="C637" s="2" t="n">
        <f aca="false">MIN(E637:AE637)</f>
        <v>10</v>
      </c>
      <c r="D637" s="18" t="n">
        <f aca="false">MAX(E637:AE637)</f>
        <v>26</v>
      </c>
      <c r="E637" s="19" t="n">
        <v>10</v>
      </c>
      <c r="F637" s="19" t="n">
        <v>12</v>
      </c>
      <c r="G637" s="19" t="n">
        <v>14</v>
      </c>
      <c r="H637" s="19" t="n">
        <v>21</v>
      </c>
      <c r="I637" s="19" t="n">
        <v>18</v>
      </c>
      <c r="J637" s="19" t="n">
        <v>18</v>
      </c>
      <c r="K637" s="19" t="n">
        <v>20</v>
      </c>
      <c r="L637" s="19" t="n">
        <v>21</v>
      </c>
      <c r="M637" s="19" t="n">
        <v>21</v>
      </c>
      <c r="N637" s="19" t="n">
        <v>18</v>
      </c>
      <c r="O637" s="19" t="n">
        <v>18</v>
      </c>
      <c r="P637" s="19" t="n">
        <v>12</v>
      </c>
      <c r="Q637" s="19" t="n">
        <v>23</v>
      </c>
      <c r="R637" s="19" t="n">
        <v>25</v>
      </c>
      <c r="S637" s="19" t="n">
        <v>12</v>
      </c>
      <c r="T637" s="19" t="n">
        <v>26</v>
      </c>
      <c r="U637" s="19" t="n">
        <v>19</v>
      </c>
      <c r="V637" s="19" t="n">
        <v>19</v>
      </c>
      <c r="W637" s="19" t="n">
        <v>21</v>
      </c>
      <c r="X637" s="19" t="n">
        <v>15</v>
      </c>
      <c r="Y637" s="19" t="n">
        <v>15</v>
      </c>
      <c r="Z637" s="19" t="n">
        <v>12</v>
      </c>
      <c r="AA637" s="19" t="n">
        <v>19</v>
      </c>
      <c r="AB637" s="19" t="n">
        <v>15</v>
      </c>
      <c r="AC637" s="19" t="n">
        <v>15</v>
      </c>
      <c r="AD637" s="19" t="n">
        <v>19</v>
      </c>
      <c r="AE637" s="19" t="n">
        <v>11</v>
      </c>
      <c r="AF637" s="19"/>
      <c r="AG637" s="19"/>
      <c r="AH637" s="19"/>
    </row>
    <row r="638" customFormat="false" ht="12.75" hidden="false" customHeight="true" outlineLevel="0" collapsed="false">
      <c r="A638" s="16" t="s">
        <v>378</v>
      </c>
      <c r="B638" s="17" t="n">
        <f aca="false">AVERAGE(E638:AE638)</f>
        <v>17.4074074074074</v>
      </c>
      <c r="C638" s="2" t="n">
        <f aca="false">MIN(E638:AE638)</f>
        <v>10</v>
      </c>
      <c r="D638" s="18" t="n">
        <f aca="false">MAX(E638:AE638)</f>
        <v>27</v>
      </c>
      <c r="E638" s="19" t="n">
        <v>10</v>
      </c>
      <c r="F638" s="19" t="n">
        <v>12</v>
      </c>
      <c r="G638" s="19" t="n">
        <v>14</v>
      </c>
      <c r="H638" s="19" t="n">
        <v>21</v>
      </c>
      <c r="I638" s="19" t="n">
        <v>18</v>
      </c>
      <c r="J638" s="19" t="n">
        <v>18</v>
      </c>
      <c r="K638" s="19" t="n">
        <v>20</v>
      </c>
      <c r="L638" s="19" t="n">
        <v>21</v>
      </c>
      <c r="M638" s="19" t="n">
        <v>21</v>
      </c>
      <c r="N638" s="19" t="n">
        <v>18</v>
      </c>
      <c r="O638" s="19" t="n">
        <v>18</v>
      </c>
      <c r="P638" s="19" t="n">
        <v>12</v>
      </c>
      <c r="Q638" s="19" t="n">
        <v>23</v>
      </c>
      <c r="R638" s="19" t="n">
        <v>25</v>
      </c>
      <c r="S638" s="19" t="n">
        <v>12</v>
      </c>
      <c r="T638" s="19" t="n">
        <v>27</v>
      </c>
      <c r="U638" s="19" t="n">
        <v>19</v>
      </c>
      <c r="V638" s="19" t="n">
        <v>19</v>
      </c>
      <c r="W638" s="19" t="n">
        <v>21</v>
      </c>
      <c r="X638" s="19" t="n">
        <v>15</v>
      </c>
      <c r="Y638" s="19" t="n">
        <v>15</v>
      </c>
      <c r="Z638" s="19" t="n">
        <v>12</v>
      </c>
      <c r="AA638" s="19" t="n">
        <v>19</v>
      </c>
      <c r="AB638" s="19" t="n">
        <v>15</v>
      </c>
      <c r="AC638" s="19" t="n">
        <v>15</v>
      </c>
      <c r="AD638" s="19" t="n">
        <v>19</v>
      </c>
      <c r="AE638" s="2" t="n">
        <v>11</v>
      </c>
      <c r="AF638" s="19"/>
      <c r="AG638" s="19"/>
      <c r="AH638" s="19"/>
    </row>
    <row r="639" customFormat="false" ht="12.75" hidden="false" customHeight="true" outlineLevel="0" collapsed="false">
      <c r="A639" s="16" t="s">
        <v>379</v>
      </c>
      <c r="B639" s="17" t="n">
        <f aca="false">AVERAGE(E639:AE639)</f>
        <v>17.4444444444444</v>
      </c>
      <c r="C639" s="2" t="n">
        <f aca="false">MIN(E639:AE639)</f>
        <v>10</v>
      </c>
      <c r="D639" s="18" t="n">
        <f aca="false">MAX(E639:AE639)</f>
        <v>28</v>
      </c>
      <c r="E639" s="19" t="n">
        <v>10</v>
      </c>
      <c r="F639" s="19" t="n">
        <v>12</v>
      </c>
      <c r="G639" s="19" t="n">
        <v>14</v>
      </c>
      <c r="H639" s="19" t="n">
        <v>21</v>
      </c>
      <c r="I639" s="19" t="n">
        <v>18</v>
      </c>
      <c r="J639" s="19" t="n">
        <v>18</v>
      </c>
      <c r="K639" s="19" t="n">
        <v>20</v>
      </c>
      <c r="L639" s="19" t="n">
        <v>21</v>
      </c>
      <c r="M639" s="19" t="n">
        <v>21</v>
      </c>
      <c r="N639" s="19" t="n">
        <v>18</v>
      </c>
      <c r="O639" s="19" t="n">
        <v>18</v>
      </c>
      <c r="P639" s="19" t="n">
        <v>12</v>
      </c>
      <c r="Q639" s="19" t="n">
        <v>23</v>
      </c>
      <c r="R639" s="19" t="n">
        <v>25</v>
      </c>
      <c r="S639" s="19" t="n">
        <v>12</v>
      </c>
      <c r="T639" s="19" t="n">
        <v>28</v>
      </c>
      <c r="U639" s="19" t="n">
        <v>19</v>
      </c>
      <c r="V639" s="19" t="n">
        <v>19</v>
      </c>
      <c r="W639" s="19" t="n">
        <v>21</v>
      </c>
      <c r="X639" s="19" t="n">
        <v>15</v>
      </c>
      <c r="Y639" s="19" t="n">
        <v>15</v>
      </c>
      <c r="Z639" s="19" t="n">
        <v>12</v>
      </c>
      <c r="AA639" s="19" t="n">
        <v>19</v>
      </c>
      <c r="AB639" s="19" t="n">
        <v>15</v>
      </c>
      <c r="AC639" s="19" t="n">
        <v>15</v>
      </c>
      <c r="AD639" s="19" t="n">
        <v>19</v>
      </c>
      <c r="AE639" s="19" t="n">
        <v>11</v>
      </c>
      <c r="AF639" s="19"/>
      <c r="AG639" s="19"/>
      <c r="AH639" s="19"/>
    </row>
    <row r="640" customFormat="false" ht="12.75" hidden="false" customHeight="true" outlineLevel="0" collapsed="false">
      <c r="A640" s="16" t="s">
        <v>380</v>
      </c>
      <c r="B640" s="17" t="n">
        <f aca="false">AVERAGE(E640:AE640)</f>
        <v>17.5185185185185</v>
      </c>
      <c r="C640" s="2" t="n">
        <f aca="false">MIN(E640:AE640)</f>
        <v>10</v>
      </c>
      <c r="D640" s="18" t="n">
        <f aca="false">MAX(E640:AE640)</f>
        <v>28</v>
      </c>
      <c r="E640" s="19" t="n">
        <v>10</v>
      </c>
      <c r="F640" s="19" t="n">
        <v>12</v>
      </c>
      <c r="G640" s="19" t="n">
        <v>14</v>
      </c>
      <c r="H640" s="19" t="n">
        <v>21</v>
      </c>
      <c r="I640" s="19" t="n">
        <v>18</v>
      </c>
      <c r="J640" s="19" t="n">
        <v>18</v>
      </c>
      <c r="K640" s="19" t="n">
        <v>20</v>
      </c>
      <c r="L640" s="19" t="n">
        <v>21</v>
      </c>
      <c r="M640" s="19" t="n">
        <v>21</v>
      </c>
      <c r="N640" s="19" t="n">
        <v>18</v>
      </c>
      <c r="O640" s="19" t="n">
        <v>18</v>
      </c>
      <c r="P640" s="19" t="n">
        <v>12</v>
      </c>
      <c r="Q640" s="19" t="n">
        <v>23</v>
      </c>
      <c r="R640" s="19" t="n">
        <v>25</v>
      </c>
      <c r="S640" s="19" t="n">
        <v>12</v>
      </c>
      <c r="T640" s="19" t="n">
        <v>28</v>
      </c>
      <c r="U640" s="19" t="n">
        <v>19</v>
      </c>
      <c r="V640" s="19" t="n">
        <v>19</v>
      </c>
      <c r="W640" s="19" t="n">
        <v>21</v>
      </c>
      <c r="X640" s="19" t="n">
        <v>16</v>
      </c>
      <c r="Y640" s="19" t="n">
        <v>15</v>
      </c>
      <c r="Z640" s="19" t="n">
        <v>12</v>
      </c>
      <c r="AA640" s="19" t="n">
        <v>19</v>
      </c>
      <c r="AB640" s="19" t="n">
        <v>15</v>
      </c>
      <c r="AC640" s="19" t="n">
        <v>15</v>
      </c>
      <c r="AD640" s="19" t="n">
        <v>19</v>
      </c>
      <c r="AE640" s="2" t="n">
        <v>12</v>
      </c>
      <c r="AF640" s="19"/>
      <c r="AG640" s="19"/>
      <c r="AH640" s="19"/>
    </row>
    <row r="641" customFormat="false" ht="12.75" hidden="false" customHeight="true" outlineLevel="0" collapsed="false">
      <c r="A641" s="16" t="s">
        <v>381</v>
      </c>
      <c r="B641" s="17" t="n">
        <f aca="false">AVERAGE(E641:AE641)</f>
        <v>17.5185185185185</v>
      </c>
      <c r="C641" s="2" t="n">
        <f aca="false">MIN(E641:AE641)</f>
        <v>10</v>
      </c>
      <c r="D641" s="18" t="n">
        <f aca="false">MAX(E641:AE641)</f>
        <v>28</v>
      </c>
      <c r="E641" s="19" t="n">
        <v>10</v>
      </c>
      <c r="F641" s="19" t="n">
        <v>12</v>
      </c>
      <c r="G641" s="19" t="n">
        <v>14</v>
      </c>
      <c r="H641" s="19" t="n">
        <v>21</v>
      </c>
      <c r="I641" s="19" t="n">
        <v>18</v>
      </c>
      <c r="J641" s="19" t="n">
        <v>18</v>
      </c>
      <c r="K641" s="19" t="n">
        <v>20</v>
      </c>
      <c r="L641" s="19" t="n">
        <v>21</v>
      </c>
      <c r="M641" s="19" t="n">
        <v>21</v>
      </c>
      <c r="N641" s="19" t="n">
        <v>18</v>
      </c>
      <c r="O641" s="19" t="n">
        <v>18</v>
      </c>
      <c r="P641" s="19" t="n">
        <v>12</v>
      </c>
      <c r="Q641" s="19" t="n">
        <v>23</v>
      </c>
      <c r="R641" s="19" t="n">
        <v>25</v>
      </c>
      <c r="S641" s="19" t="n">
        <v>12</v>
      </c>
      <c r="T641" s="19" t="n">
        <v>28</v>
      </c>
      <c r="U641" s="19" t="n">
        <v>19</v>
      </c>
      <c r="V641" s="19" t="n">
        <v>19</v>
      </c>
      <c r="W641" s="19" t="n">
        <v>21</v>
      </c>
      <c r="X641" s="19" t="n">
        <v>16</v>
      </c>
      <c r="Y641" s="19" t="n">
        <v>15</v>
      </c>
      <c r="Z641" s="19" t="n">
        <v>12</v>
      </c>
      <c r="AA641" s="19" t="n">
        <v>19</v>
      </c>
      <c r="AB641" s="19" t="n">
        <v>15</v>
      </c>
      <c r="AC641" s="19" t="n">
        <v>15</v>
      </c>
      <c r="AD641" s="19" t="n">
        <v>19</v>
      </c>
      <c r="AE641" s="2" t="n">
        <v>12</v>
      </c>
      <c r="AF641" s="19"/>
      <c r="AG641" s="19"/>
      <c r="AH641" s="19"/>
    </row>
    <row r="642" customFormat="false" ht="12.75" hidden="false" customHeight="true" outlineLevel="0" collapsed="false">
      <c r="A642" s="16" t="s">
        <v>382</v>
      </c>
      <c r="B642" s="17" t="n">
        <f aca="false">AVERAGE(E642:AE642)</f>
        <v>17.5925925925926</v>
      </c>
      <c r="C642" s="2" t="n">
        <f aca="false">MIN(E642:AE642)</f>
        <v>11</v>
      </c>
      <c r="D642" s="18" t="n">
        <f aca="false">MAX(E642:AE642)</f>
        <v>28</v>
      </c>
      <c r="E642" s="19" t="n">
        <v>11</v>
      </c>
      <c r="F642" s="19" t="n">
        <v>12</v>
      </c>
      <c r="G642" s="19" t="n">
        <v>14</v>
      </c>
      <c r="H642" s="19" t="n">
        <v>21</v>
      </c>
      <c r="I642" s="19" t="n">
        <v>18</v>
      </c>
      <c r="J642" s="19" t="n">
        <v>18</v>
      </c>
      <c r="K642" s="19" t="n">
        <v>20</v>
      </c>
      <c r="L642" s="19" t="n">
        <v>21</v>
      </c>
      <c r="M642" s="19" t="n">
        <v>21</v>
      </c>
      <c r="N642" s="19" t="n">
        <v>18</v>
      </c>
      <c r="O642" s="19" t="n">
        <v>18</v>
      </c>
      <c r="P642" s="19" t="n">
        <v>12</v>
      </c>
      <c r="Q642" s="19" t="n">
        <v>23</v>
      </c>
      <c r="R642" s="19" t="n">
        <v>25</v>
      </c>
      <c r="S642" s="19" t="n">
        <v>12</v>
      </c>
      <c r="T642" s="19" t="n">
        <v>28</v>
      </c>
      <c r="U642" s="19" t="n">
        <v>19</v>
      </c>
      <c r="V642" s="19" t="n">
        <v>19</v>
      </c>
      <c r="W642" s="19" t="n">
        <v>21</v>
      </c>
      <c r="X642" s="19" t="n">
        <v>17</v>
      </c>
      <c r="Y642" s="19" t="n">
        <v>15</v>
      </c>
      <c r="Z642" s="19" t="n">
        <v>12</v>
      </c>
      <c r="AA642" s="19" t="n">
        <v>19</v>
      </c>
      <c r="AB642" s="19" t="n">
        <v>15</v>
      </c>
      <c r="AC642" s="19" t="n">
        <v>15</v>
      </c>
      <c r="AD642" s="19" t="n">
        <v>19</v>
      </c>
      <c r="AE642" s="2" t="n">
        <v>12</v>
      </c>
      <c r="AF642" s="19"/>
      <c r="AG642" s="19"/>
      <c r="AH642" s="19"/>
    </row>
    <row r="643" customFormat="false" ht="12.75" hidden="false" customHeight="true" outlineLevel="0" collapsed="false">
      <c r="A643" s="16" t="s">
        <v>383</v>
      </c>
      <c r="B643" s="17" t="n">
        <f aca="false">AVERAGE(E643:AE643)</f>
        <v>17.5925925925926</v>
      </c>
      <c r="C643" s="2" t="n">
        <f aca="false">MIN(E643:AE643)</f>
        <v>11</v>
      </c>
      <c r="D643" s="18" t="n">
        <f aca="false">MAX(E643:AE643)</f>
        <v>28</v>
      </c>
      <c r="E643" s="19" t="n">
        <v>11</v>
      </c>
      <c r="F643" s="19" t="n">
        <v>12</v>
      </c>
      <c r="G643" s="19" t="n">
        <v>14</v>
      </c>
      <c r="H643" s="19" t="n">
        <v>21</v>
      </c>
      <c r="I643" s="19" t="n">
        <v>18</v>
      </c>
      <c r="J643" s="19" t="n">
        <v>18</v>
      </c>
      <c r="K643" s="19" t="n">
        <v>20</v>
      </c>
      <c r="L643" s="19" t="n">
        <v>21</v>
      </c>
      <c r="M643" s="19" t="n">
        <v>21</v>
      </c>
      <c r="N643" s="19" t="n">
        <v>18</v>
      </c>
      <c r="O643" s="19" t="n">
        <v>18</v>
      </c>
      <c r="P643" s="19" t="n">
        <v>12</v>
      </c>
      <c r="Q643" s="19" t="n">
        <v>23</v>
      </c>
      <c r="R643" s="19" t="n">
        <v>25</v>
      </c>
      <c r="S643" s="19" t="n">
        <v>12</v>
      </c>
      <c r="T643" s="19" t="n">
        <v>28</v>
      </c>
      <c r="U643" s="19" t="n">
        <v>19</v>
      </c>
      <c r="V643" s="19" t="n">
        <v>19</v>
      </c>
      <c r="W643" s="19" t="n">
        <v>21</v>
      </c>
      <c r="X643" s="19" t="n">
        <v>17</v>
      </c>
      <c r="Y643" s="19" t="n">
        <v>15</v>
      </c>
      <c r="Z643" s="19" t="n">
        <v>12</v>
      </c>
      <c r="AA643" s="19" t="n">
        <v>19</v>
      </c>
      <c r="AB643" s="19" t="n">
        <v>15</v>
      </c>
      <c r="AC643" s="19" t="n">
        <v>15</v>
      </c>
      <c r="AD643" s="19" t="n">
        <v>19</v>
      </c>
      <c r="AE643" s="2" t="n">
        <v>12</v>
      </c>
      <c r="AF643" s="19"/>
      <c r="AG643" s="19"/>
      <c r="AH643" s="19"/>
    </row>
    <row r="644" customFormat="false" ht="12.75" hidden="false" customHeight="true" outlineLevel="0" collapsed="false">
      <c r="A644" s="16" t="s">
        <v>384</v>
      </c>
      <c r="B644" s="17" t="n">
        <f aca="false">AVERAGE(E644:AE644)</f>
        <v>17.6296296296296</v>
      </c>
      <c r="C644" s="2" t="n">
        <f aca="false">MIN(E644:AE644)</f>
        <v>11</v>
      </c>
      <c r="D644" s="18" t="n">
        <f aca="false">MAX(E644:AE644)</f>
        <v>28</v>
      </c>
      <c r="E644" s="19" t="n">
        <v>11</v>
      </c>
      <c r="F644" s="19" t="n">
        <v>12</v>
      </c>
      <c r="G644" s="19" t="n">
        <v>14</v>
      </c>
      <c r="H644" s="19" t="n">
        <v>21</v>
      </c>
      <c r="I644" s="19" t="n">
        <v>18</v>
      </c>
      <c r="J644" s="19" t="n">
        <v>18</v>
      </c>
      <c r="K644" s="19" t="n">
        <v>20</v>
      </c>
      <c r="L644" s="19" t="n">
        <v>21</v>
      </c>
      <c r="M644" s="19" t="n">
        <v>21</v>
      </c>
      <c r="N644" s="19" t="n">
        <v>18</v>
      </c>
      <c r="O644" s="19" t="n">
        <v>18</v>
      </c>
      <c r="P644" s="19" t="n">
        <v>12</v>
      </c>
      <c r="Q644" s="19" t="n">
        <v>23</v>
      </c>
      <c r="R644" s="19" t="n">
        <v>25</v>
      </c>
      <c r="S644" s="19" t="n">
        <v>12</v>
      </c>
      <c r="T644" s="19" t="n">
        <v>28</v>
      </c>
      <c r="U644" s="19" t="n">
        <v>19</v>
      </c>
      <c r="V644" s="19" t="n">
        <v>19</v>
      </c>
      <c r="W644" s="19" t="n">
        <v>21</v>
      </c>
      <c r="X644" s="19" t="n">
        <v>17</v>
      </c>
      <c r="Y644" s="19" t="n">
        <v>15</v>
      </c>
      <c r="Z644" s="19" t="n">
        <v>12</v>
      </c>
      <c r="AA644" s="19" t="n">
        <v>19</v>
      </c>
      <c r="AB644" s="19" t="n">
        <v>16</v>
      </c>
      <c r="AC644" s="19" t="n">
        <v>15</v>
      </c>
      <c r="AD644" s="19" t="n">
        <v>19</v>
      </c>
      <c r="AE644" s="2" t="n">
        <v>12</v>
      </c>
      <c r="AF644" s="19"/>
      <c r="AG644" s="19"/>
      <c r="AH644" s="19"/>
    </row>
    <row r="645" customFormat="false" ht="12.75" hidden="false" customHeight="true" outlineLevel="0" collapsed="false">
      <c r="A645" s="16" t="s">
        <v>385</v>
      </c>
      <c r="B645" s="17" t="n">
        <f aca="false">AVERAGE(E645:AE645)</f>
        <v>17.6296296296296</v>
      </c>
      <c r="C645" s="2" t="n">
        <f aca="false">MIN(E645:AE645)</f>
        <v>11</v>
      </c>
      <c r="D645" s="18" t="n">
        <f aca="false">MAX(E645:AE645)</f>
        <v>28</v>
      </c>
      <c r="E645" s="19" t="n">
        <v>11</v>
      </c>
      <c r="F645" s="19" t="n">
        <v>12</v>
      </c>
      <c r="G645" s="19" t="n">
        <v>14</v>
      </c>
      <c r="H645" s="19" t="n">
        <v>21</v>
      </c>
      <c r="I645" s="19" t="n">
        <v>18</v>
      </c>
      <c r="J645" s="19" t="n">
        <v>18</v>
      </c>
      <c r="K645" s="19" t="n">
        <v>20</v>
      </c>
      <c r="L645" s="19" t="n">
        <v>21</v>
      </c>
      <c r="M645" s="19" t="n">
        <v>21</v>
      </c>
      <c r="N645" s="19" t="n">
        <v>18</v>
      </c>
      <c r="O645" s="19" t="n">
        <v>18</v>
      </c>
      <c r="P645" s="19" t="n">
        <v>12</v>
      </c>
      <c r="Q645" s="19" t="n">
        <v>23</v>
      </c>
      <c r="R645" s="19" t="n">
        <v>25</v>
      </c>
      <c r="S645" s="19" t="n">
        <v>12</v>
      </c>
      <c r="T645" s="19" t="n">
        <v>28</v>
      </c>
      <c r="U645" s="19" t="n">
        <v>19</v>
      </c>
      <c r="V645" s="19" t="n">
        <v>19</v>
      </c>
      <c r="W645" s="19" t="n">
        <v>21</v>
      </c>
      <c r="X645" s="19" t="n">
        <v>17</v>
      </c>
      <c r="Y645" s="19" t="n">
        <v>15</v>
      </c>
      <c r="Z645" s="19" t="n">
        <v>12</v>
      </c>
      <c r="AA645" s="19" t="n">
        <v>19</v>
      </c>
      <c r="AB645" s="19" t="n">
        <v>16</v>
      </c>
      <c r="AC645" s="19" t="n">
        <v>15</v>
      </c>
      <c r="AD645" s="19" t="n">
        <v>19</v>
      </c>
      <c r="AE645" s="2" t="n">
        <v>12</v>
      </c>
      <c r="AF645" s="19"/>
      <c r="AG645" s="19"/>
      <c r="AH645" s="19"/>
    </row>
    <row r="646" customFormat="false" ht="12.75" hidden="false" customHeight="true" outlineLevel="0" collapsed="false">
      <c r="A646" s="16" t="s">
        <v>386</v>
      </c>
      <c r="B646" s="17" t="n">
        <f aca="false">AVERAGE(E646:AE646)</f>
        <v>17.6666666666667</v>
      </c>
      <c r="C646" s="2" t="n">
        <f aca="false">MIN(E646:AE646)</f>
        <v>11</v>
      </c>
      <c r="D646" s="18" t="n">
        <f aca="false">MAX(E646:AE646)</f>
        <v>28</v>
      </c>
      <c r="E646" s="19" t="n">
        <v>11</v>
      </c>
      <c r="F646" s="19" t="n">
        <v>12</v>
      </c>
      <c r="G646" s="19" t="n">
        <v>14</v>
      </c>
      <c r="H646" s="19" t="n">
        <v>21</v>
      </c>
      <c r="I646" s="19" t="n">
        <v>18</v>
      </c>
      <c r="J646" s="19" t="n">
        <v>18</v>
      </c>
      <c r="K646" s="19" t="n">
        <v>20</v>
      </c>
      <c r="L646" s="19" t="n">
        <v>21</v>
      </c>
      <c r="M646" s="19" t="n">
        <v>21</v>
      </c>
      <c r="N646" s="19" t="n">
        <v>18</v>
      </c>
      <c r="O646" s="19" t="n">
        <v>18</v>
      </c>
      <c r="P646" s="19" t="n">
        <v>12</v>
      </c>
      <c r="Q646" s="19" t="n">
        <v>24</v>
      </c>
      <c r="R646" s="19" t="n">
        <v>25</v>
      </c>
      <c r="S646" s="19" t="n">
        <v>12</v>
      </c>
      <c r="T646" s="19" t="n">
        <v>28</v>
      </c>
      <c r="U646" s="19" t="n">
        <v>19</v>
      </c>
      <c r="V646" s="19" t="n">
        <v>19</v>
      </c>
      <c r="W646" s="19" t="n">
        <v>21</v>
      </c>
      <c r="X646" s="19" t="n">
        <v>17</v>
      </c>
      <c r="Y646" s="19" t="n">
        <v>15</v>
      </c>
      <c r="Z646" s="19" t="n">
        <v>12</v>
      </c>
      <c r="AA646" s="19" t="n">
        <v>19</v>
      </c>
      <c r="AB646" s="19" t="n">
        <v>16</v>
      </c>
      <c r="AC646" s="19" t="n">
        <v>15</v>
      </c>
      <c r="AD646" s="19" t="n">
        <v>19</v>
      </c>
      <c r="AE646" s="2" t="n">
        <v>12</v>
      </c>
      <c r="AF646" s="19"/>
      <c r="AG646" s="19"/>
      <c r="AH646" s="19"/>
    </row>
    <row r="647" customFormat="false" ht="12.75" hidden="false" customHeight="true" outlineLevel="0" collapsed="false">
      <c r="A647" s="16" t="s">
        <v>387</v>
      </c>
      <c r="B647" s="17" t="n">
        <f aca="false">AVERAGE(E647:AE647)</f>
        <v>17.6666666666667</v>
      </c>
      <c r="C647" s="2" t="n">
        <f aca="false">MIN(E647:AE647)</f>
        <v>11</v>
      </c>
      <c r="D647" s="18" t="n">
        <f aca="false">MAX(E647:AE647)</f>
        <v>28</v>
      </c>
      <c r="E647" s="19" t="n">
        <v>11</v>
      </c>
      <c r="F647" s="19" t="n">
        <v>12</v>
      </c>
      <c r="G647" s="19" t="n">
        <v>14</v>
      </c>
      <c r="H647" s="19" t="n">
        <v>21</v>
      </c>
      <c r="I647" s="19" t="n">
        <v>18</v>
      </c>
      <c r="J647" s="19" t="n">
        <v>18</v>
      </c>
      <c r="K647" s="19" t="n">
        <v>20</v>
      </c>
      <c r="L647" s="19" t="n">
        <v>21</v>
      </c>
      <c r="M647" s="19" t="n">
        <v>21</v>
      </c>
      <c r="N647" s="19" t="n">
        <v>18</v>
      </c>
      <c r="O647" s="19" t="n">
        <v>18</v>
      </c>
      <c r="P647" s="19" t="n">
        <v>12</v>
      </c>
      <c r="Q647" s="19" t="n">
        <v>24</v>
      </c>
      <c r="R647" s="19" t="n">
        <v>25</v>
      </c>
      <c r="S647" s="19" t="n">
        <v>12</v>
      </c>
      <c r="T647" s="19" t="n">
        <v>28</v>
      </c>
      <c r="U647" s="19" t="n">
        <v>19</v>
      </c>
      <c r="V647" s="19" t="n">
        <v>19</v>
      </c>
      <c r="W647" s="19" t="n">
        <v>21</v>
      </c>
      <c r="X647" s="19" t="n">
        <v>17</v>
      </c>
      <c r="Y647" s="19" t="n">
        <v>15</v>
      </c>
      <c r="Z647" s="19" t="n">
        <v>12</v>
      </c>
      <c r="AA647" s="19" t="n">
        <v>19</v>
      </c>
      <c r="AB647" s="19" t="n">
        <v>16</v>
      </c>
      <c r="AC647" s="19" t="n">
        <v>15</v>
      </c>
      <c r="AD647" s="19" t="n">
        <v>19</v>
      </c>
      <c r="AE647" s="2" t="n">
        <v>12</v>
      </c>
      <c r="AF647" s="19"/>
      <c r="AG647" s="19"/>
      <c r="AH647" s="19"/>
    </row>
    <row r="648" customFormat="false" ht="12.75" hidden="false" customHeight="true" outlineLevel="0" collapsed="false">
      <c r="A648" s="16" t="s">
        <v>388</v>
      </c>
      <c r="B648" s="17" t="n">
        <f aca="false">AVERAGE(E648:AE648)</f>
        <v>17.6666666666667</v>
      </c>
      <c r="C648" s="2" t="n">
        <f aca="false">MIN(E648:AE648)</f>
        <v>11</v>
      </c>
      <c r="D648" s="18" t="n">
        <f aca="false">MAX(E648:AE648)</f>
        <v>28</v>
      </c>
      <c r="E648" s="19" t="n">
        <v>11</v>
      </c>
      <c r="F648" s="19" t="n">
        <v>12</v>
      </c>
      <c r="G648" s="19" t="n">
        <v>14</v>
      </c>
      <c r="H648" s="19" t="n">
        <v>21</v>
      </c>
      <c r="I648" s="19" t="n">
        <v>18</v>
      </c>
      <c r="J648" s="19" t="n">
        <v>18</v>
      </c>
      <c r="K648" s="19" t="n">
        <v>20</v>
      </c>
      <c r="L648" s="19" t="n">
        <v>21</v>
      </c>
      <c r="M648" s="19" t="n">
        <v>21</v>
      </c>
      <c r="N648" s="19" t="n">
        <v>18</v>
      </c>
      <c r="O648" s="19" t="n">
        <v>18</v>
      </c>
      <c r="P648" s="19" t="n">
        <v>12</v>
      </c>
      <c r="Q648" s="19" t="n">
        <v>24</v>
      </c>
      <c r="R648" s="19" t="n">
        <v>25</v>
      </c>
      <c r="S648" s="19" t="n">
        <v>12</v>
      </c>
      <c r="T648" s="19" t="n">
        <v>28</v>
      </c>
      <c r="U648" s="19" t="n">
        <v>19</v>
      </c>
      <c r="V648" s="19" t="n">
        <v>19</v>
      </c>
      <c r="W648" s="19" t="n">
        <v>21</v>
      </c>
      <c r="X648" s="19" t="n">
        <v>17</v>
      </c>
      <c r="Y648" s="19" t="n">
        <v>15</v>
      </c>
      <c r="Z648" s="19" t="n">
        <v>12</v>
      </c>
      <c r="AA648" s="19" t="n">
        <v>19</v>
      </c>
      <c r="AB648" s="19" t="n">
        <v>16</v>
      </c>
      <c r="AC648" s="19" t="n">
        <v>15</v>
      </c>
      <c r="AD648" s="19" t="n">
        <v>19</v>
      </c>
      <c r="AE648" s="2" t="n">
        <v>12</v>
      </c>
      <c r="AF648" s="19"/>
      <c r="AG648" s="19"/>
      <c r="AH648" s="19"/>
    </row>
    <row r="649" customFormat="false" ht="12.75" hidden="false" customHeight="true" outlineLevel="0" collapsed="false">
      <c r="A649" s="16" t="s">
        <v>389</v>
      </c>
      <c r="B649" s="17" t="n">
        <f aca="false">AVERAGE(E649:AE649)</f>
        <v>17.6666666666667</v>
      </c>
      <c r="C649" s="2" t="n">
        <f aca="false">MIN(E649:AE649)</f>
        <v>11</v>
      </c>
      <c r="D649" s="18" t="n">
        <f aca="false">MAX(E649:AE649)</f>
        <v>28</v>
      </c>
      <c r="E649" s="19" t="n">
        <v>11</v>
      </c>
      <c r="F649" s="19" t="n">
        <v>12</v>
      </c>
      <c r="G649" s="19" t="n">
        <v>14</v>
      </c>
      <c r="H649" s="19" t="n">
        <v>21</v>
      </c>
      <c r="I649" s="19" t="n">
        <v>18</v>
      </c>
      <c r="J649" s="19" t="n">
        <v>18</v>
      </c>
      <c r="K649" s="19" t="n">
        <v>20</v>
      </c>
      <c r="L649" s="19" t="n">
        <v>21</v>
      </c>
      <c r="M649" s="19" t="n">
        <v>21</v>
      </c>
      <c r="N649" s="19" t="n">
        <v>18</v>
      </c>
      <c r="O649" s="19" t="n">
        <v>18</v>
      </c>
      <c r="P649" s="19" t="n">
        <v>12</v>
      </c>
      <c r="Q649" s="19" t="n">
        <v>24</v>
      </c>
      <c r="R649" s="19" t="n">
        <v>25</v>
      </c>
      <c r="S649" s="19" t="n">
        <v>12</v>
      </c>
      <c r="T649" s="19" t="n">
        <v>28</v>
      </c>
      <c r="U649" s="19" t="n">
        <v>19</v>
      </c>
      <c r="V649" s="19" t="n">
        <v>19</v>
      </c>
      <c r="W649" s="19" t="n">
        <v>21</v>
      </c>
      <c r="X649" s="19" t="n">
        <v>17</v>
      </c>
      <c r="Y649" s="19" t="n">
        <v>15</v>
      </c>
      <c r="Z649" s="19" t="n">
        <v>12</v>
      </c>
      <c r="AA649" s="19" t="n">
        <v>19</v>
      </c>
      <c r="AB649" s="19" t="n">
        <v>16</v>
      </c>
      <c r="AC649" s="19" t="n">
        <v>15</v>
      </c>
      <c r="AD649" s="19" t="n">
        <v>19</v>
      </c>
      <c r="AE649" s="2" t="n">
        <v>12</v>
      </c>
      <c r="AF649" s="19"/>
      <c r="AG649" s="19"/>
      <c r="AH649" s="19"/>
    </row>
    <row r="650" customFormat="false" ht="12.75" hidden="false" customHeight="true" outlineLevel="0" collapsed="false">
      <c r="A650" s="16" t="s">
        <v>390</v>
      </c>
      <c r="B650" s="17" t="n">
        <f aca="false">AVERAGE(E650:AE650)</f>
        <v>17.7407407407407</v>
      </c>
      <c r="C650" s="2" t="n">
        <f aca="false">MIN(E650:AE650)</f>
        <v>11</v>
      </c>
      <c r="D650" s="18" t="n">
        <f aca="false">MAX(E650:AE650)</f>
        <v>29</v>
      </c>
      <c r="E650" s="19" t="n">
        <v>11</v>
      </c>
      <c r="F650" s="19" t="n">
        <v>12</v>
      </c>
      <c r="G650" s="19" t="n">
        <v>14</v>
      </c>
      <c r="H650" s="19" t="n">
        <v>21</v>
      </c>
      <c r="I650" s="19" t="n">
        <v>18</v>
      </c>
      <c r="J650" s="19" t="n">
        <v>18</v>
      </c>
      <c r="K650" s="19" t="n">
        <v>20</v>
      </c>
      <c r="L650" s="19" t="n">
        <v>22</v>
      </c>
      <c r="M650" s="19" t="n">
        <v>21</v>
      </c>
      <c r="N650" s="19" t="n">
        <v>18</v>
      </c>
      <c r="O650" s="19" t="n">
        <v>18</v>
      </c>
      <c r="P650" s="19" t="n">
        <v>12</v>
      </c>
      <c r="Q650" s="19" t="n">
        <v>24</v>
      </c>
      <c r="R650" s="19" t="n">
        <v>25</v>
      </c>
      <c r="S650" s="19" t="n">
        <v>12</v>
      </c>
      <c r="T650" s="19" t="n">
        <v>29</v>
      </c>
      <c r="U650" s="19" t="n">
        <v>19</v>
      </c>
      <c r="V650" s="19" t="n">
        <v>19</v>
      </c>
      <c r="W650" s="19" t="n">
        <v>21</v>
      </c>
      <c r="X650" s="19" t="n">
        <v>17</v>
      </c>
      <c r="Y650" s="19" t="n">
        <v>15</v>
      </c>
      <c r="Z650" s="19" t="n">
        <v>12</v>
      </c>
      <c r="AA650" s="19" t="n">
        <v>19</v>
      </c>
      <c r="AB650" s="19" t="n">
        <v>16</v>
      </c>
      <c r="AC650" s="19" t="n">
        <v>15</v>
      </c>
      <c r="AD650" s="19" t="n">
        <v>19</v>
      </c>
      <c r="AE650" s="2" t="n">
        <v>12</v>
      </c>
      <c r="AF650" s="19"/>
      <c r="AG650" s="19"/>
      <c r="AH650" s="19"/>
    </row>
    <row r="651" customFormat="false" ht="12.75" hidden="false" customHeight="true" outlineLevel="0" collapsed="false">
      <c r="A651" s="16" t="s">
        <v>391</v>
      </c>
      <c r="B651" s="17" t="n">
        <f aca="false">AVERAGE(E651:AE651)</f>
        <v>17.7407407407407</v>
      </c>
      <c r="C651" s="2" t="n">
        <f aca="false">MIN(E651:AE651)</f>
        <v>11</v>
      </c>
      <c r="D651" s="18" t="n">
        <f aca="false">MAX(E651:AE651)</f>
        <v>29</v>
      </c>
      <c r="E651" s="19" t="n">
        <v>11</v>
      </c>
      <c r="F651" s="19" t="n">
        <v>12</v>
      </c>
      <c r="G651" s="19" t="n">
        <v>14</v>
      </c>
      <c r="H651" s="19" t="n">
        <v>21</v>
      </c>
      <c r="I651" s="19" t="n">
        <v>18</v>
      </c>
      <c r="J651" s="19" t="n">
        <v>18</v>
      </c>
      <c r="K651" s="19" t="n">
        <v>20</v>
      </c>
      <c r="L651" s="19" t="n">
        <v>22</v>
      </c>
      <c r="M651" s="19" t="n">
        <v>21</v>
      </c>
      <c r="N651" s="19" t="n">
        <v>18</v>
      </c>
      <c r="O651" s="19" t="n">
        <v>18</v>
      </c>
      <c r="P651" s="19" t="n">
        <v>12</v>
      </c>
      <c r="Q651" s="19" t="n">
        <v>24</v>
      </c>
      <c r="R651" s="19" t="n">
        <v>25</v>
      </c>
      <c r="S651" s="19" t="n">
        <v>12</v>
      </c>
      <c r="T651" s="19" t="n">
        <v>29</v>
      </c>
      <c r="U651" s="19" t="n">
        <v>19</v>
      </c>
      <c r="V651" s="19" t="n">
        <v>19</v>
      </c>
      <c r="W651" s="19" t="n">
        <v>21</v>
      </c>
      <c r="X651" s="19" t="n">
        <v>17</v>
      </c>
      <c r="Y651" s="19" t="n">
        <v>15</v>
      </c>
      <c r="Z651" s="19" t="n">
        <v>12</v>
      </c>
      <c r="AA651" s="19" t="n">
        <v>19</v>
      </c>
      <c r="AB651" s="19" t="n">
        <v>16</v>
      </c>
      <c r="AC651" s="19" t="n">
        <v>15</v>
      </c>
      <c r="AD651" s="19" t="n">
        <v>19</v>
      </c>
      <c r="AE651" s="2" t="n">
        <v>12</v>
      </c>
      <c r="AF651" s="19"/>
      <c r="AG651" s="19"/>
      <c r="AH651" s="19"/>
    </row>
    <row r="652" customFormat="false" ht="12.75" hidden="false" customHeight="true" outlineLevel="0" collapsed="false">
      <c r="A652" s="16" t="s">
        <v>392</v>
      </c>
      <c r="B652" s="17" t="n">
        <f aca="false">AVERAGE(E652:AE652)</f>
        <v>17.7407407407407</v>
      </c>
      <c r="C652" s="2" t="n">
        <f aca="false">MIN(E652:AE652)</f>
        <v>11</v>
      </c>
      <c r="D652" s="18" t="n">
        <f aca="false">MAX(E652:AE652)</f>
        <v>29</v>
      </c>
      <c r="E652" s="19" t="n">
        <v>11</v>
      </c>
      <c r="F652" s="19" t="n">
        <v>12</v>
      </c>
      <c r="G652" s="19" t="n">
        <v>14</v>
      </c>
      <c r="H652" s="19" t="n">
        <v>21</v>
      </c>
      <c r="I652" s="19" t="n">
        <v>18</v>
      </c>
      <c r="J652" s="19" t="n">
        <v>18</v>
      </c>
      <c r="K652" s="19" t="n">
        <v>20</v>
      </c>
      <c r="L652" s="19" t="n">
        <v>22</v>
      </c>
      <c r="M652" s="19" t="n">
        <v>21</v>
      </c>
      <c r="N652" s="19" t="n">
        <v>18</v>
      </c>
      <c r="O652" s="19" t="n">
        <v>18</v>
      </c>
      <c r="P652" s="19" t="n">
        <v>12</v>
      </c>
      <c r="Q652" s="19" t="n">
        <v>24</v>
      </c>
      <c r="R652" s="19" t="n">
        <v>25</v>
      </c>
      <c r="S652" s="19" t="n">
        <v>12</v>
      </c>
      <c r="T652" s="19" t="n">
        <v>29</v>
      </c>
      <c r="U652" s="19" t="n">
        <v>19</v>
      </c>
      <c r="V652" s="19" t="n">
        <v>19</v>
      </c>
      <c r="W652" s="19" t="n">
        <v>21</v>
      </c>
      <c r="X652" s="19" t="n">
        <v>17</v>
      </c>
      <c r="Y652" s="19" t="n">
        <v>15</v>
      </c>
      <c r="Z652" s="19" t="n">
        <v>12</v>
      </c>
      <c r="AA652" s="19" t="n">
        <v>19</v>
      </c>
      <c r="AB652" s="19" t="n">
        <v>16</v>
      </c>
      <c r="AC652" s="19" t="n">
        <v>15</v>
      </c>
      <c r="AD652" s="19" t="n">
        <v>19</v>
      </c>
      <c r="AE652" s="2" t="n">
        <v>12</v>
      </c>
      <c r="AF652" s="19"/>
      <c r="AG652" s="19"/>
      <c r="AH652" s="19"/>
    </row>
    <row r="653" customFormat="false" ht="12.75" hidden="false" customHeight="true" outlineLevel="0" collapsed="false">
      <c r="A653" s="16" t="s">
        <v>393</v>
      </c>
      <c r="B653" s="17" t="n">
        <f aca="false">AVERAGE(E653:AE653)</f>
        <v>17.7407407407407</v>
      </c>
      <c r="C653" s="2" t="n">
        <f aca="false">MIN(E653:AE653)</f>
        <v>11</v>
      </c>
      <c r="D653" s="18" t="n">
        <f aca="false">MAX(E653:AE653)</f>
        <v>29</v>
      </c>
      <c r="E653" s="19" t="n">
        <v>11</v>
      </c>
      <c r="F653" s="19" t="n">
        <v>12</v>
      </c>
      <c r="G653" s="19" t="n">
        <v>14</v>
      </c>
      <c r="H653" s="19" t="n">
        <v>21</v>
      </c>
      <c r="I653" s="19" t="n">
        <v>18</v>
      </c>
      <c r="J653" s="19" t="n">
        <v>18</v>
      </c>
      <c r="K653" s="19" t="n">
        <v>20</v>
      </c>
      <c r="L653" s="19" t="n">
        <v>22</v>
      </c>
      <c r="M653" s="19" t="n">
        <v>21</v>
      </c>
      <c r="N653" s="19" t="n">
        <v>18</v>
      </c>
      <c r="O653" s="19" t="n">
        <v>18</v>
      </c>
      <c r="P653" s="19" t="n">
        <v>12</v>
      </c>
      <c r="Q653" s="19" t="n">
        <v>24</v>
      </c>
      <c r="R653" s="19" t="n">
        <v>25</v>
      </c>
      <c r="S653" s="19" t="n">
        <v>12</v>
      </c>
      <c r="T653" s="19" t="n">
        <v>29</v>
      </c>
      <c r="U653" s="19" t="n">
        <v>19</v>
      </c>
      <c r="V653" s="19" t="n">
        <v>19</v>
      </c>
      <c r="W653" s="19" t="n">
        <v>21</v>
      </c>
      <c r="X653" s="19" t="n">
        <v>17</v>
      </c>
      <c r="Y653" s="19" t="n">
        <v>15</v>
      </c>
      <c r="Z653" s="19" t="n">
        <v>12</v>
      </c>
      <c r="AA653" s="19" t="n">
        <v>19</v>
      </c>
      <c r="AB653" s="19" t="n">
        <v>16</v>
      </c>
      <c r="AC653" s="19" t="n">
        <v>15</v>
      </c>
      <c r="AD653" s="19" t="n">
        <v>19</v>
      </c>
      <c r="AE653" s="2" t="n">
        <v>12</v>
      </c>
      <c r="AF653" s="19"/>
      <c r="AG653" s="19"/>
      <c r="AH653" s="19"/>
    </row>
    <row r="654" customFormat="false" ht="12.75" hidden="false" customHeight="true" outlineLevel="0" collapsed="false">
      <c r="A654" s="16" t="s">
        <v>394</v>
      </c>
      <c r="B654" s="17" t="n">
        <f aca="false">AVERAGE(E654:AE654)</f>
        <v>17.7407407407407</v>
      </c>
      <c r="C654" s="2" t="n">
        <f aca="false">MIN(E654:AE654)</f>
        <v>11</v>
      </c>
      <c r="D654" s="18" t="n">
        <f aca="false">MAX(E654:AE654)</f>
        <v>29</v>
      </c>
      <c r="E654" s="19" t="n">
        <v>11</v>
      </c>
      <c r="F654" s="19" t="n">
        <v>12</v>
      </c>
      <c r="G654" s="19" t="n">
        <v>14</v>
      </c>
      <c r="H654" s="19" t="n">
        <v>21</v>
      </c>
      <c r="I654" s="19" t="n">
        <v>18</v>
      </c>
      <c r="J654" s="19" t="n">
        <v>18</v>
      </c>
      <c r="K654" s="19" t="n">
        <v>20</v>
      </c>
      <c r="L654" s="19" t="n">
        <v>22</v>
      </c>
      <c r="M654" s="19" t="n">
        <v>21</v>
      </c>
      <c r="N654" s="19" t="n">
        <v>18</v>
      </c>
      <c r="O654" s="19" t="n">
        <v>18</v>
      </c>
      <c r="P654" s="19" t="n">
        <v>12</v>
      </c>
      <c r="Q654" s="19" t="n">
        <v>24</v>
      </c>
      <c r="R654" s="19" t="n">
        <v>25</v>
      </c>
      <c r="S654" s="19" t="n">
        <v>12</v>
      </c>
      <c r="T654" s="19" t="n">
        <v>29</v>
      </c>
      <c r="U654" s="19" t="n">
        <v>19</v>
      </c>
      <c r="V654" s="19" t="n">
        <v>19</v>
      </c>
      <c r="W654" s="19" t="n">
        <v>21</v>
      </c>
      <c r="X654" s="19" t="n">
        <v>17</v>
      </c>
      <c r="Y654" s="19" t="n">
        <v>15</v>
      </c>
      <c r="Z654" s="19" t="n">
        <v>12</v>
      </c>
      <c r="AA654" s="19" t="n">
        <v>19</v>
      </c>
      <c r="AB654" s="19" t="n">
        <v>16</v>
      </c>
      <c r="AC654" s="19" t="n">
        <v>15</v>
      </c>
      <c r="AD654" s="19" t="n">
        <v>19</v>
      </c>
      <c r="AE654" s="2" t="n">
        <v>12</v>
      </c>
      <c r="AF654" s="19"/>
      <c r="AG654" s="19"/>
      <c r="AH654" s="19"/>
    </row>
    <row r="655" customFormat="false" ht="12.75" hidden="false" customHeight="true" outlineLevel="0" collapsed="false">
      <c r="A655" s="16" t="s">
        <v>395</v>
      </c>
      <c r="B655" s="17" t="n">
        <f aca="false">AVERAGE(E655:AE655)</f>
        <v>17.7407407407407</v>
      </c>
      <c r="C655" s="2" t="n">
        <f aca="false">MIN(E655:AE655)</f>
        <v>11</v>
      </c>
      <c r="D655" s="18" t="n">
        <f aca="false">MAX(E655:AE655)</f>
        <v>29</v>
      </c>
      <c r="E655" s="19" t="n">
        <v>11</v>
      </c>
      <c r="F655" s="19" t="n">
        <v>12</v>
      </c>
      <c r="G655" s="19" t="n">
        <v>14</v>
      </c>
      <c r="H655" s="19" t="n">
        <v>21</v>
      </c>
      <c r="I655" s="19" t="n">
        <v>18</v>
      </c>
      <c r="J655" s="19" t="n">
        <v>18</v>
      </c>
      <c r="K655" s="19" t="n">
        <v>20</v>
      </c>
      <c r="L655" s="19" t="n">
        <v>22</v>
      </c>
      <c r="M655" s="19" t="n">
        <v>21</v>
      </c>
      <c r="N655" s="19" t="n">
        <v>18</v>
      </c>
      <c r="O655" s="19" t="n">
        <v>18</v>
      </c>
      <c r="P655" s="19" t="n">
        <v>12</v>
      </c>
      <c r="Q655" s="19" t="n">
        <v>24</v>
      </c>
      <c r="R655" s="19" t="n">
        <v>25</v>
      </c>
      <c r="S655" s="19" t="n">
        <v>12</v>
      </c>
      <c r="T655" s="19" t="n">
        <v>29</v>
      </c>
      <c r="U655" s="19" t="n">
        <v>19</v>
      </c>
      <c r="V655" s="19" t="n">
        <v>19</v>
      </c>
      <c r="W655" s="19" t="n">
        <v>21</v>
      </c>
      <c r="X655" s="19" t="n">
        <v>17</v>
      </c>
      <c r="Y655" s="19" t="n">
        <v>15</v>
      </c>
      <c r="Z655" s="19" t="n">
        <v>12</v>
      </c>
      <c r="AA655" s="19" t="n">
        <v>19</v>
      </c>
      <c r="AB655" s="19" t="n">
        <v>16</v>
      </c>
      <c r="AC655" s="19" t="n">
        <v>15</v>
      </c>
      <c r="AD655" s="19" t="n">
        <v>19</v>
      </c>
      <c r="AE655" s="2" t="n">
        <v>12</v>
      </c>
      <c r="AF655" s="19"/>
      <c r="AG655" s="19"/>
      <c r="AH655" s="19"/>
    </row>
    <row r="656" customFormat="false" ht="12.75" hidden="false" customHeight="true" outlineLevel="0" collapsed="false">
      <c r="A656" s="16" t="s">
        <v>396</v>
      </c>
      <c r="B656" s="17" t="n">
        <f aca="false">AVERAGE(E656:AE656)</f>
        <v>17.7407407407407</v>
      </c>
      <c r="C656" s="2" t="n">
        <f aca="false">MIN(E656:AE656)</f>
        <v>11</v>
      </c>
      <c r="D656" s="18" t="n">
        <f aca="false">MAX(E656:AE656)</f>
        <v>29</v>
      </c>
      <c r="E656" s="19" t="n">
        <v>11</v>
      </c>
      <c r="F656" s="19" t="n">
        <v>12</v>
      </c>
      <c r="G656" s="19" t="n">
        <v>14</v>
      </c>
      <c r="H656" s="19" t="n">
        <v>21</v>
      </c>
      <c r="I656" s="19" t="n">
        <v>18</v>
      </c>
      <c r="J656" s="19" t="n">
        <v>18</v>
      </c>
      <c r="K656" s="19" t="n">
        <v>20</v>
      </c>
      <c r="L656" s="19" t="n">
        <v>22</v>
      </c>
      <c r="M656" s="19" t="n">
        <v>21</v>
      </c>
      <c r="N656" s="19" t="n">
        <v>18</v>
      </c>
      <c r="O656" s="19" t="n">
        <v>18</v>
      </c>
      <c r="P656" s="19" t="n">
        <v>12</v>
      </c>
      <c r="Q656" s="19" t="n">
        <v>24</v>
      </c>
      <c r="R656" s="19" t="n">
        <v>25</v>
      </c>
      <c r="S656" s="19" t="n">
        <v>12</v>
      </c>
      <c r="T656" s="19" t="n">
        <v>29</v>
      </c>
      <c r="U656" s="19" t="n">
        <v>19</v>
      </c>
      <c r="V656" s="19" t="n">
        <v>19</v>
      </c>
      <c r="W656" s="19" t="n">
        <v>21</v>
      </c>
      <c r="X656" s="19" t="n">
        <v>17</v>
      </c>
      <c r="Y656" s="19" t="n">
        <v>15</v>
      </c>
      <c r="Z656" s="19" t="n">
        <v>12</v>
      </c>
      <c r="AA656" s="19" t="n">
        <v>19</v>
      </c>
      <c r="AB656" s="19" t="n">
        <v>16</v>
      </c>
      <c r="AC656" s="19" t="n">
        <v>15</v>
      </c>
      <c r="AD656" s="19" t="n">
        <v>19</v>
      </c>
      <c r="AE656" s="2" t="n">
        <v>12</v>
      </c>
      <c r="AF656" s="19"/>
      <c r="AG656" s="19"/>
      <c r="AH656" s="19"/>
    </row>
    <row r="657" customFormat="false" ht="12.75" hidden="false" customHeight="true" outlineLevel="0" collapsed="false">
      <c r="A657" s="16" t="s">
        <v>397</v>
      </c>
      <c r="B657" s="17" t="n">
        <f aca="false">AVERAGE(E657:AE657)</f>
        <v>17.7407407407407</v>
      </c>
      <c r="C657" s="2" t="n">
        <f aca="false">MIN(E657:AE657)</f>
        <v>11</v>
      </c>
      <c r="D657" s="18" t="n">
        <f aca="false">MAX(E657:AE657)</f>
        <v>29</v>
      </c>
      <c r="E657" s="19" t="n">
        <v>11</v>
      </c>
      <c r="F657" s="19" t="n">
        <v>12</v>
      </c>
      <c r="G657" s="19" t="n">
        <v>14</v>
      </c>
      <c r="H657" s="19" t="n">
        <v>21</v>
      </c>
      <c r="I657" s="19" t="n">
        <v>18</v>
      </c>
      <c r="J657" s="19" t="n">
        <v>18</v>
      </c>
      <c r="K657" s="19" t="n">
        <v>20</v>
      </c>
      <c r="L657" s="19" t="n">
        <v>22</v>
      </c>
      <c r="M657" s="19" t="n">
        <v>21</v>
      </c>
      <c r="N657" s="19" t="n">
        <v>18</v>
      </c>
      <c r="O657" s="19" t="n">
        <v>18</v>
      </c>
      <c r="P657" s="19" t="n">
        <v>12</v>
      </c>
      <c r="Q657" s="19" t="n">
        <v>24</v>
      </c>
      <c r="R657" s="19" t="n">
        <v>25</v>
      </c>
      <c r="S657" s="19" t="n">
        <v>12</v>
      </c>
      <c r="T657" s="19" t="n">
        <v>29</v>
      </c>
      <c r="U657" s="19" t="n">
        <v>19</v>
      </c>
      <c r="V657" s="19" t="n">
        <v>19</v>
      </c>
      <c r="W657" s="19" t="n">
        <v>21</v>
      </c>
      <c r="X657" s="19" t="n">
        <v>17</v>
      </c>
      <c r="Y657" s="19" t="n">
        <v>15</v>
      </c>
      <c r="Z657" s="19" t="n">
        <v>12</v>
      </c>
      <c r="AA657" s="19" t="n">
        <v>19</v>
      </c>
      <c r="AB657" s="19" t="n">
        <v>16</v>
      </c>
      <c r="AC657" s="19" t="n">
        <v>15</v>
      </c>
      <c r="AD657" s="19" t="n">
        <v>19</v>
      </c>
      <c r="AE657" s="2" t="n">
        <v>12</v>
      </c>
      <c r="AF657" s="19"/>
      <c r="AG657" s="19"/>
      <c r="AH657" s="19"/>
    </row>
    <row r="658" customFormat="false" ht="12.75" hidden="false" customHeight="true" outlineLevel="0" collapsed="false">
      <c r="A658" s="16" t="s">
        <v>398</v>
      </c>
      <c r="B658" s="17" t="n">
        <f aca="false">AVERAGE(E658:AE658)</f>
        <v>17.7407407407407</v>
      </c>
      <c r="C658" s="2" t="n">
        <f aca="false">MIN(E658:AE658)</f>
        <v>11</v>
      </c>
      <c r="D658" s="18" t="n">
        <f aca="false">MAX(E658:AE658)</f>
        <v>29</v>
      </c>
      <c r="E658" s="19" t="n">
        <v>11</v>
      </c>
      <c r="F658" s="19" t="n">
        <v>12</v>
      </c>
      <c r="G658" s="19" t="n">
        <v>14</v>
      </c>
      <c r="H658" s="19" t="n">
        <v>21</v>
      </c>
      <c r="I658" s="19" t="n">
        <v>18</v>
      </c>
      <c r="J658" s="19" t="n">
        <v>18</v>
      </c>
      <c r="K658" s="19" t="n">
        <v>20</v>
      </c>
      <c r="L658" s="19" t="n">
        <v>22</v>
      </c>
      <c r="M658" s="19" t="n">
        <v>21</v>
      </c>
      <c r="N658" s="19" t="n">
        <v>18</v>
      </c>
      <c r="O658" s="19" t="n">
        <v>18</v>
      </c>
      <c r="P658" s="19" t="n">
        <v>12</v>
      </c>
      <c r="Q658" s="19" t="n">
        <v>24</v>
      </c>
      <c r="R658" s="19" t="n">
        <v>25</v>
      </c>
      <c r="S658" s="19" t="n">
        <v>12</v>
      </c>
      <c r="T658" s="19" t="n">
        <v>29</v>
      </c>
      <c r="U658" s="19" t="n">
        <v>19</v>
      </c>
      <c r="V658" s="19" t="n">
        <v>19</v>
      </c>
      <c r="W658" s="19" t="n">
        <v>21</v>
      </c>
      <c r="X658" s="19" t="n">
        <v>17</v>
      </c>
      <c r="Y658" s="19" t="n">
        <v>15</v>
      </c>
      <c r="Z658" s="19" t="n">
        <v>12</v>
      </c>
      <c r="AA658" s="19" t="n">
        <v>19</v>
      </c>
      <c r="AB658" s="19" t="n">
        <v>16</v>
      </c>
      <c r="AC658" s="19" t="n">
        <v>15</v>
      </c>
      <c r="AD658" s="19" t="n">
        <v>19</v>
      </c>
      <c r="AE658" s="2" t="n">
        <v>12</v>
      </c>
      <c r="AF658" s="19"/>
      <c r="AG658" s="19"/>
      <c r="AH658" s="19"/>
    </row>
    <row r="659" customFormat="false" ht="12.75" hidden="false" customHeight="true" outlineLevel="0" collapsed="false">
      <c r="A659" s="16" t="s">
        <v>399</v>
      </c>
      <c r="B659" s="17" t="n">
        <f aca="false">AVERAGE(E659:AE659)</f>
        <v>17.7407407407407</v>
      </c>
      <c r="C659" s="2" t="n">
        <f aca="false">MIN(E659:AE659)</f>
        <v>11</v>
      </c>
      <c r="D659" s="18" t="n">
        <f aca="false">MAX(E659:AE659)</f>
        <v>29</v>
      </c>
      <c r="E659" s="19" t="n">
        <v>11</v>
      </c>
      <c r="F659" s="19" t="n">
        <v>12</v>
      </c>
      <c r="G659" s="19" t="n">
        <v>14</v>
      </c>
      <c r="H659" s="19" t="n">
        <v>21</v>
      </c>
      <c r="I659" s="19" t="n">
        <v>18</v>
      </c>
      <c r="J659" s="19" t="n">
        <v>18</v>
      </c>
      <c r="K659" s="19" t="n">
        <v>20</v>
      </c>
      <c r="L659" s="19" t="n">
        <v>22</v>
      </c>
      <c r="M659" s="19" t="n">
        <v>21</v>
      </c>
      <c r="N659" s="19" t="n">
        <v>18</v>
      </c>
      <c r="O659" s="19" t="n">
        <v>18</v>
      </c>
      <c r="P659" s="19" t="n">
        <v>12</v>
      </c>
      <c r="Q659" s="19" t="n">
        <v>24</v>
      </c>
      <c r="R659" s="19" t="n">
        <v>25</v>
      </c>
      <c r="S659" s="19" t="n">
        <v>12</v>
      </c>
      <c r="T659" s="19" t="n">
        <v>29</v>
      </c>
      <c r="U659" s="19" t="n">
        <v>19</v>
      </c>
      <c r="V659" s="19" t="n">
        <v>19</v>
      </c>
      <c r="W659" s="19" t="n">
        <v>21</v>
      </c>
      <c r="X659" s="19" t="n">
        <v>17</v>
      </c>
      <c r="Y659" s="19" t="n">
        <v>15</v>
      </c>
      <c r="Z659" s="19" t="n">
        <v>12</v>
      </c>
      <c r="AA659" s="19" t="n">
        <v>19</v>
      </c>
      <c r="AB659" s="19" t="n">
        <v>16</v>
      </c>
      <c r="AC659" s="19" t="n">
        <v>15</v>
      </c>
      <c r="AD659" s="19" t="n">
        <v>19</v>
      </c>
      <c r="AE659" s="2" t="n">
        <v>12</v>
      </c>
      <c r="AF659" s="19"/>
      <c r="AG659" s="19"/>
      <c r="AH659" s="19"/>
    </row>
    <row r="660" customFormat="false" ht="12.75" hidden="false" customHeight="true" outlineLevel="0" collapsed="false">
      <c r="A660" s="16" t="s">
        <v>400</v>
      </c>
      <c r="B660" s="17" t="n">
        <f aca="false">AVERAGE(E660:AE660)</f>
        <v>17.7407407407407</v>
      </c>
      <c r="C660" s="2" t="n">
        <f aca="false">MIN(E660:AE660)</f>
        <v>11</v>
      </c>
      <c r="D660" s="18" t="n">
        <f aca="false">MAX(E660:AE660)</f>
        <v>29</v>
      </c>
      <c r="E660" s="19" t="n">
        <v>11</v>
      </c>
      <c r="F660" s="19" t="n">
        <v>12</v>
      </c>
      <c r="G660" s="19" t="n">
        <v>14</v>
      </c>
      <c r="H660" s="19" t="n">
        <v>21</v>
      </c>
      <c r="I660" s="19" t="n">
        <v>18</v>
      </c>
      <c r="J660" s="19" t="n">
        <v>18</v>
      </c>
      <c r="K660" s="19" t="n">
        <v>20</v>
      </c>
      <c r="L660" s="19" t="n">
        <v>22</v>
      </c>
      <c r="M660" s="19" t="n">
        <v>21</v>
      </c>
      <c r="N660" s="19" t="n">
        <v>18</v>
      </c>
      <c r="O660" s="19" t="n">
        <v>18</v>
      </c>
      <c r="P660" s="19" t="n">
        <v>12</v>
      </c>
      <c r="Q660" s="19" t="n">
        <v>24</v>
      </c>
      <c r="R660" s="19" t="n">
        <v>25</v>
      </c>
      <c r="S660" s="19" t="n">
        <v>12</v>
      </c>
      <c r="T660" s="19" t="n">
        <v>29</v>
      </c>
      <c r="U660" s="19" t="n">
        <v>19</v>
      </c>
      <c r="V660" s="19" t="n">
        <v>19</v>
      </c>
      <c r="W660" s="19" t="n">
        <v>21</v>
      </c>
      <c r="X660" s="19" t="n">
        <v>17</v>
      </c>
      <c r="Y660" s="19" t="n">
        <v>15</v>
      </c>
      <c r="Z660" s="19" t="n">
        <v>12</v>
      </c>
      <c r="AA660" s="19" t="n">
        <v>19</v>
      </c>
      <c r="AB660" s="19" t="n">
        <v>16</v>
      </c>
      <c r="AC660" s="19" t="n">
        <v>15</v>
      </c>
      <c r="AD660" s="19" t="n">
        <v>19</v>
      </c>
      <c r="AE660" s="2" t="n">
        <v>12</v>
      </c>
      <c r="AF660" s="19"/>
      <c r="AG660" s="19"/>
      <c r="AH660" s="19"/>
    </row>
    <row r="661" customFormat="false" ht="12.75" hidden="false" customHeight="true" outlineLevel="0" collapsed="false">
      <c r="A661" s="16" t="s">
        <v>401</v>
      </c>
      <c r="B661" s="17" t="n">
        <f aca="false">AVERAGE(E661:AE661)</f>
        <v>17.7407407407407</v>
      </c>
      <c r="C661" s="2" t="n">
        <f aca="false">MIN(E661:AE661)</f>
        <v>11</v>
      </c>
      <c r="D661" s="18" t="n">
        <f aca="false">MAX(E661:AE661)</f>
        <v>29</v>
      </c>
      <c r="E661" s="19" t="n">
        <v>11</v>
      </c>
      <c r="F661" s="19" t="n">
        <v>12</v>
      </c>
      <c r="G661" s="19" t="n">
        <v>14</v>
      </c>
      <c r="H661" s="19" t="n">
        <v>21</v>
      </c>
      <c r="I661" s="19" t="n">
        <v>18</v>
      </c>
      <c r="J661" s="19" t="n">
        <v>18</v>
      </c>
      <c r="K661" s="19" t="n">
        <v>20</v>
      </c>
      <c r="L661" s="19" t="n">
        <v>22</v>
      </c>
      <c r="M661" s="19" t="n">
        <v>21</v>
      </c>
      <c r="N661" s="19" t="n">
        <v>18</v>
      </c>
      <c r="O661" s="19" t="n">
        <v>18</v>
      </c>
      <c r="P661" s="19" t="n">
        <v>12</v>
      </c>
      <c r="Q661" s="19" t="n">
        <v>24</v>
      </c>
      <c r="R661" s="19" t="n">
        <v>25</v>
      </c>
      <c r="S661" s="19" t="n">
        <v>12</v>
      </c>
      <c r="T661" s="19" t="n">
        <v>29</v>
      </c>
      <c r="U661" s="19" t="n">
        <v>19</v>
      </c>
      <c r="V661" s="19" t="n">
        <v>19</v>
      </c>
      <c r="W661" s="19" t="n">
        <v>21</v>
      </c>
      <c r="X661" s="19" t="n">
        <v>17</v>
      </c>
      <c r="Y661" s="19" t="n">
        <v>15</v>
      </c>
      <c r="Z661" s="19" t="n">
        <v>12</v>
      </c>
      <c r="AA661" s="19" t="n">
        <v>19</v>
      </c>
      <c r="AB661" s="19" t="n">
        <v>16</v>
      </c>
      <c r="AC661" s="19" t="n">
        <v>15</v>
      </c>
      <c r="AD661" s="19" t="n">
        <v>19</v>
      </c>
      <c r="AE661" s="2" t="n">
        <v>12</v>
      </c>
      <c r="AF661" s="19"/>
      <c r="AG661" s="19"/>
      <c r="AH661" s="19"/>
    </row>
    <row r="662" customFormat="false" ht="12.75" hidden="false" customHeight="true" outlineLevel="0" collapsed="false">
      <c r="A662" s="16" t="s">
        <v>402</v>
      </c>
      <c r="B662" s="17" t="n">
        <f aca="false">AVERAGE(E662:AE662)</f>
        <v>17.7407407407407</v>
      </c>
      <c r="C662" s="2" t="n">
        <f aca="false">MIN(E662:AE662)</f>
        <v>11</v>
      </c>
      <c r="D662" s="18" t="n">
        <f aca="false">MAX(E662:AE662)</f>
        <v>29</v>
      </c>
      <c r="E662" s="19" t="n">
        <v>11</v>
      </c>
      <c r="F662" s="19" t="n">
        <v>12</v>
      </c>
      <c r="G662" s="19" t="n">
        <v>14</v>
      </c>
      <c r="H662" s="19" t="n">
        <v>21</v>
      </c>
      <c r="I662" s="19" t="n">
        <v>18</v>
      </c>
      <c r="J662" s="19" t="n">
        <v>18</v>
      </c>
      <c r="K662" s="19" t="n">
        <v>20</v>
      </c>
      <c r="L662" s="19" t="n">
        <v>22</v>
      </c>
      <c r="M662" s="19" t="n">
        <v>21</v>
      </c>
      <c r="N662" s="19" t="n">
        <v>18</v>
      </c>
      <c r="O662" s="19" t="n">
        <v>18</v>
      </c>
      <c r="P662" s="19" t="n">
        <v>12</v>
      </c>
      <c r="Q662" s="19" t="n">
        <v>24</v>
      </c>
      <c r="R662" s="19" t="n">
        <v>25</v>
      </c>
      <c r="S662" s="19" t="n">
        <v>12</v>
      </c>
      <c r="T662" s="19" t="n">
        <v>29</v>
      </c>
      <c r="U662" s="19" t="n">
        <v>19</v>
      </c>
      <c r="V662" s="19" t="n">
        <v>19</v>
      </c>
      <c r="W662" s="19" t="n">
        <v>21</v>
      </c>
      <c r="X662" s="19" t="n">
        <v>17</v>
      </c>
      <c r="Y662" s="19" t="n">
        <v>15</v>
      </c>
      <c r="Z662" s="19" t="n">
        <v>12</v>
      </c>
      <c r="AA662" s="19" t="n">
        <v>19</v>
      </c>
      <c r="AB662" s="19" t="n">
        <v>16</v>
      </c>
      <c r="AC662" s="19" t="n">
        <v>15</v>
      </c>
      <c r="AD662" s="19" t="n">
        <v>19</v>
      </c>
      <c r="AE662" s="2" t="n">
        <v>12</v>
      </c>
      <c r="AF662" s="19"/>
      <c r="AG662" s="19"/>
      <c r="AH662" s="19"/>
    </row>
    <row r="663" customFormat="false" ht="12.75" hidden="false" customHeight="true" outlineLevel="0" collapsed="false">
      <c r="A663" s="16" t="s">
        <v>403</v>
      </c>
      <c r="B663" s="17" t="n">
        <f aca="false">AVERAGE(E663:AE663)</f>
        <v>17.7407407407407</v>
      </c>
      <c r="C663" s="2" t="n">
        <f aca="false">MIN(E663:AE663)</f>
        <v>11</v>
      </c>
      <c r="D663" s="18" t="n">
        <f aca="false">MAX(E663:AE663)</f>
        <v>29</v>
      </c>
      <c r="E663" s="19" t="n">
        <v>11</v>
      </c>
      <c r="F663" s="19" t="n">
        <v>12</v>
      </c>
      <c r="G663" s="19" t="n">
        <v>14</v>
      </c>
      <c r="H663" s="19" t="n">
        <v>21</v>
      </c>
      <c r="I663" s="19" t="n">
        <v>18</v>
      </c>
      <c r="J663" s="19" t="n">
        <v>18</v>
      </c>
      <c r="K663" s="19" t="n">
        <v>20</v>
      </c>
      <c r="L663" s="19" t="n">
        <v>22</v>
      </c>
      <c r="M663" s="19" t="n">
        <v>21</v>
      </c>
      <c r="N663" s="19" t="n">
        <v>18</v>
      </c>
      <c r="O663" s="19" t="n">
        <v>18</v>
      </c>
      <c r="P663" s="19" t="n">
        <v>12</v>
      </c>
      <c r="Q663" s="19" t="n">
        <v>24</v>
      </c>
      <c r="R663" s="19" t="n">
        <v>25</v>
      </c>
      <c r="S663" s="19" t="n">
        <v>12</v>
      </c>
      <c r="T663" s="19" t="n">
        <v>29</v>
      </c>
      <c r="U663" s="19" t="n">
        <v>19</v>
      </c>
      <c r="V663" s="19" t="n">
        <v>19</v>
      </c>
      <c r="W663" s="19" t="n">
        <v>21</v>
      </c>
      <c r="X663" s="19" t="n">
        <v>17</v>
      </c>
      <c r="Y663" s="19" t="n">
        <v>15</v>
      </c>
      <c r="Z663" s="19" t="n">
        <v>12</v>
      </c>
      <c r="AA663" s="19" t="n">
        <v>19</v>
      </c>
      <c r="AB663" s="19" t="n">
        <v>16</v>
      </c>
      <c r="AC663" s="19" t="n">
        <v>15</v>
      </c>
      <c r="AD663" s="19" t="n">
        <v>19</v>
      </c>
      <c r="AE663" s="2" t="n">
        <v>12</v>
      </c>
      <c r="AF663" s="19"/>
      <c r="AG663" s="19"/>
      <c r="AH663" s="19"/>
    </row>
    <row r="664" customFormat="false" ht="12.75" hidden="false" customHeight="true" outlineLevel="0" collapsed="false">
      <c r="A664" s="16" t="s">
        <v>404</v>
      </c>
      <c r="B664" s="17" t="n">
        <f aca="false">AVERAGE(E664:AE664)</f>
        <v>17.7407407407407</v>
      </c>
      <c r="C664" s="2" t="n">
        <f aca="false">MIN(E664:AE664)</f>
        <v>11</v>
      </c>
      <c r="D664" s="18" t="n">
        <f aca="false">MAX(E664:AE664)</f>
        <v>29</v>
      </c>
      <c r="E664" s="19" t="n">
        <v>11</v>
      </c>
      <c r="F664" s="19" t="n">
        <v>12</v>
      </c>
      <c r="G664" s="19" t="n">
        <v>14</v>
      </c>
      <c r="H664" s="19" t="n">
        <v>21</v>
      </c>
      <c r="I664" s="19" t="n">
        <v>18</v>
      </c>
      <c r="J664" s="19" t="n">
        <v>18</v>
      </c>
      <c r="K664" s="19" t="n">
        <v>20</v>
      </c>
      <c r="L664" s="19" t="n">
        <v>22</v>
      </c>
      <c r="M664" s="19" t="n">
        <v>21</v>
      </c>
      <c r="N664" s="19" t="n">
        <v>18</v>
      </c>
      <c r="O664" s="19" t="n">
        <v>18</v>
      </c>
      <c r="P664" s="19" t="n">
        <v>12</v>
      </c>
      <c r="Q664" s="19" t="n">
        <v>24</v>
      </c>
      <c r="R664" s="19" t="n">
        <v>25</v>
      </c>
      <c r="S664" s="19" t="n">
        <v>12</v>
      </c>
      <c r="T664" s="19" t="n">
        <v>29</v>
      </c>
      <c r="U664" s="19" t="n">
        <v>19</v>
      </c>
      <c r="V664" s="19" t="n">
        <v>19</v>
      </c>
      <c r="W664" s="19" t="n">
        <v>21</v>
      </c>
      <c r="X664" s="19" t="n">
        <v>17</v>
      </c>
      <c r="Y664" s="19" t="n">
        <v>15</v>
      </c>
      <c r="Z664" s="19" t="n">
        <v>12</v>
      </c>
      <c r="AA664" s="19" t="n">
        <v>19</v>
      </c>
      <c r="AB664" s="19" t="n">
        <v>16</v>
      </c>
      <c r="AC664" s="19" t="n">
        <v>15</v>
      </c>
      <c r="AD664" s="19" t="n">
        <v>19</v>
      </c>
      <c r="AE664" s="2" t="n">
        <v>12</v>
      </c>
      <c r="AF664" s="19"/>
      <c r="AG664" s="19"/>
      <c r="AH664" s="19"/>
    </row>
    <row r="665" customFormat="false" ht="12.75" hidden="false" customHeight="true" outlineLevel="0" collapsed="false">
      <c r="A665" s="16" t="s">
        <v>405</v>
      </c>
      <c r="B665" s="17" t="n">
        <f aca="false">AVERAGE(E665:AE665)</f>
        <v>17.7407407407407</v>
      </c>
      <c r="C665" s="2" t="n">
        <f aca="false">MIN(E665:AE665)</f>
        <v>11</v>
      </c>
      <c r="D665" s="18" t="n">
        <f aca="false">MAX(E665:AE665)</f>
        <v>29</v>
      </c>
      <c r="E665" s="19" t="n">
        <v>11</v>
      </c>
      <c r="F665" s="19" t="n">
        <v>12</v>
      </c>
      <c r="G665" s="19" t="n">
        <v>14</v>
      </c>
      <c r="H665" s="19" t="n">
        <v>21</v>
      </c>
      <c r="I665" s="19" t="n">
        <v>18</v>
      </c>
      <c r="J665" s="19" t="n">
        <v>18</v>
      </c>
      <c r="K665" s="19" t="n">
        <v>20</v>
      </c>
      <c r="L665" s="19" t="n">
        <v>22</v>
      </c>
      <c r="M665" s="19" t="n">
        <v>21</v>
      </c>
      <c r="N665" s="19" t="n">
        <v>18</v>
      </c>
      <c r="O665" s="19" t="n">
        <v>18</v>
      </c>
      <c r="P665" s="19" t="n">
        <v>12</v>
      </c>
      <c r="Q665" s="19" t="n">
        <v>24</v>
      </c>
      <c r="R665" s="19" t="n">
        <v>25</v>
      </c>
      <c r="S665" s="19" t="n">
        <v>12</v>
      </c>
      <c r="T665" s="19" t="n">
        <v>29</v>
      </c>
      <c r="U665" s="19" t="n">
        <v>19</v>
      </c>
      <c r="V665" s="19" t="n">
        <v>19</v>
      </c>
      <c r="W665" s="19" t="n">
        <v>21</v>
      </c>
      <c r="X665" s="19" t="n">
        <v>17</v>
      </c>
      <c r="Y665" s="19" t="n">
        <v>15</v>
      </c>
      <c r="Z665" s="19" t="n">
        <v>12</v>
      </c>
      <c r="AA665" s="19" t="n">
        <v>19</v>
      </c>
      <c r="AB665" s="19" t="n">
        <v>16</v>
      </c>
      <c r="AC665" s="19" t="n">
        <v>15</v>
      </c>
      <c r="AD665" s="19" t="n">
        <v>19</v>
      </c>
      <c r="AE665" s="2" t="n">
        <v>12</v>
      </c>
      <c r="AF665" s="19"/>
      <c r="AG665" s="19"/>
      <c r="AH665" s="19"/>
    </row>
    <row r="666" customFormat="false" ht="12.75" hidden="false" customHeight="true" outlineLevel="0" collapsed="false">
      <c r="A666" s="16" t="s">
        <v>406</v>
      </c>
      <c r="B666" s="17" t="n">
        <f aca="false">AVERAGE(E666:AE666)</f>
        <v>17.7407407407407</v>
      </c>
      <c r="C666" s="2" t="n">
        <f aca="false">MIN(E666:AE666)</f>
        <v>11</v>
      </c>
      <c r="D666" s="18" t="n">
        <f aca="false">MAX(E666:AE666)</f>
        <v>29</v>
      </c>
      <c r="E666" s="19" t="n">
        <v>11</v>
      </c>
      <c r="F666" s="19" t="n">
        <v>12</v>
      </c>
      <c r="G666" s="19" t="n">
        <v>14</v>
      </c>
      <c r="H666" s="19" t="n">
        <v>21</v>
      </c>
      <c r="I666" s="19" t="n">
        <v>18</v>
      </c>
      <c r="J666" s="19" t="n">
        <v>18</v>
      </c>
      <c r="K666" s="19" t="n">
        <v>20</v>
      </c>
      <c r="L666" s="19" t="n">
        <v>22</v>
      </c>
      <c r="M666" s="19" t="n">
        <v>21</v>
      </c>
      <c r="N666" s="19" t="n">
        <v>18</v>
      </c>
      <c r="O666" s="19" t="n">
        <v>18</v>
      </c>
      <c r="P666" s="19" t="n">
        <v>12</v>
      </c>
      <c r="Q666" s="19" t="n">
        <v>24</v>
      </c>
      <c r="R666" s="19" t="n">
        <v>25</v>
      </c>
      <c r="S666" s="19" t="n">
        <v>12</v>
      </c>
      <c r="T666" s="19" t="n">
        <v>29</v>
      </c>
      <c r="U666" s="19" t="n">
        <v>19</v>
      </c>
      <c r="V666" s="19" t="n">
        <v>19</v>
      </c>
      <c r="W666" s="19" t="n">
        <v>21</v>
      </c>
      <c r="X666" s="19" t="n">
        <v>17</v>
      </c>
      <c r="Y666" s="19" t="n">
        <v>15</v>
      </c>
      <c r="Z666" s="19" t="n">
        <v>12</v>
      </c>
      <c r="AA666" s="19" t="n">
        <v>19</v>
      </c>
      <c r="AB666" s="19" t="n">
        <v>16</v>
      </c>
      <c r="AC666" s="19" t="n">
        <v>15</v>
      </c>
      <c r="AD666" s="19" t="n">
        <v>19</v>
      </c>
      <c r="AE666" s="2" t="n">
        <v>12</v>
      </c>
      <c r="AF666" s="19"/>
      <c r="AG666" s="19"/>
      <c r="AH666" s="19"/>
    </row>
    <row r="667" customFormat="false" ht="12.75" hidden="false" customHeight="true" outlineLevel="0" collapsed="false">
      <c r="A667" s="16" t="s">
        <v>407</v>
      </c>
      <c r="B667" s="17" t="n">
        <f aca="false">AVERAGE(E667:AE667)</f>
        <v>17.7407407407407</v>
      </c>
      <c r="C667" s="2" t="n">
        <f aca="false">MIN(E667:AE667)</f>
        <v>11</v>
      </c>
      <c r="D667" s="18" t="n">
        <f aca="false">MAX(E667:AE667)</f>
        <v>29</v>
      </c>
      <c r="E667" s="19" t="n">
        <v>11</v>
      </c>
      <c r="F667" s="19" t="n">
        <v>12</v>
      </c>
      <c r="G667" s="19" t="n">
        <v>14</v>
      </c>
      <c r="H667" s="19" t="n">
        <v>21</v>
      </c>
      <c r="I667" s="19" t="n">
        <v>18</v>
      </c>
      <c r="J667" s="19" t="n">
        <v>18</v>
      </c>
      <c r="K667" s="19" t="n">
        <v>20</v>
      </c>
      <c r="L667" s="19" t="n">
        <v>22</v>
      </c>
      <c r="M667" s="19" t="n">
        <v>21</v>
      </c>
      <c r="N667" s="19" t="n">
        <v>18</v>
      </c>
      <c r="O667" s="19" t="n">
        <v>18</v>
      </c>
      <c r="P667" s="19" t="n">
        <v>12</v>
      </c>
      <c r="Q667" s="19" t="n">
        <v>24</v>
      </c>
      <c r="R667" s="19" t="n">
        <v>25</v>
      </c>
      <c r="S667" s="19" t="n">
        <v>12</v>
      </c>
      <c r="T667" s="19" t="n">
        <v>29</v>
      </c>
      <c r="U667" s="19" t="n">
        <v>19</v>
      </c>
      <c r="V667" s="19" t="n">
        <v>19</v>
      </c>
      <c r="W667" s="19" t="n">
        <v>21</v>
      </c>
      <c r="X667" s="19" t="n">
        <v>17</v>
      </c>
      <c r="Y667" s="19" t="n">
        <v>15</v>
      </c>
      <c r="Z667" s="19" t="n">
        <v>12</v>
      </c>
      <c r="AA667" s="19" t="n">
        <v>19</v>
      </c>
      <c r="AB667" s="19" t="n">
        <v>16</v>
      </c>
      <c r="AC667" s="19" t="n">
        <v>15</v>
      </c>
      <c r="AD667" s="19" t="n">
        <v>19</v>
      </c>
      <c r="AE667" s="2" t="n">
        <v>12</v>
      </c>
      <c r="AF667" s="19"/>
      <c r="AG667" s="19"/>
      <c r="AH667" s="19"/>
    </row>
    <row r="668" customFormat="false" ht="12.75" hidden="false" customHeight="true" outlineLevel="0" collapsed="false">
      <c r="A668" s="16" t="s">
        <v>408</v>
      </c>
      <c r="B668" s="17" t="n">
        <f aca="false">AVERAGE(E668:AE668)</f>
        <v>17.7407407407407</v>
      </c>
      <c r="C668" s="2" t="n">
        <f aca="false">MIN(E668:AE668)</f>
        <v>11</v>
      </c>
      <c r="D668" s="18" t="n">
        <f aca="false">MAX(E668:AE668)</f>
        <v>29</v>
      </c>
      <c r="E668" s="19" t="n">
        <v>11</v>
      </c>
      <c r="F668" s="19" t="n">
        <v>12</v>
      </c>
      <c r="G668" s="19" t="n">
        <v>14</v>
      </c>
      <c r="H668" s="19" t="n">
        <v>21</v>
      </c>
      <c r="I668" s="19" t="n">
        <v>18</v>
      </c>
      <c r="J668" s="19" t="n">
        <v>18</v>
      </c>
      <c r="K668" s="19" t="n">
        <v>20</v>
      </c>
      <c r="L668" s="19" t="n">
        <v>22</v>
      </c>
      <c r="M668" s="19" t="n">
        <v>21</v>
      </c>
      <c r="N668" s="19" t="n">
        <v>18</v>
      </c>
      <c r="O668" s="19" t="n">
        <v>18</v>
      </c>
      <c r="P668" s="19" t="n">
        <v>12</v>
      </c>
      <c r="Q668" s="19" t="n">
        <v>24</v>
      </c>
      <c r="R668" s="19" t="n">
        <v>25</v>
      </c>
      <c r="S668" s="19" t="n">
        <v>12</v>
      </c>
      <c r="T668" s="19" t="n">
        <v>29</v>
      </c>
      <c r="U668" s="19" t="n">
        <v>19</v>
      </c>
      <c r="V668" s="19" t="n">
        <v>19</v>
      </c>
      <c r="W668" s="19" t="n">
        <v>21</v>
      </c>
      <c r="X668" s="19" t="n">
        <v>17</v>
      </c>
      <c r="Y668" s="19" t="n">
        <v>15</v>
      </c>
      <c r="Z668" s="19" t="n">
        <v>12</v>
      </c>
      <c r="AA668" s="19" t="n">
        <v>19</v>
      </c>
      <c r="AB668" s="19" t="n">
        <v>16</v>
      </c>
      <c r="AC668" s="19" t="n">
        <v>15</v>
      </c>
      <c r="AD668" s="19" t="n">
        <v>19</v>
      </c>
      <c r="AE668" s="2" t="n">
        <v>12</v>
      </c>
      <c r="AF668" s="19"/>
      <c r="AG668" s="19"/>
      <c r="AH668" s="19"/>
    </row>
    <row r="669" customFormat="false" ht="12.75" hidden="false" customHeight="true" outlineLevel="0" collapsed="false">
      <c r="A669" s="16" t="s">
        <v>409</v>
      </c>
      <c r="B669" s="17" t="n">
        <f aca="false">AVERAGE(E669:AE669)</f>
        <v>17.7407407407407</v>
      </c>
      <c r="C669" s="2" t="n">
        <f aca="false">MIN(E669:AE669)</f>
        <v>11</v>
      </c>
      <c r="D669" s="18" t="n">
        <f aca="false">MAX(E669:AE669)</f>
        <v>29</v>
      </c>
      <c r="E669" s="19" t="n">
        <v>11</v>
      </c>
      <c r="F669" s="19" t="n">
        <v>12</v>
      </c>
      <c r="G669" s="19" t="n">
        <v>14</v>
      </c>
      <c r="H669" s="19" t="n">
        <v>21</v>
      </c>
      <c r="I669" s="19" t="n">
        <v>18</v>
      </c>
      <c r="J669" s="19" t="n">
        <v>18</v>
      </c>
      <c r="K669" s="19" t="n">
        <v>20</v>
      </c>
      <c r="L669" s="19" t="n">
        <v>22</v>
      </c>
      <c r="M669" s="19" t="n">
        <v>21</v>
      </c>
      <c r="N669" s="19" t="n">
        <v>18</v>
      </c>
      <c r="O669" s="19" t="n">
        <v>18</v>
      </c>
      <c r="P669" s="19" t="n">
        <v>12</v>
      </c>
      <c r="Q669" s="19" t="n">
        <v>24</v>
      </c>
      <c r="R669" s="19" t="n">
        <v>25</v>
      </c>
      <c r="S669" s="19" t="n">
        <v>12</v>
      </c>
      <c r="T669" s="19" t="n">
        <v>29</v>
      </c>
      <c r="U669" s="19" t="n">
        <v>19</v>
      </c>
      <c r="V669" s="19" t="n">
        <v>19</v>
      </c>
      <c r="W669" s="19" t="n">
        <v>21</v>
      </c>
      <c r="X669" s="19" t="n">
        <v>17</v>
      </c>
      <c r="Y669" s="19" t="n">
        <v>15</v>
      </c>
      <c r="Z669" s="19" t="n">
        <v>12</v>
      </c>
      <c r="AA669" s="19" t="n">
        <v>19</v>
      </c>
      <c r="AB669" s="19" t="n">
        <v>16</v>
      </c>
      <c r="AC669" s="19" t="n">
        <v>15</v>
      </c>
      <c r="AD669" s="19" t="n">
        <v>19</v>
      </c>
      <c r="AE669" s="2" t="n">
        <v>12</v>
      </c>
      <c r="AF669" s="19"/>
      <c r="AG669" s="19"/>
      <c r="AH669" s="19"/>
    </row>
    <row r="670" customFormat="false" ht="12.75" hidden="false" customHeight="true" outlineLevel="0" collapsed="false">
      <c r="A670" s="16" t="s">
        <v>410</v>
      </c>
      <c r="B670" s="17" t="n">
        <f aca="false">AVERAGE(E670:AE670)</f>
        <v>17.7407407407407</v>
      </c>
      <c r="C670" s="2" t="n">
        <f aca="false">MIN(E670:AE670)</f>
        <v>11</v>
      </c>
      <c r="D670" s="18" t="n">
        <f aca="false">MAX(E670:AE670)</f>
        <v>29</v>
      </c>
      <c r="E670" s="19" t="n">
        <v>11</v>
      </c>
      <c r="F670" s="19" t="n">
        <v>12</v>
      </c>
      <c r="G670" s="19" t="n">
        <v>14</v>
      </c>
      <c r="H670" s="19" t="n">
        <v>21</v>
      </c>
      <c r="I670" s="19" t="n">
        <v>18</v>
      </c>
      <c r="J670" s="19" t="n">
        <v>18</v>
      </c>
      <c r="K670" s="19" t="n">
        <v>20</v>
      </c>
      <c r="L670" s="19" t="n">
        <v>22</v>
      </c>
      <c r="M670" s="19" t="n">
        <v>21</v>
      </c>
      <c r="N670" s="19" t="n">
        <v>18</v>
      </c>
      <c r="O670" s="19" t="n">
        <v>18</v>
      </c>
      <c r="P670" s="19" t="n">
        <v>12</v>
      </c>
      <c r="Q670" s="19" t="n">
        <v>24</v>
      </c>
      <c r="R670" s="19" t="n">
        <v>25</v>
      </c>
      <c r="S670" s="19" t="n">
        <v>12</v>
      </c>
      <c r="T670" s="19" t="n">
        <v>29</v>
      </c>
      <c r="U670" s="19" t="n">
        <v>19</v>
      </c>
      <c r="V670" s="19" t="n">
        <v>19</v>
      </c>
      <c r="W670" s="19" t="n">
        <v>21</v>
      </c>
      <c r="X670" s="19" t="n">
        <v>17</v>
      </c>
      <c r="Y670" s="19" t="n">
        <v>15</v>
      </c>
      <c r="Z670" s="19" t="n">
        <v>12</v>
      </c>
      <c r="AA670" s="19" t="n">
        <v>19</v>
      </c>
      <c r="AB670" s="19" t="n">
        <v>16</v>
      </c>
      <c r="AC670" s="19" t="n">
        <v>15</v>
      </c>
      <c r="AD670" s="19" t="n">
        <v>19</v>
      </c>
      <c r="AE670" s="2" t="n">
        <v>12</v>
      </c>
      <c r="AF670" s="19"/>
      <c r="AG670" s="19"/>
      <c r="AH670" s="19"/>
    </row>
    <row r="671" customFormat="false" ht="12.75" hidden="false" customHeight="true" outlineLevel="0" collapsed="false">
      <c r="A671" s="16" t="s">
        <v>411</v>
      </c>
      <c r="B671" s="17" t="n">
        <f aca="false">AVERAGE(E671:AE671)</f>
        <v>17.7407407407407</v>
      </c>
      <c r="C671" s="2" t="n">
        <f aca="false">MIN(E671:AE671)</f>
        <v>11</v>
      </c>
      <c r="D671" s="18" t="n">
        <f aca="false">MAX(E671:AE671)</f>
        <v>29</v>
      </c>
      <c r="E671" s="19" t="n">
        <v>11</v>
      </c>
      <c r="F671" s="19" t="n">
        <v>12</v>
      </c>
      <c r="G671" s="19" t="n">
        <v>14</v>
      </c>
      <c r="H671" s="19" t="n">
        <v>21</v>
      </c>
      <c r="I671" s="19" t="n">
        <v>18</v>
      </c>
      <c r="J671" s="19" t="n">
        <v>18</v>
      </c>
      <c r="K671" s="19" t="n">
        <v>20</v>
      </c>
      <c r="L671" s="19" t="n">
        <v>22</v>
      </c>
      <c r="M671" s="19" t="n">
        <v>21</v>
      </c>
      <c r="N671" s="19" t="n">
        <v>18</v>
      </c>
      <c r="O671" s="19" t="n">
        <v>18</v>
      </c>
      <c r="P671" s="19" t="n">
        <v>12</v>
      </c>
      <c r="Q671" s="19" t="n">
        <v>24</v>
      </c>
      <c r="R671" s="19" t="n">
        <v>25</v>
      </c>
      <c r="S671" s="19" t="n">
        <v>12</v>
      </c>
      <c r="T671" s="19" t="n">
        <v>29</v>
      </c>
      <c r="U671" s="19" t="n">
        <v>19</v>
      </c>
      <c r="V671" s="19" t="n">
        <v>19</v>
      </c>
      <c r="W671" s="19" t="n">
        <v>21</v>
      </c>
      <c r="X671" s="19" t="n">
        <v>17</v>
      </c>
      <c r="Y671" s="19" t="n">
        <v>15</v>
      </c>
      <c r="Z671" s="19" t="n">
        <v>12</v>
      </c>
      <c r="AA671" s="19" t="n">
        <v>19</v>
      </c>
      <c r="AB671" s="19" t="n">
        <v>16</v>
      </c>
      <c r="AC671" s="19" t="n">
        <v>15</v>
      </c>
      <c r="AD671" s="19" t="n">
        <v>19</v>
      </c>
      <c r="AE671" s="2" t="n">
        <v>12</v>
      </c>
      <c r="AF671" s="19"/>
      <c r="AG671" s="19"/>
      <c r="AH671" s="19"/>
    </row>
    <row r="672" customFormat="false" ht="12.75" hidden="false" customHeight="true" outlineLevel="0" collapsed="false">
      <c r="A672" s="16" t="s">
        <v>412</v>
      </c>
      <c r="B672" s="17" t="n">
        <f aca="false">AVERAGE(E672:AE672)</f>
        <v>17.7407407407407</v>
      </c>
      <c r="C672" s="2" t="n">
        <f aca="false">MIN(E672:AE672)</f>
        <v>11</v>
      </c>
      <c r="D672" s="18" t="n">
        <f aca="false">MAX(E672:AE672)</f>
        <v>29</v>
      </c>
      <c r="E672" s="19" t="n">
        <v>11</v>
      </c>
      <c r="F672" s="19" t="n">
        <v>12</v>
      </c>
      <c r="G672" s="19" t="n">
        <v>14</v>
      </c>
      <c r="H672" s="19" t="n">
        <v>21</v>
      </c>
      <c r="I672" s="19" t="n">
        <v>18</v>
      </c>
      <c r="J672" s="19" t="n">
        <v>18</v>
      </c>
      <c r="K672" s="19" t="n">
        <v>20</v>
      </c>
      <c r="L672" s="19" t="n">
        <v>22</v>
      </c>
      <c r="M672" s="19" t="n">
        <v>21</v>
      </c>
      <c r="N672" s="19" t="n">
        <v>18</v>
      </c>
      <c r="O672" s="19" t="n">
        <v>18</v>
      </c>
      <c r="P672" s="19" t="n">
        <v>12</v>
      </c>
      <c r="Q672" s="19" t="n">
        <v>24</v>
      </c>
      <c r="R672" s="19" t="n">
        <v>25</v>
      </c>
      <c r="S672" s="19" t="n">
        <v>12</v>
      </c>
      <c r="T672" s="19" t="n">
        <v>29</v>
      </c>
      <c r="U672" s="19" t="n">
        <v>19</v>
      </c>
      <c r="V672" s="19" t="n">
        <v>19</v>
      </c>
      <c r="W672" s="19" t="n">
        <v>21</v>
      </c>
      <c r="X672" s="19" t="n">
        <v>17</v>
      </c>
      <c r="Y672" s="19" t="n">
        <v>15</v>
      </c>
      <c r="Z672" s="19" t="n">
        <v>12</v>
      </c>
      <c r="AA672" s="19" t="n">
        <v>19</v>
      </c>
      <c r="AB672" s="19" t="n">
        <v>16</v>
      </c>
      <c r="AC672" s="19" t="n">
        <v>15</v>
      </c>
      <c r="AD672" s="19" t="n">
        <v>19</v>
      </c>
      <c r="AE672" s="2" t="n">
        <v>12</v>
      </c>
      <c r="AF672" s="19"/>
      <c r="AG672" s="19"/>
      <c r="AH672" s="19"/>
    </row>
    <row r="673" customFormat="false" ht="12.75" hidden="false" customHeight="true" outlineLevel="0" collapsed="false">
      <c r="A673" s="16" t="s">
        <v>413</v>
      </c>
      <c r="B673" s="17" t="n">
        <f aca="false">AVERAGE(E673:AE673)</f>
        <v>17.7407407407407</v>
      </c>
      <c r="C673" s="2" t="n">
        <f aca="false">MIN(E673:AE673)</f>
        <v>11</v>
      </c>
      <c r="D673" s="18" t="n">
        <f aca="false">MAX(E673:AE673)</f>
        <v>29</v>
      </c>
      <c r="E673" s="19" t="n">
        <v>11</v>
      </c>
      <c r="F673" s="19" t="n">
        <v>12</v>
      </c>
      <c r="G673" s="19" t="n">
        <v>14</v>
      </c>
      <c r="H673" s="19" t="n">
        <v>21</v>
      </c>
      <c r="I673" s="19" t="n">
        <v>18</v>
      </c>
      <c r="J673" s="19" t="n">
        <v>18</v>
      </c>
      <c r="K673" s="19" t="n">
        <v>20</v>
      </c>
      <c r="L673" s="19" t="n">
        <v>22</v>
      </c>
      <c r="M673" s="19" t="n">
        <v>21</v>
      </c>
      <c r="N673" s="19" t="n">
        <v>18</v>
      </c>
      <c r="O673" s="19" t="n">
        <v>18</v>
      </c>
      <c r="P673" s="19" t="n">
        <v>12</v>
      </c>
      <c r="Q673" s="19" t="n">
        <v>24</v>
      </c>
      <c r="R673" s="19" t="n">
        <v>25</v>
      </c>
      <c r="S673" s="19" t="n">
        <v>12</v>
      </c>
      <c r="T673" s="19" t="n">
        <v>29</v>
      </c>
      <c r="U673" s="19" t="n">
        <v>19</v>
      </c>
      <c r="V673" s="19" t="n">
        <v>19</v>
      </c>
      <c r="W673" s="19" t="n">
        <v>21</v>
      </c>
      <c r="X673" s="19" t="n">
        <v>17</v>
      </c>
      <c r="Y673" s="19" t="n">
        <v>15</v>
      </c>
      <c r="Z673" s="19" t="n">
        <v>12</v>
      </c>
      <c r="AA673" s="19" t="n">
        <v>19</v>
      </c>
      <c r="AB673" s="19" t="n">
        <v>16</v>
      </c>
      <c r="AC673" s="19" t="n">
        <v>15</v>
      </c>
      <c r="AD673" s="19" t="n">
        <v>19</v>
      </c>
      <c r="AE673" s="2" t="n">
        <v>12</v>
      </c>
      <c r="AF673" s="19"/>
      <c r="AG673" s="19"/>
      <c r="AH673" s="19"/>
    </row>
    <row r="674" customFormat="false" ht="12.75" hidden="false" customHeight="true" outlineLevel="0" collapsed="false">
      <c r="A674" s="16" t="s">
        <v>414</v>
      </c>
      <c r="B674" s="17" t="n">
        <f aca="false">AVERAGE(E674:AE674)</f>
        <v>17.7407407407407</v>
      </c>
      <c r="C674" s="2" t="n">
        <f aca="false">MIN(E674:AE674)</f>
        <v>11</v>
      </c>
      <c r="D674" s="18" t="n">
        <f aca="false">MAX(E674:AE674)</f>
        <v>29</v>
      </c>
      <c r="E674" s="19" t="n">
        <v>11</v>
      </c>
      <c r="F674" s="19" t="n">
        <v>12</v>
      </c>
      <c r="G674" s="19" t="n">
        <v>14</v>
      </c>
      <c r="H674" s="19" t="n">
        <v>21</v>
      </c>
      <c r="I674" s="19" t="n">
        <v>18</v>
      </c>
      <c r="J674" s="19" t="n">
        <v>18</v>
      </c>
      <c r="K674" s="19" t="n">
        <v>20</v>
      </c>
      <c r="L674" s="19" t="n">
        <v>22</v>
      </c>
      <c r="M674" s="19" t="n">
        <v>21</v>
      </c>
      <c r="N674" s="19" t="n">
        <v>18</v>
      </c>
      <c r="O674" s="19" t="n">
        <v>18</v>
      </c>
      <c r="P674" s="19" t="n">
        <v>12</v>
      </c>
      <c r="Q674" s="19" t="n">
        <v>24</v>
      </c>
      <c r="R674" s="19" t="n">
        <v>25</v>
      </c>
      <c r="S674" s="19" t="n">
        <v>12</v>
      </c>
      <c r="T674" s="19" t="n">
        <v>29</v>
      </c>
      <c r="U674" s="19" t="n">
        <v>19</v>
      </c>
      <c r="V674" s="19" t="n">
        <v>19</v>
      </c>
      <c r="W674" s="19" t="n">
        <v>21</v>
      </c>
      <c r="X674" s="19" t="n">
        <v>17</v>
      </c>
      <c r="Y674" s="19" t="n">
        <v>15</v>
      </c>
      <c r="Z674" s="19" t="n">
        <v>12</v>
      </c>
      <c r="AA674" s="19" t="n">
        <v>19</v>
      </c>
      <c r="AB674" s="19" t="n">
        <v>16</v>
      </c>
      <c r="AC674" s="19" t="n">
        <v>15</v>
      </c>
      <c r="AD674" s="19" t="n">
        <v>19</v>
      </c>
      <c r="AE674" s="2" t="n">
        <v>12</v>
      </c>
      <c r="AF674" s="19"/>
      <c r="AG674" s="19"/>
      <c r="AH674" s="19"/>
    </row>
    <row r="675" customFormat="false" ht="12.75" hidden="false" customHeight="true" outlineLevel="0" collapsed="false">
      <c r="A675" s="16" t="s">
        <v>415</v>
      </c>
      <c r="B675" s="17" t="n">
        <f aca="false">AVERAGE(E675:AE675)</f>
        <v>17.7407407407407</v>
      </c>
      <c r="C675" s="2" t="n">
        <f aca="false">MIN(E675:AE675)</f>
        <v>11</v>
      </c>
      <c r="D675" s="18" t="n">
        <f aca="false">MAX(E675:AE675)</f>
        <v>29</v>
      </c>
      <c r="E675" s="19" t="n">
        <v>11</v>
      </c>
      <c r="F675" s="19" t="n">
        <v>12</v>
      </c>
      <c r="G675" s="19" t="n">
        <v>14</v>
      </c>
      <c r="H675" s="19" t="n">
        <v>21</v>
      </c>
      <c r="I675" s="19" t="n">
        <v>18</v>
      </c>
      <c r="J675" s="19" t="n">
        <v>18</v>
      </c>
      <c r="K675" s="19" t="n">
        <v>20</v>
      </c>
      <c r="L675" s="19" t="n">
        <v>22</v>
      </c>
      <c r="M675" s="19" t="n">
        <v>21</v>
      </c>
      <c r="N675" s="19" t="n">
        <v>18</v>
      </c>
      <c r="O675" s="19" t="n">
        <v>18</v>
      </c>
      <c r="P675" s="19" t="n">
        <v>12</v>
      </c>
      <c r="Q675" s="19" t="n">
        <v>24</v>
      </c>
      <c r="R675" s="19" t="n">
        <v>25</v>
      </c>
      <c r="S675" s="19" t="n">
        <v>12</v>
      </c>
      <c r="T675" s="19" t="n">
        <v>29</v>
      </c>
      <c r="U675" s="19" t="n">
        <v>19</v>
      </c>
      <c r="V675" s="19" t="n">
        <v>19</v>
      </c>
      <c r="W675" s="19" t="n">
        <v>21</v>
      </c>
      <c r="X675" s="19" t="n">
        <v>17</v>
      </c>
      <c r="Y675" s="19" t="n">
        <v>15</v>
      </c>
      <c r="Z675" s="19" t="n">
        <v>12</v>
      </c>
      <c r="AA675" s="19" t="n">
        <v>19</v>
      </c>
      <c r="AB675" s="19" t="n">
        <v>16</v>
      </c>
      <c r="AC675" s="19" t="n">
        <v>15</v>
      </c>
      <c r="AD675" s="19" t="n">
        <v>19</v>
      </c>
      <c r="AE675" s="2" t="n">
        <v>12</v>
      </c>
      <c r="AF675" s="19"/>
      <c r="AG675" s="19"/>
      <c r="AH675" s="19"/>
    </row>
    <row r="676" customFormat="false" ht="12.75" hidden="false" customHeight="true" outlineLevel="0" collapsed="false">
      <c r="A676" s="16" t="s">
        <v>416</v>
      </c>
      <c r="B676" s="17" t="n">
        <f aca="false">AVERAGE(E676:AE676)</f>
        <v>17.7407407407407</v>
      </c>
      <c r="C676" s="2" t="n">
        <f aca="false">MIN(E676:AE676)</f>
        <v>11</v>
      </c>
      <c r="D676" s="18" t="n">
        <f aca="false">MAX(E676:AE676)</f>
        <v>29</v>
      </c>
      <c r="E676" s="19" t="n">
        <v>11</v>
      </c>
      <c r="F676" s="19" t="n">
        <v>12</v>
      </c>
      <c r="G676" s="19" t="n">
        <v>14</v>
      </c>
      <c r="H676" s="19" t="n">
        <v>21</v>
      </c>
      <c r="I676" s="19" t="n">
        <v>18</v>
      </c>
      <c r="J676" s="19" t="n">
        <v>18</v>
      </c>
      <c r="K676" s="19" t="n">
        <v>20</v>
      </c>
      <c r="L676" s="19" t="n">
        <v>22</v>
      </c>
      <c r="M676" s="19" t="n">
        <v>21</v>
      </c>
      <c r="N676" s="19" t="n">
        <v>18</v>
      </c>
      <c r="O676" s="19" t="n">
        <v>18</v>
      </c>
      <c r="P676" s="19" t="n">
        <v>12</v>
      </c>
      <c r="Q676" s="19" t="n">
        <v>24</v>
      </c>
      <c r="R676" s="19" t="n">
        <v>25</v>
      </c>
      <c r="S676" s="19" t="n">
        <v>12</v>
      </c>
      <c r="T676" s="19" t="n">
        <v>29</v>
      </c>
      <c r="U676" s="19" t="n">
        <v>19</v>
      </c>
      <c r="V676" s="19" t="n">
        <v>19</v>
      </c>
      <c r="W676" s="19" t="n">
        <v>21</v>
      </c>
      <c r="X676" s="19" t="n">
        <v>17</v>
      </c>
      <c r="Y676" s="19" t="n">
        <v>15</v>
      </c>
      <c r="Z676" s="19" t="n">
        <v>12</v>
      </c>
      <c r="AA676" s="19" t="n">
        <v>19</v>
      </c>
      <c r="AB676" s="19" t="n">
        <v>16</v>
      </c>
      <c r="AC676" s="19" t="n">
        <v>15</v>
      </c>
      <c r="AD676" s="19" t="n">
        <v>19</v>
      </c>
      <c r="AE676" s="2" t="n">
        <v>12</v>
      </c>
      <c r="AF676" s="19"/>
      <c r="AG676" s="19"/>
      <c r="AH676" s="19"/>
    </row>
    <row r="677" customFormat="false" ht="12.75" hidden="false" customHeight="true" outlineLevel="0" collapsed="false">
      <c r="A677" s="16" t="s">
        <v>417</v>
      </c>
      <c r="B677" s="17" t="n">
        <f aca="false">AVERAGE(E677:AE677)</f>
        <v>17.7407407407407</v>
      </c>
      <c r="C677" s="2" t="n">
        <f aca="false">MIN(E677:AE677)</f>
        <v>11</v>
      </c>
      <c r="D677" s="18" t="n">
        <f aca="false">MAX(E677:AE677)</f>
        <v>29</v>
      </c>
      <c r="E677" s="19" t="n">
        <v>11</v>
      </c>
      <c r="F677" s="19" t="n">
        <v>12</v>
      </c>
      <c r="G677" s="19" t="n">
        <v>14</v>
      </c>
      <c r="H677" s="19" t="n">
        <v>21</v>
      </c>
      <c r="I677" s="19" t="n">
        <v>18</v>
      </c>
      <c r="J677" s="19" t="n">
        <v>18</v>
      </c>
      <c r="K677" s="19" t="n">
        <v>20</v>
      </c>
      <c r="L677" s="19" t="n">
        <v>22</v>
      </c>
      <c r="M677" s="19" t="n">
        <v>21</v>
      </c>
      <c r="N677" s="19" t="n">
        <v>18</v>
      </c>
      <c r="O677" s="19" t="n">
        <v>18</v>
      </c>
      <c r="P677" s="19" t="n">
        <v>12</v>
      </c>
      <c r="Q677" s="19" t="n">
        <v>24</v>
      </c>
      <c r="R677" s="19" t="n">
        <v>25</v>
      </c>
      <c r="S677" s="19" t="n">
        <v>12</v>
      </c>
      <c r="T677" s="19" t="n">
        <v>29</v>
      </c>
      <c r="U677" s="19" t="n">
        <v>19</v>
      </c>
      <c r="V677" s="19" t="n">
        <v>19</v>
      </c>
      <c r="W677" s="19" t="n">
        <v>21</v>
      </c>
      <c r="X677" s="19" t="n">
        <v>17</v>
      </c>
      <c r="Y677" s="19" t="n">
        <v>15</v>
      </c>
      <c r="Z677" s="19" t="n">
        <v>12</v>
      </c>
      <c r="AA677" s="19" t="n">
        <v>19</v>
      </c>
      <c r="AB677" s="19" t="n">
        <v>16</v>
      </c>
      <c r="AC677" s="19" t="n">
        <v>15</v>
      </c>
      <c r="AD677" s="19" t="n">
        <v>19</v>
      </c>
      <c r="AE677" s="2" t="n">
        <v>12</v>
      </c>
      <c r="AF677" s="19"/>
      <c r="AG677" s="19"/>
      <c r="AH677" s="19"/>
    </row>
    <row r="678" customFormat="false" ht="12.75" hidden="false" customHeight="true" outlineLevel="0" collapsed="false">
      <c r="A678" s="16" t="s">
        <v>418</v>
      </c>
      <c r="B678" s="17" t="n">
        <f aca="false">AVERAGE(E678:AE678)</f>
        <v>17.7777777777778</v>
      </c>
      <c r="C678" s="2" t="n">
        <f aca="false">MIN(E678:AE678)</f>
        <v>11</v>
      </c>
      <c r="D678" s="18" t="n">
        <f aca="false">MAX(E678:AE678)</f>
        <v>29</v>
      </c>
      <c r="E678" s="19" t="n">
        <v>11</v>
      </c>
      <c r="F678" s="19" t="n">
        <v>12</v>
      </c>
      <c r="G678" s="19" t="n">
        <v>14</v>
      </c>
      <c r="H678" s="19" t="n">
        <v>21</v>
      </c>
      <c r="I678" s="19" t="n">
        <v>18</v>
      </c>
      <c r="J678" s="19" t="n">
        <v>18</v>
      </c>
      <c r="K678" s="19" t="n">
        <v>20</v>
      </c>
      <c r="L678" s="19" t="n">
        <v>22</v>
      </c>
      <c r="M678" s="19" t="n">
        <v>21</v>
      </c>
      <c r="N678" s="19" t="n">
        <v>18</v>
      </c>
      <c r="O678" s="19" t="n">
        <v>18</v>
      </c>
      <c r="P678" s="19" t="n">
        <v>12</v>
      </c>
      <c r="Q678" s="19" t="n">
        <v>24</v>
      </c>
      <c r="R678" s="19" t="n">
        <v>25</v>
      </c>
      <c r="S678" s="19" t="n">
        <v>12</v>
      </c>
      <c r="T678" s="19" t="n">
        <v>29</v>
      </c>
      <c r="U678" s="19" t="n">
        <v>19</v>
      </c>
      <c r="V678" s="19" t="n">
        <v>19</v>
      </c>
      <c r="W678" s="19" t="n">
        <v>22</v>
      </c>
      <c r="X678" s="19" t="n">
        <v>17</v>
      </c>
      <c r="Y678" s="19" t="n">
        <v>15</v>
      </c>
      <c r="Z678" s="19" t="n">
        <v>12</v>
      </c>
      <c r="AA678" s="19" t="n">
        <v>19</v>
      </c>
      <c r="AB678" s="19" t="n">
        <v>16</v>
      </c>
      <c r="AC678" s="19" t="n">
        <v>15</v>
      </c>
      <c r="AD678" s="19" t="n">
        <v>19</v>
      </c>
      <c r="AE678" s="2" t="n">
        <v>12</v>
      </c>
      <c r="AF678" s="19"/>
      <c r="AG678" s="19"/>
      <c r="AH678" s="19"/>
    </row>
    <row r="679" customFormat="false" ht="12.75" hidden="false" customHeight="true" outlineLevel="0" collapsed="false">
      <c r="A679" s="16" t="s">
        <v>419</v>
      </c>
      <c r="B679" s="17" t="n">
        <f aca="false">AVERAGE(E679:AE679)</f>
        <v>17.8148148148148</v>
      </c>
      <c r="C679" s="2" t="n">
        <f aca="false">MIN(E679:AE679)</f>
        <v>11</v>
      </c>
      <c r="D679" s="18" t="n">
        <f aca="false">MAX(E679:AE679)</f>
        <v>29</v>
      </c>
      <c r="E679" s="19" t="n">
        <v>11</v>
      </c>
      <c r="F679" s="19" t="n">
        <v>12</v>
      </c>
      <c r="G679" s="19" t="n">
        <v>14</v>
      </c>
      <c r="H679" s="19" t="n">
        <v>21</v>
      </c>
      <c r="I679" s="19" t="n">
        <v>18</v>
      </c>
      <c r="J679" s="19" t="n">
        <v>19</v>
      </c>
      <c r="K679" s="19" t="n">
        <v>20</v>
      </c>
      <c r="L679" s="19" t="n">
        <v>22</v>
      </c>
      <c r="M679" s="19" t="n">
        <v>21</v>
      </c>
      <c r="N679" s="19" t="n">
        <v>18</v>
      </c>
      <c r="O679" s="19" t="n">
        <v>18</v>
      </c>
      <c r="P679" s="19" t="n">
        <v>12</v>
      </c>
      <c r="Q679" s="19" t="n">
        <v>24</v>
      </c>
      <c r="R679" s="19" t="n">
        <v>25</v>
      </c>
      <c r="S679" s="19" t="n">
        <v>12</v>
      </c>
      <c r="T679" s="19" t="n">
        <v>29</v>
      </c>
      <c r="U679" s="19" t="n">
        <v>19</v>
      </c>
      <c r="V679" s="19" t="n">
        <v>19</v>
      </c>
      <c r="W679" s="19" t="n">
        <v>22</v>
      </c>
      <c r="X679" s="19" t="n">
        <v>17</v>
      </c>
      <c r="Y679" s="19" t="n">
        <v>15</v>
      </c>
      <c r="Z679" s="19" t="n">
        <v>12</v>
      </c>
      <c r="AA679" s="19" t="n">
        <v>19</v>
      </c>
      <c r="AB679" s="19" t="n">
        <v>16</v>
      </c>
      <c r="AC679" s="19" t="n">
        <v>15</v>
      </c>
      <c r="AD679" s="19" t="n">
        <v>19</v>
      </c>
      <c r="AE679" s="2" t="n">
        <v>12</v>
      </c>
      <c r="AF679" s="19"/>
      <c r="AG679" s="19"/>
      <c r="AH679" s="19"/>
    </row>
    <row r="680" customFormat="false" ht="12.75" hidden="false" customHeight="true" outlineLevel="0" collapsed="false">
      <c r="A680" s="16" t="s">
        <v>420</v>
      </c>
      <c r="B680" s="17" t="n">
        <f aca="false">AVERAGE(E680:AE680)</f>
        <v>17.8148148148148</v>
      </c>
      <c r="C680" s="2" t="n">
        <f aca="false">MIN(E680:AE680)</f>
        <v>11</v>
      </c>
      <c r="D680" s="18" t="n">
        <f aca="false">MAX(E680:AE680)</f>
        <v>29</v>
      </c>
      <c r="E680" s="19" t="n">
        <v>11</v>
      </c>
      <c r="F680" s="19" t="n">
        <v>12</v>
      </c>
      <c r="G680" s="19" t="n">
        <v>14</v>
      </c>
      <c r="H680" s="19" t="n">
        <v>21</v>
      </c>
      <c r="I680" s="19" t="n">
        <v>18</v>
      </c>
      <c r="J680" s="19" t="n">
        <v>19</v>
      </c>
      <c r="K680" s="19" t="n">
        <v>20</v>
      </c>
      <c r="L680" s="19" t="n">
        <v>22</v>
      </c>
      <c r="M680" s="19" t="n">
        <v>21</v>
      </c>
      <c r="N680" s="19" t="n">
        <v>18</v>
      </c>
      <c r="O680" s="19" t="n">
        <v>18</v>
      </c>
      <c r="P680" s="19" t="n">
        <v>12</v>
      </c>
      <c r="Q680" s="19" t="n">
        <v>24</v>
      </c>
      <c r="R680" s="19" t="n">
        <v>25</v>
      </c>
      <c r="S680" s="19" t="n">
        <v>12</v>
      </c>
      <c r="T680" s="19" t="n">
        <v>29</v>
      </c>
      <c r="U680" s="19" t="n">
        <v>19</v>
      </c>
      <c r="V680" s="19" t="n">
        <v>19</v>
      </c>
      <c r="W680" s="19" t="n">
        <v>22</v>
      </c>
      <c r="X680" s="19" t="n">
        <v>17</v>
      </c>
      <c r="Y680" s="19" t="n">
        <v>15</v>
      </c>
      <c r="Z680" s="19" t="n">
        <v>12</v>
      </c>
      <c r="AA680" s="19" t="n">
        <v>19</v>
      </c>
      <c r="AB680" s="19" t="n">
        <v>16</v>
      </c>
      <c r="AC680" s="19" t="n">
        <v>15</v>
      </c>
      <c r="AD680" s="19" t="n">
        <v>19</v>
      </c>
      <c r="AE680" s="2" t="n">
        <v>12</v>
      </c>
      <c r="AF680" s="19"/>
      <c r="AG680" s="19"/>
      <c r="AH680" s="19"/>
    </row>
    <row r="681" customFormat="false" ht="12.75" hidden="false" customHeight="true" outlineLevel="0" collapsed="false">
      <c r="A681" s="16" t="s">
        <v>421</v>
      </c>
      <c r="B681" s="17" t="n">
        <f aca="false">AVERAGE(E681:AE681)</f>
        <v>17.8148148148148</v>
      </c>
      <c r="C681" s="2" t="n">
        <f aca="false">MIN(E681:AE681)</f>
        <v>11</v>
      </c>
      <c r="D681" s="18" t="n">
        <f aca="false">MAX(E681:AE681)</f>
        <v>29</v>
      </c>
      <c r="E681" s="19" t="n">
        <v>11</v>
      </c>
      <c r="F681" s="19" t="n">
        <v>12</v>
      </c>
      <c r="G681" s="19" t="n">
        <v>14</v>
      </c>
      <c r="H681" s="19" t="n">
        <v>21</v>
      </c>
      <c r="I681" s="19" t="n">
        <v>18</v>
      </c>
      <c r="J681" s="19" t="n">
        <v>19</v>
      </c>
      <c r="K681" s="19" t="n">
        <v>20</v>
      </c>
      <c r="L681" s="19" t="n">
        <v>22</v>
      </c>
      <c r="M681" s="19" t="n">
        <v>21</v>
      </c>
      <c r="N681" s="19" t="n">
        <v>18</v>
      </c>
      <c r="O681" s="19" t="n">
        <v>18</v>
      </c>
      <c r="P681" s="19" t="n">
        <v>12</v>
      </c>
      <c r="Q681" s="19" t="n">
        <v>24</v>
      </c>
      <c r="R681" s="19" t="n">
        <v>25</v>
      </c>
      <c r="S681" s="19" t="n">
        <v>12</v>
      </c>
      <c r="T681" s="19" t="n">
        <v>29</v>
      </c>
      <c r="U681" s="19" t="n">
        <v>19</v>
      </c>
      <c r="V681" s="19" t="n">
        <v>19</v>
      </c>
      <c r="W681" s="19" t="n">
        <v>22</v>
      </c>
      <c r="X681" s="19" t="n">
        <v>17</v>
      </c>
      <c r="Y681" s="19" t="n">
        <v>15</v>
      </c>
      <c r="Z681" s="19" t="n">
        <v>12</v>
      </c>
      <c r="AA681" s="19" t="n">
        <v>19</v>
      </c>
      <c r="AB681" s="19" t="n">
        <v>16</v>
      </c>
      <c r="AC681" s="19" t="n">
        <v>15</v>
      </c>
      <c r="AD681" s="19" t="n">
        <v>19</v>
      </c>
      <c r="AE681" s="2" t="n">
        <v>12</v>
      </c>
      <c r="AF681" s="19"/>
      <c r="AG681" s="19"/>
      <c r="AH681" s="19"/>
    </row>
    <row r="682" customFormat="false" ht="12.75" hidden="false" customHeight="true" outlineLevel="0" collapsed="false">
      <c r="A682" s="16" t="s">
        <v>422</v>
      </c>
      <c r="B682" s="17" t="n">
        <f aca="false">AVERAGE(E682:AE682)</f>
        <v>17.8148148148148</v>
      </c>
      <c r="C682" s="2" t="n">
        <f aca="false">MIN(E682:AE682)</f>
        <v>11</v>
      </c>
      <c r="D682" s="18" t="n">
        <f aca="false">MAX(E682:AE682)</f>
        <v>29</v>
      </c>
      <c r="E682" s="19" t="n">
        <v>11</v>
      </c>
      <c r="F682" s="19" t="n">
        <v>12</v>
      </c>
      <c r="G682" s="19" t="n">
        <v>14</v>
      </c>
      <c r="H682" s="19" t="n">
        <v>21</v>
      </c>
      <c r="I682" s="19" t="n">
        <v>18</v>
      </c>
      <c r="J682" s="19" t="n">
        <v>19</v>
      </c>
      <c r="K682" s="19" t="n">
        <v>20</v>
      </c>
      <c r="L682" s="19" t="n">
        <v>22</v>
      </c>
      <c r="M682" s="19" t="n">
        <v>21</v>
      </c>
      <c r="N682" s="19" t="n">
        <v>18</v>
      </c>
      <c r="O682" s="19" t="n">
        <v>18</v>
      </c>
      <c r="P682" s="19" t="n">
        <v>12</v>
      </c>
      <c r="Q682" s="19" t="n">
        <v>24</v>
      </c>
      <c r="R682" s="19" t="n">
        <v>25</v>
      </c>
      <c r="S682" s="19" t="n">
        <v>12</v>
      </c>
      <c r="T682" s="19" t="n">
        <v>29</v>
      </c>
      <c r="U682" s="19" t="n">
        <v>19</v>
      </c>
      <c r="V682" s="19" t="n">
        <v>19</v>
      </c>
      <c r="W682" s="19" t="n">
        <v>22</v>
      </c>
      <c r="X682" s="19" t="n">
        <v>17</v>
      </c>
      <c r="Y682" s="19" t="n">
        <v>15</v>
      </c>
      <c r="Z682" s="19" t="n">
        <v>12</v>
      </c>
      <c r="AA682" s="19" t="n">
        <v>19</v>
      </c>
      <c r="AB682" s="19" t="n">
        <v>16</v>
      </c>
      <c r="AC682" s="19" t="n">
        <v>15</v>
      </c>
      <c r="AD682" s="19" t="n">
        <v>19</v>
      </c>
      <c r="AE682" s="2" t="n">
        <v>12</v>
      </c>
      <c r="AF682" s="19"/>
      <c r="AG682" s="19"/>
      <c r="AH682" s="19"/>
    </row>
    <row r="683" customFormat="false" ht="12.75" hidden="false" customHeight="true" outlineLevel="0" collapsed="false">
      <c r="A683" s="16" t="s">
        <v>423</v>
      </c>
      <c r="B683" s="17" t="n">
        <f aca="false">AVERAGE(E683:AE683)</f>
        <v>17.8148148148148</v>
      </c>
      <c r="C683" s="2" t="n">
        <f aca="false">MIN(E683:AE683)</f>
        <v>11</v>
      </c>
      <c r="D683" s="18" t="n">
        <f aca="false">MAX(E683:AE683)</f>
        <v>29</v>
      </c>
      <c r="E683" s="19" t="n">
        <v>11</v>
      </c>
      <c r="F683" s="19" t="n">
        <v>12</v>
      </c>
      <c r="G683" s="19" t="n">
        <v>14</v>
      </c>
      <c r="H683" s="19" t="n">
        <v>21</v>
      </c>
      <c r="I683" s="19" t="n">
        <v>18</v>
      </c>
      <c r="J683" s="19" t="n">
        <v>19</v>
      </c>
      <c r="K683" s="19" t="n">
        <v>20</v>
      </c>
      <c r="L683" s="19" t="n">
        <v>22</v>
      </c>
      <c r="M683" s="19" t="n">
        <v>21</v>
      </c>
      <c r="N683" s="19" t="n">
        <v>18</v>
      </c>
      <c r="O683" s="19" t="n">
        <v>18</v>
      </c>
      <c r="P683" s="19" t="n">
        <v>12</v>
      </c>
      <c r="Q683" s="19" t="n">
        <v>24</v>
      </c>
      <c r="R683" s="19" t="n">
        <v>25</v>
      </c>
      <c r="S683" s="19" t="n">
        <v>12</v>
      </c>
      <c r="T683" s="19" t="n">
        <v>29</v>
      </c>
      <c r="U683" s="19" t="n">
        <v>19</v>
      </c>
      <c r="V683" s="19" t="n">
        <v>19</v>
      </c>
      <c r="W683" s="19" t="n">
        <v>22</v>
      </c>
      <c r="X683" s="19" t="n">
        <v>17</v>
      </c>
      <c r="Y683" s="19" t="n">
        <v>15</v>
      </c>
      <c r="Z683" s="19" t="n">
        <v>12</v>
      </c>
      <c r="AA683" s="19" t="n">
        <v>19</v>
      </c>
      <c r="AB683" s="19" t="n">
        <v>16</v>
      </c>
      <c r="AC683" s="19" t="n">
        <v>15</v>
      </c>
      <c r="AD683" s="19" t="n">
        <v>19</v>
      </c>
      <c r="AE683" s="2" t="n">
        <v>12</v>
      </c>
      <c r="AF683" s="19"/>
      <c r="AG683" s="19"/>
      <c r="AH683" s="19"/>
    </row>
    <row r="684" customFormat="false" ht="12.75" hidden="false" customHeight="true" outlineLevel="0" collapsed="false">
      <c r="A684" s="16" t="s">
        <v>424</v>
      </c>
      <c r="B684" s="17" t="n">
        <f aca="false">AVERAGE(E684:AE684)</f>
        <v>17.8148148148148</v>
      </c>
      <c r="C684" s="2" t="n">
        <f aca="false">MIN(E684:AE684)</f>
        <v>11</v>
      </c>
      <c r="D684" s="18" t="n">
        <f aca="false">MAX(E684:AE684)</f>
        <v>29</v>
      </c>
      <c r="E684" s="19" t="n">
        <v>11</v>
      </c>
      <c r="F684" s="19" t="n">
        <v>12</v>
      </c>
      <c r="G684" s="19" t="n">
        <v>14</v>
      </c>
      <c r="H684" s="19" t="n">
        <v>21</v>
      </c>
      <c r="I684" s="19" t="n">
        <v>18</v>
      </c>
      <c r="J684" s="19" t="n">
        <v>19</v>
      </c>
      <c r="K684" s="19" t="n">
        <v>20</v>
      </c>
      <c r="L684" s="19" t="n">
        <v>22</v>
      </c>
      <c r="M684" s="19" t="n">
        <v>21</v>
      </c>
      <c r="N684" s="19" t="n">
        <v>18</v>
      </c>
      <c r="O684" s="19" t="n">
        <v>18</v>
      </c>
      <c r="P684" s="19" t="n">
        <v>12</v>
      </c>
      <c r="Q684" s="19" t="n">
        <v>24</v>
      </c>
      <c r="R684" s="19" t="n">
        <v>25</v>
      </c>
      <c r="S684" s="19" t="n">
        <v>12</v>
      </c>
      <c r="T684" s="19" t="n">
        <v>29</v>
      </c>
      <c r="U684" s="19" t="n">
        <v>19</v>
      </c>
      <c r="V684" s="19" t="n">
        <v>19</v>
      </c>
      <c r="W684" s="19" t="n">
        <v>22</v>
      </c>
      <c r="X684" s="19" t="n">
        <v>17</v>
      </c>
      <c r="Y684" s="19" t="n">
        <v>15</v>
      </c>
      <c r="Z684" s="19" t="n">
        <v>12</v>
      </c>
      <c r="AA684" s="19" t="n">
        <v>19</v>
      </c>
      <c r="AB684" s="19" t="n">
        <v>16</v>
      </c>
      <c r="AC684" s="19" t="n">
        <v>15</v>
      </c>
      <c r="AD684" s="19" t="n">
        <v>19</v>
      </c>
      <c r="AE684" s="2" t="n">
        <v>12</v>
      </c>
      <c r="AF684" s="19"/>
      <c r="AG684" s="19"/>
      <c r="AH684" s="19"/>
    </row>
    <row r="685" customFormat="false" ht="12.75" hidden="false" customHeight="true" outlineLevel="0" collapsed="false">
      <c r="A685" s="16" t="s">
        <v>425</v>
      </c>
      <c r="B685" s="17" t="n">
        <f aca="false">AVERAGE(E685:AE685)</f>
        <v>17.8148148148148</v>
      </c>
      <c r="C685" s="2" t="n">
        <f aca="false">MIN(E685:AE685)</f>
        <v>11</v>
      </c>
      <c r="D685" s="18" t="n">
        <f aca="false">MAX(E685:AE685)</f>
        <v>29</v>
      </c>
      <c r="E685" s="19" t="n">
        <v>11</v>
      </c>
      <c r="F685" s="19" t="n">
        <v>12</v>
      </c>
      <c r="G685" s="19" t="n">
        <v>14</v>
      </c>
      <c r="H685" s="19" t="n">
        <v>21</v>
      </c>
      <c r="I685" s="19" t="n">
        <v>18</v>
      </c>
      <c r="J685" s="19" t="n">
        <v>19</v>
      </c>
      <c r="K685" s="19" t="n">
        <v>20</v>
      </c>
      <c r="L685" s="19" t="n">
        <v>22</v>
      </c>
      <c r="M685" s="19" t="n">
        <v>21</v>
      </c>
      <c r="N685" s="19" t="n">
        <v>18</v>
      </c>
      <c r="O685" s="19" t="n">
        <v>18</v>
      </c>
      <c r="P685" s="19" t="n">
        <v>12</v>
      </c>
      <c r="Q685" s="19" t="n">
        <v>24</v>
      </c>
      <c r="R685" s="19" t="n">
        <v>25</v>
      </c>
      <c r="S685" s="19" t="n">
        <v>12</v>
      </c>
      <c r="T685" s="19" t="n">
        <v>29</v>
      </c>
      <c r="U685" s="19" t="n">
        <v>19</v>
      </c>
      <c r="V685" s="19" t="n">
        <v>19</v>
      </c>
      <c r="W685" s="19" t="n">
        <v>22</v>
      </c>
      <c r="X685" s="19" t="n">
        <v>17</v>
      </c>
      <c r="Y685" s="19" t="n">
        <v>15</v>
      </c>
      <c r="Z685" s="19" t="n">
        <v>12</v>
      </c>
      <c r="AA685" s="19" t="n">
        <v>19</v>
      </c>
      <c r="AB685" s="19" t="n">
        <v>16</v>
      </c>
      <c r="AC685" s="19" t="n">
        <v>15</v>
      </c>
      <c r="AD685" s="19" t="n">
        <v>19</v>
      </c>
      <c r="AE685" s="2" t="n">
        <v>12</v>
      </c>
      <c r="AF685" s="19"/>
      <c r="AG685" s="19"/>
      <c r="AH685" s="19"/>
    </row>
    <row r="686" customFormat="false" ht="12.75" hidden="false" customHeight="true" outlineLevel="0" collapsed="false">
      <c r="A686" s="16" t="s">
        <v>426</v>
      </c>
      <c r="B686" s="17" t="n">
        <f aca="false">AVERAGE(E686:AE686)</f>
        <v>17.8148148148148</v>
      </c>
      <c r="C686" s="2" t="n">
        <f aca="false">MIN(E686:AE686)</f>
        <v>11</v>
      </c>
      <c r="D686" s="18" t="n">
        <f aca="false">MAX(E686:AE686)</f>
        <v>29</v>
      </c>
      <c r="E686" s="19" t="n">
        <v>11</v>
      </c>
      <c r="F686" s="19" t="n">
        <v>12</v>
      </c>
      <c r="G686" s="19" t="n">
        <v>14</v>
      </c>
      <c r="H686" s="19" t="n">
        <v>21</v>
      </c>
      <c r="I686" s="19" t="n">
        <v>18</v>
      </c>
      <c r="J686" s="19" t="n">
        <v>19</v>
      </c>
      <c r="K686" s="19" t="n">
        <v>20</v>
      </c>
      <c r="L686" s="19" t="n">
        <v>22</v>
      </c>
      <c r="M686" s="19" t="n">
        <v>21</v>
      </c>
      <c r="N686" s="19" t="n">
        <v>18</v>
      </c>
      <c r="O686" s="19" t="n">
        <v>18</v>
      </c>
      <c r="P686" s="19" t="n">
        <v>12</v>
      </c>
      <c r="Q686" s="19" t="n">
        <v>24</v>
      </c>
      <c r="R686" s="19" t="n">
        <v>25</v>
      </c>
      <c r="S686" s="19" t="n">
        <v>12</v>
      </c>
      <c r="T686" s="19" t="n">
        <v>29</v>
      </c>
      <c r="U686" s="19" t="n">
        <v>19</v>
      </c>
      <c r="V686" s="19" t="n">
        <v>19</v>
      </c>
      <c r="W686" s="19" t="n">
        <v>22</v>
      </c>
      <c r="X686" s="19" t="n">
        <v>17</v>
      </c>
      <c r="Y686" s="19" t="n">
        <v>15</v>
      </c>
      <c r="Z686" s="19" t="n">
        <v>12</v>
      </c>
      <c r="AA686" s="19" t="n">
        <v>19</v>
      </c>
      <c r="AB686" s="19" t="n">
        <v>16</v>
      </c>
      <c r="AC686" s="19" t="n">
        <v>15</v>
      </c>
      <c r="AD686" s="19" t="n">
        <v>19</v>
      </c>
      <c r="AE686" s="2" t="n">
        <v>12</v>
      </c>
      <c r="AF686" s="19"/>
      <c r="AG686" s="19"/>
      <c r="AH686" s="19"/>
    </row>
    <row r="687" customFormat="false" ht="12.75" hidden="false" customHeight="true" outlineLevel="0" collapsed="false">
      <c r="A687" s="16" t="s">
        <v>427</v>
      </c>
      <c r="B687" s="17" t="n">
        <f aca="false">AVERAGE(E687:AE687)</f>
        <v>17.8148148148148</v>
      </c>
      <c r="C687" s="2" t="n">
        <f aca="false">MIN(E687:AE687)</f>
        <v>11</v>
      </c>
      <c r="D687" s="18" t="n">
        <f aca="false">MAX(E687:AE687)</f>
        <v>29</v>
      </c>
      <c r="E687" s="19" t="n">
        <v>11</v>
      </c>
      <c r="F687" s="19" t="n">
        <v>12</v>
      </c>
      <c r="G687" s="19" t="n">
        <v>14</v>
      </c>
      <c r="H687" s="19" t="n">
        <v>21</v>
      </c>
      <c r="I687" s="19" t="n">
        <v>18</v>
      </c>
      <c r="J687" s="19" t="n">
        <v>19</v>
      </c>
      <c r="K687" s="19" t="n">
        <v>20</v>
      </c>
      <c r="L687" s="19" t="n">
        <v>22</v>
      </c>
      <c r="M687" s="19" t="n">
        <v>21</v>
      </c>
      <c r="N687" s="19" t="n">
        <v>18</v>
      </c>
      <c r="O687" s="19" t="n">
        <v>18</v>
      </c>
      <c r="P687" s="19" t="n">
        <v>12</v>
      </c>
      <c r="Q687" s="19" t="n">
        <v>24</v>
      </c>
      <c r="R687" s="19" t="n">
        <v>25</v>
      </c>
      <c r="S687" s="19" t="n">
        <v>12</v>
      </c>
      <c r="T687" s="19" t="n">
        <v>29</v>
      </c>
      <c r="U687" s="19" t="n">
        <v>19</v>
      </c>
      <c r="V687" s="19" t="n">
        <v>19</v>
      </c>
      <c r="W687" s="19" t="n">
        <v>22</v>
      </c>
      <c r="X687" s="19" t="n">
        <v>17</v>
      </c>
      <c r="Y687" s="19" t="n">
        <v>15</v>
      </c>
      <c r="Z687" s="19" t="n">
        <v>12</v>
      </c>
      <c r="AA687" s="19" t="n">
        <v>19</v>
      </c>
      <c r="AB687" s="19" t="n">
        <v>16</v>
      </c>
      <c r="AC687" s="19" t="n">
        <v>15</v>
      </c>
      <c r="AD687" s="19" t="n">
        <v>19</v>
      </c>
      <c r="AE687" s="2" t="n">
        <v>12</v>
      </c>
      <c r="AF687" s="19"/>
      <c r="AG687" s="19"/>
      <c r="AH687" s="19"/>
    </row>
    <row r="688" customFormat="false" ht="12.75" hidden="false" customHeight="true" outlineLevel="0" collapsed="false">
      <c r="A688" s="16" t="s">
        <v>428</v>
      </c>
      <c r="B688" s="17" t="n">
        <f aca="false">AVERAGE(E688:AE688)</f>
        <v>17.8518518518519</v>
      </c>
      <c r="C688" s="2" t="n">
        <f aca="false">MIN(E688:AE688)</f>
        <v>11</v>
      </c>
      <c r="D688" s="18" t="n">
        <f aca="false">MAX(E688:AE688)</f>
        <v>29</v>
      </c>
      <c r="E688" s="19" t="n">
        <v>11</v>
      </c>
      <c r="F688" s="19" t="n">
        <v>13</v>
      </c>
      <c r="G688" s="19" t="n">
        <v>14</v>
      </c>
      <c r="H688" s="19" t="n">
        <v>21</v>
      </c>
      <c r="I688" s="19" t="n">
        <v>18</v>
      </c>
      <c r="J688" s="19" t="n">
        <v>19</v>
      </c>
      <c r="K688" s="19" t="n">
        <v>20</v>
      </c>
      <c r="L688" s="19" t="n">
        <v>22</v>
      </c>
      <c r="M688" s="19" t="n">
        <v>21</v>
      </c>
      <c r="N688" s="19" t="n">
        <v>18</v>
      </c>
      <c r="O688" s="19" t="n">
        <v>18</v>
      </c>
      <c r="P688" s="19" t="n">
        <v>12</v>
      </c>
      <c r="Q688" s="19" t="n">
        <v>24</v>
      </c>
      <c r="R688" s="19" t="n">
        <v>25</v>
      </c>
      <c r="S688" s="19" t="n">
        <v>12</v>
      </c>
      <c r="T688" s="19" t="n">
        <v>29</v>
      </c>
      <c r="U688" s="19" t="n">
        <v>19</v>
      </c>
      <c r="V688" s="19" t="n">
        <v>19</v>
      </c>
      <c r="W688" s="19" t="n">
        <v>22</v>
      </c>
      <c r="X688" s="19" t="n">
        <v>17</v>
      </c>
      <c r="Y688" s="19" t="n">
        <v>15</v>
      </c>
      <c r="Z688" s="19" t="n">
        <v>12</v>
      </c>
      <c r="AA688" s="19" t="n">
        <v>19</v>
      </c>
      <c r="AB688" s="19" t="n">
        <v>16</v>
      </c>
      <c r="AC688" s="19" t="n">
        <v>15</v>
      </c>
      <c r="AD688" s="19" t="n">
        <v>19</v>
      </c>
      <c r="AE688" s="2" t="n">
        <v>12</v>
      </c>
      <c r="AF688" s="19"/>
      <c r="AG688" s="19"/>
      <c r="AH688" s="19"/>
    </row>
    <row r="689" customFormat="false" ht="12.75" hidden="false" customHeight="true" outlineLevel="0" collapsed="false">
      <c r="A689" s="16" t="s">
        <v>429</v>
      </c>
      <c r="B689" s="17" t="n">
        <f aca="false">AVERAGE(E689:AE689)</f>
        <v>17.8518518518519</v>
      </c>
      <c r="C689" s="2" t="n">
        <f aca="false">MIN(E689:AE689)</f>
        <v>11</v>
      </c>
      <c r="D689" s="18" t="n">
        <f aca="false">MAX(E689:AE689)</f>
        <v>29</v>
      </c>
      <c r="E689" s="19" t="n">
        <v>11</v>
      </c>
      <c r="F689" s="19" t="n">
        <v>13</v>
      </c>
      <c r="G689" s="19" t="n">
        <v>14</v>
      </c>
      <c r="H689" s="19" t="n">
        <v>21</v>
      </c>
      <c r="I689" s="19" t="n">
        <v>18</v>
      </c>
      <c r="J689" s="19" t="n">
        <v>19</v>
      </c>
      <c r="K689" s="19" t="n">
        <v>20</v>
      </c>
      <c r="L689" s="19" t="n">
        <v>22</v>
      </c>
      <c r="M689" s="19" t="n">
        <v>21</v>
      </c>
      <c r="N689" s="19" t="n">
        <v>18</v>
      </c>
      <c r="O689" s="19" t="n">
        <v>18</v>
      </c>
      <c r="P689" s="19" t="n">
        <v>12</v>
      </c>
      <c r="Q689" s="19" t="n">
        <v>24</v>
      </c>
      <c r="R689" s="19" t="n">
        <v>25</v>
      </c>
      <c r="S689" s="19" t="n">
        <v>12</v>
      </c>
      <c r="T689" s="19" t="n">
        <v>29</v>
      </c>
      <c r="U689" s="19" t="n">
        <v>19</v>
      </c>
      <c r="V689" s="19" t="n">
        <v>19</v>
      </c>
      <c r="W689" s="19" t="n">
        <v>22</v>
      </c>
      <c r="X689" s="19" t="n">
        <v>17</v>
      </c>
      <c r="Y689" s="19" t="n">
        <v>15</v>
      </c>
      <c r="Z689" s="19" t="n">
        <v>12</v>
      </c>
      <c r="AA689" s="19" t="n">
        <v>19</v>
      </c>
      <c r="AB689" s="19" t="n">
        <v>16</v>
      </c>
      <c r="AC689" s="19" t="n">
        <v>15</v>
      </c>
      <c r="AD689" s="19" t="n">
        <v>19</v>
      </c>
      <c r="AE689" s="2" t="n">
        <v>12</v>
      </c>
      <c r="AF689" s="19"/>
      <c r="AG689" s="19"/>
      <c r="AH689" s="19"/>
    </row>
    <row r="690" customFormat="false" ht="12.75" hidden="false" customHeight="true" outlineLevel="0" collapsed="false">
      <c r="A690" s="16" t="s">
        <v>430</v>
      </c>
      <c r="B690" s="17" t="n">
        <f aca="false">AVERAGE(E690:AE690)</f>
        <v>17.8518518518519</v>
      </c>
      <c r="C690" s="2" t="n">
        <f aca="false">MIN(E690:AE690)</f>
        <v>11</v>
      </c>
      <c r="D690" s="18" t="n">
        <f aca="false">MAX(E690:AE690)</f>
        <v>29</v>
      </c>
      <c r="E690" s="19" t="n">
        <v>11</v>
      </c>
      <c r="F690" s="19" t="n">
        <v>13</v>
      </c>
      <c r="G690" s="19" t="n">
        <v>14</v>
      </c>
      <c r="H690" s="19" t="n">
        <v>21</v>
      </c>
      <c r="I690" s="19" t="n">
        <v>18</v>
      </c>
      <c r="J690" s="19" t="n">
        <v>19</v>
      </c>
      <c r="K690" s="19" t="n">
        <v>20</v>
      </c>
      <c r="L690" s="19" t="n">
        <v>22</v>
      </c>
      <c r="M690" s="19" t="n">
        <v>21</v>
      </c>
      <c r="N690" s="19" t="n">
        <v>18</v>
      </c>
      <c r="O690" s="19" t="n">
        <v>18</v>
      </c>
      <c r="P690" s="19" t="n">
        <v>12</v>
      </c>
      <c r="Q690" s="19" t="n">
        <v>24</v>
      </c>
      <c r="R690" s="19" t="n">
        <v>25</v>
      </c>
      <c r="S690" s="19" t="n">
        <v>12</v>
      </c>
      <c r="T690" s="19" t="n">
        <v>29</v>
      </c>
      <c r="U690" s="19" t="n">
        <v>19</v>
      </c>
      <c r="V690" s="19" t="n">
        <v>19</v>
      </c>
      <c r="W690" s="19" t="n">
        <v>22</v>
      </c>
      <c r="X690" s="19" t="n">
        <v>17</v>
      </c>
      <c r="Y690" s="19" t="n">
        <v>15</v>
      </c>
      <c r="Z690" s="19" t="n">
        <v>12</v>
      </c>
      <c r="AA690" s="19" t="n">
        <v>19</v>
      </c>
      <c r="AB690" s="19" t="n">
        <v>16</v>
      </c>
      <c r="AC690" s="19" t="n">
        <v>15</v>
      </c>
      <c r="AD690" s="19" t="n">
        <v>19</v>
      </c>
      <c r="AE690" s="2" t="n">
        <v>12</v>
      </c>
      <c r="AF690" s="19"/>
      <c r="AG690" s="19"/>
      <c r="AH690" s="19"/>
    </row>
    <row r="691" customFormat="false" ht="12.75" hidden="false" customHeight="true" outlineLevel="0" collapsed="false">
      <c r="A691" s="16" t="s">
        <v>431</v>
      </c>
      <c r="B691" s="17" t="n">
        <f aca="false">AVERAGE(E691:AE691)</f>
        <v>17.8518518518519</v>
      </c>
      <c r="C691" s="2" t="n">
        <f aca="false">MIN(E691:AE691)</f>
        <v>11</v>
      </c>
      <c r="D691" s="18" t="n">
        <f aca="false">MAX(E691:AE691)</f>
        <v>29</v>
      </c>
      <c r="E691" s="19" t="n">
        <v>11</v>
      </c>
      <c r="F691" s="19" t="n">
        <v>13</v>
      </c>
      <c r="G691" s="19" t="n">
        <v>14</v>
      </c>
      <c r="H691" s="19" t="n">
        <v>21</v>
      </c>
      <c r="I691" s="19" t="n">
        <v>18</v>
      </c>
      <c r="J691" s="19" t="n">
        <v>19</v>
      </c>
      <c r="K691" s="19" t="n">
        <v>20</v>
      </c>
      <c r="L691" s="19" t="n">
        <v>22</v>
      </c>
      <c r="M691" s="19" t="n">
        <v>21</v>
      </c>
      <c r="N691" s="19" t="n">
        <v>18</v>
      </c>
      <c r="O691" s="19" t="n">
        <v>18</v>
      </c>
      <c r="P691" s="19" t="n">
        <v>12</v>
      </c>
      <c r="Q691" s="19" t="n">
        <v>24</v>
      </c>
      <c r="R691" s="19" t="n">
        <v>25</v>
      </c>
      <c r="S691" s="19" t="n">
        <v>12</v>
      </c>
      <c r="T691" s="19" t="n">
        <v>29</v>
      </c>
      <c r="U691" s="19" t="n">
        <v>19</v>
      </c>
      <c r="V691" s="19" t="n">
        <v>19</v>
      </c>
      <c r="W691" s="19" t="n">
        <v>22</v>
      </c>
      <c r="X691" s="19" t="n">
        <v>17</v>
      </c>
      <c r="Y691" s="19" t="n">
        <v>15</v>
      </c>
      <c r="Z691" s="19" t="n">
        <v>12</v>
      </c>
      <c r="AA691" s="19" t="n">
        <v>19</v>
      </c>
      <c r="AB691" s="19" t="n">
        <v>16</v>
      </c>
      <c r="AC691" s="19" t="n">
        <v>15</v>
      </c>
      <c r="AD691" s="19" t="n">
        <v>19</v>
      </c>
      <c r="AE691" s="2" t="n">
        <v>12</v>
      </c>
      <c r="AF691" s="19"/>
      <c r="AG691" s="19"/>
      <c r="AH691" s="19"/>
    </row>
    <row r="692" customFormat="false" ht="12.75" hidden="false" customHeight="true" outlineLevel="0" collapsed="false">
      <c r="A692" s="16" t="s">
        <v>432</v>
      </c>
      <c r="B692" s="17" t="n">
        <f aca="false">AVERAGE(E692:AE692)</f>
        <v>17.8518518518519</v>
      </c>
      <c r="C692" s="2" t="n">
        <f aca="false">MIN(E692:AE692)</f>
        <v>11</v>
      </c>
      <c r="D692" s="18" t="n">
        <f aca="false">MAX(E692:AE692)</f>
        <v>29</v>
      </c>
      <c r="E692" s="19" t="n">
        <v>11</v>
      </c>
      <c r="F692" s="19" t="n">
        <v>13</v>
      </c>
      <c r="G692" s="19" t="n">
        <v>14</v>
      </c>
      <c r="H692" s="19" t="n">
        <v>21</v>
      </c>
      <c r="I692" s="19" t="n">
        <v>18</v>
      </c>
      <c r="J692" s="19" t="n">
        <v>19</v>
      </c>
      <c r="K692" s="19" t="n">
        <v>20</v>
      </c>
      <c r="L692" s="19" t="n">
        <v>22</v>
      </c>
      <c r="M692" s="19" t="n">
        <v>21</v>
      </c>
      <c r="N692" s="19" t="n">
        <v>18</v>
      </c>
      <c r="O692" s="19" t="n">
        <v>18</v>
      </c>
      <c r="P692" s="19" t="n">
        <v>12</v>
      </c>
      <c r="Q692" s="19" t="n">
        <v>24</v>
      </c>
      <c r="R692" s="19" t="n">
        <v>25</v>
      </c>
      <c r="S692" s="19" t="n">
        <v>12</v>
      </c>
      <c r="T692" s="19" t="n">
        <v>29</v>
      </c>
      <c r="U692" s="19" t="n">
        <v>19</v>
      </c>
      <c r="V692" s="19" t="n">
        <v>19</v>
      </c>
      <c r="W692" s="19" t="n">
        <v>22</v>
      </c>
      <c r="X692" s="19" t="n">
        <v>17</v>
      </c>
      <c r="Y692" s="19" t="n">
        <v>15</v>
      </c>
      <c r="Z692" s="19" t="n">
        <v>12</v>
      </c>
      <c r="AA692" s="19" t="n">
        <v>19</v>
      </c>
      <c r="AB692" s="19" t="n">
        <v>16</v>
      </c>
      <c r="AC692" s="19" t="n">
        <v>15</v>
      </c>
      <c r="AD692" s="19" t="n">
        <v>19</v>
      </c>
      <c r="AE692" s="2" t="n">
        <v>12</v>
      </c>
      <c r="AF692" s="19"/>
      <c r="AG692" s="19"/>
      <c r="AH692" s="19"/>
    </row>
    <row r="693" customFormat="false" ht="12.75" hidden="false" customHeight="true" outlineLevel="0" collapsed="false">
      <c r="A693" s="16" t="s">
        <v>433</v>
      </c>
      <c r="B693" s="17" t="n">
        <f aca="false">AVERAGE(E693:AE693)</f>
        <v>17.8518518518519</v>
      </c>
      <c r="C693" s="2" t="n">
        <f aca="false">MIN(E693:AE693)</f>
        <v>11</v>
      </c>
      <c r="D693" s="18" t="n">
        <f aca="false">MAX(E693:AE693)</f>
        <v>29</v>
      </c>
      <c r="E693" s="19" t="n">
        <v>11</v>
      </c>
      <c r="F693" s="19" t="n">
        <v>13</v>
      </c>
      <c r="G693" s="19" t="n">
        <v>14</v>
      </c>
      <c r="H693" s="19" t="n">
        <v>21</v>
      </c>
      <c r="I693" s="19" t="n">
        <v>18</v>
      </c>
      <c r="J693" s="19" t="n">
        <v>19</v>
      </c>
      <c r="K693" s="19" t="n">
        <v>20</v>
      </c>
      <c r="L693" s="19" t="n">
        <v>22</v>
      </c>
      <c r="M693" s="19" t="n">
        <v>21</v>
      </c>
      <c r="N693" s="19" t="n">
        <v>18</v>
      </c>
      <c r="O693" s="19" t="n">
        <v>18</v>
      </c>
      <c r="P693" s="19" t="n">
        <v>12</v>
      </c>
      <c r="Q693" s="19" t="n">
        <v>24</v>
      </c>
      <c r="R693" s="19" t="n">
        <v>25</v>
      </c>
      <c r="S693" s="19" t="n">
        <v>12</v>
      </c>
      <c r="T693" s="19" t="n">
        <v>29</v>
      </c>
      <c r="U693" s="19" t="n">
        <v>19</v>
      </c>
      <c r="V693" s="19" t="n">
        <v>19</v>
      </c>
      <c r="W693" s="19" t="n">
        <v>22</v>
      </c>
      <c r="X693" s="19" t="n">
        <v>17</v>
      </c>
      <c r="Y693" s="19" t="n">
        <v>15</v>
      </c>
      <c r="Z693" s="19" t="n">
        <v>12</v>
      </c>
      <c r="AA693" s="19" t="n">
        <v>19</v>
      </c>
      <c r="AB693" s="19" t="n">
        <v>16</v>
      </c>
      <c r="AC693" s="19" t="n">
        <v>15</v>
      </c>
      <c r="AD693" s="19" t="n">
        <v>19</v>
      </c>
      <c r="AE693" s="2" t="n">
        <v>12</v>
      </c>
      <c r="AF693" s="19"/>
      <c r="AG693" s="19"/>
      <c r="AH693" s="19"/>
    </row>
    <row r="694" customFormat="false" ht="12.75" hidden="false" customHeight="true" outlineLevel="0" collapsed="false">
      <c r="A694" s="16" t="s">
        <v>434</v>
      </c>
      <c r="B694" s="17" t="n">
        <f aca="false">AVERAGE(E694:AE694)</f>
        <v>17.8518518518519</v>
      </c>
      <c r="C694" s="2" t="n">
        <f aca="false">MIN(E694:AE694)</f>
        <v>11</v>
      </c>
      <c r="D694" s="18" t="n">
        <f aca="false">MAX(E694:AE694)</f>
        <v>29</v>
      </c>
      <c r="E694" s="19" t="n">
        <v>11</v>
      </c>
      <c r="F694" s="19" t="n">
        <v>13</v>
      </c>
      <c r="G694" s="19" t="n">
        <v>14</v>
      </c>
      <c r="H694" s="19" t="n">
        <v>21</v>
      </c>
      <c r="I694" s="19" t="n">
        <v>18</v>
      </c>
      <c r="J694" s="19" t="n">
        <v>19</v>
      </c>
      <c r="K694" s="19" t="n">
        <v>20</v>
      </c>
      <c r="L694" s="19" t="n">
        <v>22</v>
      </c>
      <c r="M694" s="19" t="n">
        <v>21</v>
      </c>
      <c r="N694" s="19" t="n">
        <v>18</v>
      </c>
      <c r="O694" s="19" t="n">
        <v>18</v>
      </c>
      <c r="P694" s="19" t="n">
        <v>12</v>
      </c>
      <c r="Q694" s="19" t="n">
        <v>24</v>
      </c>
      <c r="R694" s="19" t="n">
        <v>25</v>
      </c>
      <c r="S694" s="19" t="n">
        <v>12</v>
      </c>
      <c r="T694" s="19" t="n">
        <v>29</v>
      </c>
      <c r="U694" s="19" t="n">
        <v>19</v>
      </c>
      <c r="V694" s="19" t="n">
        <v>19</v>
      </c>
      <c r="W694" s="19" t="n">
        <v>22</v>
      </c>
      <c r="X694" s="19" t="n">
        <v>17</v>
      </c>
      <c r="Y694" s="19" t="n">
        <v>15</v>
      </c>
      <c r="Z694" s="19" t="n">
        <v>12</v>
      </c>
      <c r="AA694" s="19" t="n">
        <v>19</v>
      </c>
      <c r="AB694" s="19" t="n">
        <v>16</v>
      </c>
      <c r="AC694" s="19" t="n">
        <v>15</v>
      </c>
      <c r="AD694" s="19" t="n">
        <v>19</v>
      </c>
      <c r="AE694" s="2" t="n">
        <v>12</v>
      </c>
      <c r="AF694" s="19"/>
      <c r="AG694" s="19"/>
      <c r="AH694" s="19"/>
    </row>
    <row r="695" customFormat="false" ht="12.75" hidden="false" customHeight="true" outlineLevel="0" collapsed="false">
      <c r="A695" s="16" t="s">
        <v>435</v>
      </c>
      <c r="B695" s="17" t="n">
        <f aca="false">AVERAGE(E695:AE695)</f>
        <v>17.8518518518519</v>
      </c>
      <c r="C695" s="2" t="n">
        <f aca="false">MIN(E695:AE695)</f>
        <v>11</v>
      </c>
      <c r="D695" s="18" t="n">
        <f aca="false">MAX(E695:AE695)</f>
        <v>29</v>
      </c>
      <c r="E695" s="19" t="n">
        <v>11</v>
      </c>
      <c r="F695" s="19" t="n">
        <v>13</v>
      </c>
      <c r="G695" s="19" t="n">
        <v>14</v>
      </c>
      <c r="H695" s="19" t="n">
        <v>21</v>
      </c>
      <c r="I695" s="19" t="n">
        <v>18</v>
      </c>
      <c r="J695" s="19" t="n">
        <v>19</v>
      </c>
      <c r="K695" s="19" t="n">
        <v>20</v>
      </c>
      <c r="L695" s="19" t="n">
        <v>22</v>
      </c>
      <c r="M695" s="19" t="n">
        <v>21</v>
      </c>
      <c r="N695" s="19" t="n">
        <v>18</v>
      </c>
      <c r="O695" s="19" t="n">
        <v>18</v>
      </c>
      <c r="P695" s="19" t="n">
        <v>12</v>
      </c>
      <c r="Q695" s="19" t="n">
        <v>24</v>
      </c>
      <c r="R695" s="19" t="n">
        <v>25</v>
      </c>
      <c r="S695" s="19" t="n">
        <v>12</v>
      </c>
      <c r="T695" s="19" t="n">
        <v>29</v>
      </c>
      <c r="U695" s="19" t="n">
        <v>19</v>
      </c>
      <c r="V695" s="19" t="n">
        <v>19</v>
      </c>
      <c r="W695" s="19" t="n">
        <v>22</v>
      </c>
      <c r="X695" s="19" t="n">
        <v>17</v>
      </c>
      <c r="Y695" s="19" t="n">
        <v>15</v>
      </c>
      <c r="Z695" s="19" t="n">
        <v>12</v>
      </c>
      <c r="AA695" s="19" t="n">
        <v>19</v>
      </c>
      <c r="AB695" s="19" t="n">
        <v>16</v>
      </c>
      <c r="AC695" s="19" t="n">
        <v>15</v>
      </c>
      <c r="AD695" s="19" t="n">
        <v>19</v>
      </c>
      <c r="AE695" s="2" t="n">
        <v>12</v>
      </c>
      <c r="AF695" s="19"/>
      <c r="AG695" s="19"/>
      <c r="AH695" s="19"/>
    </row>
    <row r="696" customFormat="false" ht="12.75" hidden="false" customHeight="true" outlineLevel="0" collapsed="false">
      <c r="A696" s="16" t="s">
        <v>436</v>
      </c>
      <c r="B696" s="17" t="n">
        <f aca="false">AVERAGE(E696:AE696)</f>
        <v>17.8518518518519</v>
      </c>
      <c r="C696" s="2" t="n">
        <f aca="false">MIN(E696:AE696)</f>
        <v>11</v>
      </c>
      <c r="D696" s="18" t="n">
        <f aca="false">MAX(E696:AE696)</f>
        <v>29</v>
      </c>
      <c r="E696" s="19" t="n">
        <v>11</v>
      </c>
      <c r="F696" s="19" t="n">
        <v>13</v>
      </c>
      <c r="G696" s="19" t="n">
        <v>14</v>
      </c>
      <c r="H696" s="19" t="n">
        <v>21</v>
      </c>
      <c r="I696" s="19" t="n">
        <v>18</v>
      </c>
      <c r="J696" s="19" t="n">
        <v>19</v>
      </c>
      <c r="K696" s="19" t="n">
        <v>20</v>
      </c>
      <c r="L696" s="19" t="n">
        <v>22</v>
      </c>
      <c r="M696" s="19" t="n">
        <v>21</v>
      </c>
      <c r="N696" s="19" t="n">
        <v>18</v>
      </c>
      <c r="O696" s="19" t="n">
        <v>18</v>
      </c>
      <c r="P696" s="19" t="n">
        <v>12</v>
      </c>
      <c r="Q696" s="19" t="n">
        <v>24</v>
      </c>
      <c r="R696" s="19" t="n">
        <v>25</v>
      </c>
      <c r="S696" s="19" t="n">
        <v>12</v>
      </c>
      <c r="T696" s="19" t="n">
        <v>29</v>
      </c>
      <c r="U696" s="19" t="n">
        <v>19</v>
      </c>
      <c r="V696" s="19" t="n">
        <v>19</v>
      </c>
      <c r="W696" s="19" t="n">
        <v>22</v>
      </c>
      <c r="X696" s="19" t="n">
        <v>17</v>
      </c>
      <c r="Y696" s="19" t="n">
        <v>15</v>
      </c>
      <c r="Z696" s="19" t="n">
        <v>12</v>
      </c>
      <c r="AA696" s="19" t="n">
        <v>19</v>
      </c>
      <c r="AB696" s="19" t="n">
        <v>16</v>
      </c>
      <c r="AC696" s="19" t="n">
        <v>15</v>
      </c>
      <c r="AD696" s="19" t="n">
        <v>19</v>
      </c>
      <c r="AE696" s="2" t="n">
        <v>12</v>
      </c>
      <c r="AF696" s="19"/>
      <c r="AG696" s="19"/>
      <c r="AH696" s="19"/>
    </row>
    <row r="697" customFormat="false" ht="12.75" hidden="false" customHeight="true" outlineLevel="0" collapsed="false">
      <c r="A697" s="16" t="s">
        <v>437</v>
      </c>
      <c r="B697" s="17" t="n">
        <f aca="false">AVERAGE(E697:AE697)</f>
        <v>17.8518518518519</v>
      </c>
      <c r="C697" s="2" t="n">
        <f aca="false">MIN(E697:AE697)</f>
        <v>11</v>
      </c>
      <c r="D697" s="18" t="n">
        <f aca="false">MAX(E697:AE697)</f>
        <v>29</v>
      </c>
      <c r="E697" s="19" t="n">
        <v>11</v>
      </c>
      <c r="F697" s="19" t="n">
        <v>13</v>
      </c>
      <c r="G697" s="19" t="n">
        <v>14</v>
      </c>
      <c r="H697" s="19" t="n">
        <v>21</v>
      </c>
      <c r="I697" s="19" t="n">
        <v>18</v>
      </c>
      <c r="J697" s="19" t="n">
        <v>19</v>
      </c>
      <c r="K697" s="19" t="n">
        <v>20</v>
      </c>
      <c r="L697" s="19" t="n">
        <v>22</v>
      </c>
      <c r="M697" s="19" t="n">
        <v>21</v>
      </c>
      <c r="N697" s="19" t="n">
        <v>18</v>
      </c>
      <c r="O697" s="19" t="n">
        <v>18</v>
      </c>
      <c r="P697" s="19" t="n">
        <v>12</v>
      </c>
      <c r="Q697" s="19" t="n">
        <v>24</v>
      </c>
      <c r="R697" s="19" t="n">
        <v>25</v>
      </c>
      <c r="S697" s="19" t="n">
        <v>12</v>
      </c>
      <c r="T697" s="19" t="n">
        <v>29</v>
      </c>
      <c r="U697" s="19" t="n">
        <v>19</v>
      </c>
      <c r="V697" s="19" t="n">
        <v>19</v>
      </c>
      <c r="W697" s="19" t="n">
        <v>22</v>
      </c>
      <c r="X697" s="19" t="n">
        <v>17</v>
      </c>
      <c r="Y697" s="19" t="n">
        <v>15</v>
      </c>
      <c r="Z697" s="19" t="n">
        <v>12</v>
      </c>
      <c r="AA697" s="19" t="n">
        <v>19</v>
      </c>
      <c r="AB697" s="19" t="n">
        <v>16</v>
      </c>
      <c r="AC697" s="19" t="n">
        <v>15</v>
      </c>
      <c r="AD697" s="19" t="n">
        <v>19</v>
      </c>
      <c r="AE697" s="2" t="n">
        <v>12</v>
      </c>
      <c r="AF697" s="19"/>
      <c r="AG697" s="19"/>
      <c r="AH697" s="19"/>
    </row>
    <row r="698" customFormat="false" ht="12.75" hidden="false" customHeight="true" outlineLevel="0" collapsed="false">
      <c r="A698" s="16" t="s">
        <v>438</v>
      </c>
      <c r="B698" s="17" t="n">
        <f aca="false">AVERAGE(E698:AE698)</f>
        <v>17.8518518518519</v>
      </c>
      <c r="C698" s="2" t="n">
        <f aca="false">MIN(E698:AE698)</f>
        <v>11</v>
      </c>
      <c r="D698" s="18" t="n">
        <f aca="false">MAX(E698:AE698)</f>
        <v>29</v>
      </c>
      <c r="E698" s="19" t="n">
        <v>11</v>
      </c>
      <c r="F698" s="19" t="n">
        <v>13</v>
      </c>
      <c r="G698" s="19" t="n">
        <v>14</v>
      </c>
      <c r="H698" s="19" t="n">
        <v>21</v>
      </c>
      <c r="I698" s="19" t="n">
        <v>18</v>
      </c>
      <c r="J698" s="19" t="n">
        <v>19</v>
      </c>
      <c r="K698" s="19" t="n">
        <v>20</v>
      </c>
      <c r="L698" s="19" t="n">
        <v>22</v>
      </c>
      <c r="M698" s="19" t="n">
        <v>21</v>
      </c>
      <c r="N698" s="19" t="n">
        <v>18</v>
      </c>
      <c r="O698" s="19" t="n">
        <v>18</v>
      </c>
      <c r="P698" s="19" t="n">
        <v>12</v>
      </c>
      <c r="Q698" s="19" t="n">
        <v>24</v>
      </c>
      <c r="R698" s="19" t="n">
        <v>25</v>
      </c>
      <c r="S698" s="19" t="n">
        <v>12</v>
      </c>
      <c r="T698" s="19" t="n">
        <v>29</v>
      </c>
      <c r="U698" s="19" t="n">
        <v>19</v>
      </c>
      <c r="V698" s="19" t="n">
        <v>19</v>
      </c>
      <c r="W698" s="19" t="n">
        <v>22</v>
      </c>
      <c r="X698" s="19" t="n">
        <v>17</v>
      </c>
      <c r="Y698" s="19" t="n">
        <v>15</v>
      </c>
      <c r="Z698" s="19" t="n">
        <v>12</v>
      </c>
      <c r="AA698" s="19" t="n">
        <v>19</v>
      </c>
      <c r="AB698" s="19" t="n">
        <v>16</v>
      </c>
      <c r="AC698" s="19" t="n">
        <v>15</v>
      </c>
      <c r="AD698" s="19" t="n">
        <v>19</v>
      </c>
      <c r="AE698" s="2" t="n">
        <v>12</v>
      </c>
      <c r="AF698" s="19"/>
      <c r="AG698" s="19"/>
      <c r="AH698" s="19"/>
    </row>
    <row r="699" customFormat="false" ht="12.75" hidden="false" customHeight="true" outlineLevel="0" collapsed="false">
      <c r="A699" s="16" t="s">
        <v>439</v>
      </c>
      <c r="B699" s="17" t="n">
        <f aca="false">AVERAGE(E699:AE699)</f>
        <v>17.8518518518519</v>
      </c>
      <c r="C699" s="2" t="n">
        <f aca="false">MIN(E699:AE699)</f>
        <v>11</v>
      </c>
      <c r="D699" s="18" t="n">
        <f aca="false">MAX(E699:AE699)</f>
        <v>29</v>
      </c>
      <c r="E699" s="19" t="n">
        <v>11</v>
      </c>
      <c r="F699" s="19" t="n">
        <v>13</v>
      </c>
      <c r="G699" s="19" t="n">
        <v>14</v>
      </c>
      <c r="H699" s="19" t="n">
        <v>21</v>
      </c>
      <c r="I699" s="19" t="n">
        <v>18</v>
      </c>
      <c r="J699" s="19" t="n">
        <v>19</v>
      </c>
      <c r="K699" s="19" t="n">
        <v>20</v>
      </c>
      <c r="L699" s="19" t="n">
        <v>22</v>
      </c>
      <c r="M699" s="19" t="n">
        <v>21</v>
      </c>
      <c r="N699" s="19" t="n">
        <v>18</v>
      </c>
      <c r="O699" s="19" t="n">
        <v>18</v>
      </c>
      <c r="P699" s="19" t="n">
        <v>12</v>
      </c>
      <c r="Q699" s="19" t="n">
        <v>24</v>
      </c>
      <c r="R699" s="19" t="n">
        <v>25</v>
      </c>
      <c r="S699" s="19" t="n">
        <v>12</v>
      </c>
      <c r="T699" s="19" t="n">
        <v>29</v>
      </c>
      <c r="U699" s="19" t="n">
        <v>19</v>
      </c>
      <c r="V699" s="19" t="n">
        <v>19</v>
      </c>
      <c r="W699" s="19" t="n">
        <v>22</v>
      </c>
      <c r="X699" s="19" t="n">
        <v>17</v>
      </c>
      <c r="Y699" s="19" t="n">
        <v>15</v>
      </c>
      <c r="Z699" s="19" t="n">
        <v>12</v>
      </c>
      <c r="AA699" s="19" t="n">
        <v>19</v>
      </c>
      <c r="AB699" s="19" t="n">
        <v>16</v>
      </c>
      <c r="AC699" s="19" t="n">
        <v>15</v>
      </c>
      <c r="AD699" s="19" t="n">
        <v>19</v>
      </c>
      <c r="AE699" s="2" t="n">
        <v>12</v>
      </c>
      <c r="AF699" s="19"/>
      <c r="AG699" s="19"/>
      <c r="AH699" s="19"/>
    </row>
    <row r="700" customFormat="false" ht="12.75" hidden="false" customHeight="true" outlineLevel="0" collapsed="false">
      <c r="A700" s="16" t="s">
        <v>440</v>
      </c>
      <c r="B700" s="17" t="n">
        <f aca="false">AVERAGE(E700:AE700)</f>
        <v>17.8518518518519</v>
      </c>
      <c r="C700" s="2" t="n">
        <f aca="false">MIN(E700:AE700)</f>
        <v>11</v>
      </c>
      <c r="D700" s="18" t="n">
        <f aca="false">MAX(E700:AE700)</f>
        <v>29</v>
      </c>
      <c r="E700" s="19" t="n">
        <v>11</v>
      </c>
      <c r="F700" s="19" t="n">
        <v>13</v>
      </c>
      <c r="G700" s="19" t="n">
        <v>14</v>
      </c>
      <c r="H700" s="19" t="n">
        <v>21</v>
      </c>
      <c r="I700" s="19" t="n">
        <v>18</v>
      </c>
      <c r="J700" s="19" t="n">
        <v>19</v>
      </c>
      <c r="K700" s="19" t="n">
        <v>20</v>
      </c>
      <c r="L700" s="19" t="n">
        <v>22</v>
      </c>
      <c r="M700" s="19" t="n">
        <v>21</v>
      </c>
      <c r="N700" s="19" t="n">
        <v>18</v>
      </c>
      <c r="O700" s="19" t="n">
        <v>18</v>
      </c>
      <c r="P700" s="19" t="n">
        <v>12</v>
      </c>
      <c r="Q700" s="19" t="n">
        <v>24</v>
      </c>
      <c r="R700" s="19" t="n">
        <v>25</v>
      </c>
      <c r="S700" s="19" t="n">
        <v>12</v>
      </c>
      <c r="T700" s="19" t="n">
        <v>29</v>
      </c>
      <c r="U700" s="19" t="n">
        <v>19</v>
      </c>
      <c r="V700" s="19" t="n">
        <v>19</v>
      </c>
      <c r="W700" s="19" t="n">
        <v>22</v>
      </c>
      <c r="X700" s="19" t="n">
        <v>17</v>
      </c>
      <c r="Y700" s="19" t="n">
        <v>15</v>
      </c>
      <c r="Z700" s="19" t="n">
        <v>12</v>
      </c>
      <c r="AA700" s="19" t="n">
        <v>19</v>
      </c>
      <c r="AB700" s="19" t="n">
        <v>16</v>
      </c>
      <c r="AC700" s="19" t="n">
        <v>15</v>
      </c>
      <c r="AD700" s="19" t="n">
        <v>19</v>
      </c>
      <c r="AE700" s="2" t="n">
        <v>12</v>
      </c>
      <c r="AF700" s="19"/>
      <c r="AG700" s="19"/>
      <c r="AH700" s="19"/>
    </row>
    <row r="701" customFormat="false" ht="12.75" hidden="false" customHeight="true" outlineLevel="0" collapsed="false">
      <c r="A701" s="16" t="s">
        <v>441</v>
      </c>
      <c r="B701" s="17" t="n">
        <f aca="false">AVERAGE(E701:AE701)</f>
        <v>17.8518518518519</v>
      </c>
      <c r="C701" s="2" t="n">
        <f aca="false">MIN(E701:AE701)</f>
        <v>11</v>
      </c>
      <c r="D701" s="18" t="n">
        <f aca="false">MAX(E701:AE701)</f>
        <v>29</v>
      </c>
      <c r="E701" s="19" t="n">
        <v>11</v>
      </c>
      <c r="F701" s="19" t="n">
        <v>13</v>
      </c>
      <c r="G701" s="19" t="n">
        <v>14</v>
      </c>
      <c r="H701" s="19" t="n">
        <v>21</v>
      </c>
      <c r="I701" s="19" t="n">
        <v>18</v>
      </c>
      <c r="J701" s="19" t="n">
        <v>19</v>
      </c>
      <c r="K701" s="19" t="n">
        <v>20</v>
      </c>
      <c r="L701" s="19" t="n">
        <v>22</v>
      </c>
      <c r="M701" s="19" t="n">
        <v>21</v>
      </c>
      <c r="N701" s="19" t="n">
        <v>18</v>
      </c>
      <c r="O701" s="19" t="n">
        <v>18</v>
      </c>
      <c r="P701" s="19" t="n">
        <v>12</v>
      </c>
      <c r="Q701" s="19" t="n">
        <v>24</v>
      </c>
      <c r="R701" s="19" t="n">
        <v>25</v>
      </c>
      <c r="S701" s="19" t="n">
        <v>12</v>
      </c>
      <c r="T701" s="19" t="n">
        <v>29</v>
      </c>
      <c r="U701" s="19" t="n">
        <v>19</v>
      </c>
      <c r="V701" s="19" t="n">
        <v>19</v>
      </c>
      <c r="W701" s="19" t="n">
        <v>22</v>
      </c>
      <c r="X701" s="19" t="n">
        <v>17</v>
      </c>
      <c r="Y701" s="19" t="n">
        <v>15</v>
      </c>
      <c r="Z701" s="19" t="n">
        <v>12</v>
      </c>
      <c r="AA701" s="19" t="n">
        <v>19</v>
      </c>
      <c r="AB701" s="19" t="n">
        <v>16</v>
      </c>
      <c r="AC701" s="19" t="n">
        <v>15</v>
      </c>
      <c r="AD701" s="19" t="n">
        <v>19</v>
      </c>
      <c r="AE701" s="2" t="n">
        <v>12</v>
      </c>
      <c r="AF701" s="19"/>
      <c r="AG701" s="19"/>
      <c r="AH701" s="19"/>
    </row>
    <row r="702" customFormat="false" ht="12.75" hidden="false" customHeight="true" outlineLevel="0" collapsed="false">
      <c r="A702" s="16" t="s">
        <v>442</v>
      </c>
      <c r="B702" s="17" t="n">
        <f aca="false">AVERAGE(E702:AE702)</f>
        <v>17.8518518518519</v>
      </c>
      <c r="C702" s="2" t="n">
        <f aca="false">MIN(E702:AE702)</f>
        <v>11</v>
      </c>
      <c r="D702" s="18" t="n">
        <f aca="false">MAX(E702:AE702)</f>
        <v>29</v>
      </c>
      <c r="E702" s="19" t="n">
        <v>11</v>
      </c>
      <c r="F702" s="19" t="n">
        <v>13</v>
      </c>
      <c r="G702" s="19" t="n">
        <v>14</v>
      </c>
      <c r="H702" s="19" t="n">
        <v>21</v>
      </c>
      <c r="I702" s="19" t="n">
        <v>18</v>
      </c>
      <c r="J702" s="19" t="n">
        <v>19</v>
      </c>
      <c r="K702" s="19" t="n">
        <v>20</v>
      </c>
      <c r="L702" s="19" t="n">
        <v>22</v>
      </c>
      <c r="M702" s="19" t="n">
        <v>21</v>
      </c>
      <c r="N702" s="19" t="n">
        <v>18</v>
      </c>
      <c r="O702" s="19" t="n">
        <v>18</v>
      </c>
      <c r="P702" s="19" t="n">
        <v>12</v>
      </c>
      <c r="Q702" s="19" t="n">
        <v>24</v>
      </c>
      <c r="R702" s="19" t="n">
        <v>25</v>
      </c>
      <c r="S702" s="19" t="n">
        <v>12</v>
      </c>
      <c r="T702" s="19" t="n">
        <v>29</v>
      </c>
      <c r="U702" s="19" t="n">
        <v>19</v>
      </c>
      <c r="V702" s="19" t="n">
        <v>19</v>
      </c>
      <c r="W702" s="19" t="n">
        <v>22</v>
      </c>
      <c r="X702" s="19" t="n">
        <v>17</v>
      </c>
      <c r="Y702" s="19" t="n">
        <v>15</v>
      </c>
      <c r="Z702" s="19" t="n">
        <v>12</v>
      </c>
      <c r="AA702" s="19" t="n">
        <v>19</v>
      </c>
      <c r="AB702" s="19" t="n">
        <v>16</v>
      </c>
      <c r="AC702" s="19" t="n">
        <v>15</v>
      </c>
      <c r="AD702" s="19" t="n">
        <v>19</v>
      </c>
      <c r="AE702" s="2" t="n">
        <v>12</v>
      </c>
      <c r="AF702" s="19"/>
      <c r="AG702" s="19"/>
      <c r="AH702" s="19"/>
    </row>
    <row r="703" customFormat="false" ht="12.75" hidden="false" customHeight="true" outlineLevel="0" collapsed="false">
      <c r="A703" s="16" t="s">
        <v>443</v>
      </c>
      <c r="B703" s="17" t="n">
        <f aca="false">AVERAGE(E703:AE703)</f>
        <v>17.8518518518519</v>
      </c>
      <c r="C703" s="2" t="n">
        <f aca="false">MIN(E703:AE703)</f>
        <v>11</v>
      </c>
      <c r="D703" s="18" t="n">
        <f aca="false">MAX(E703:AE703)</f>
        <v>29</v>
      </c>
      <c r="E703" s="19" t="n">
        <v>11</v>
      </c>
      <c r="F703" s="19" t="n">
        <v>13</v>
      </c>
      <c r="G703" s="19" t="n">
        <v>14</v>
      </c>
      <c r="H703" s="19" t="n">
        <v>21</v>
      </c>
      <c r="I703" s="19" t="n">
        <v>18</v>
      </c>
      <c r="J703" s="19" t="n">
        <v>19</v>
      </c>
      <c r="K703" s="19" t="n">
        <v>20</v>
      </c>
      <c r="L703" s="19" t="n">
        <v>22</v>
      </c>
      <c r="M703" s="19" t="n">
        <v>21</v>
      </c>
      <c r="N703" s="19" t="n">
        <v>18</v>
      </c>
      <c r="O703" s="19" t="n">
        <v>18</v>
      </c>
      <c r="P703" s="19" t="n">
        <v>12</v>
      </c>
      <c r="Q703" s="19" t="n">
        <v>24</v>
      </c>
      <c r="R703" s="19" t="n">
        <v>25</v>
      </c>
      <c r="S703" s="19" t="n">
        <v>12</v>
      </c>
      <c r="T703" s="19" t="n">
        <v>29</v>
      </c>
      <c r="U703" s="19" t="n">
        <v>19</v>
      </c>
      <c r="V703" s="19" t="n">
        <v>19</v>
      </c>
      <c r="W703" s="19" t="n">
        <v>22</v>
      </c>
      <c r="X703" s="19" t="n">
        <v>17</v>
      </c>
      <c r="Y703" s="19" t="n">
        <v>15</v>
      </c>
      <c r="Z703" s="19" t="n">
        <v>12</v>
      </c>
      <c r="AA703" s="19" t="n">
        <v>19</v>
      </c>
      <c r="AB703" s="19" t="n">
        <v>16</v>
      </c>
      <c r="AC703" s="19" t="n">
        <v>15</v>
      </c>
      <c r="AD703" s="19" t="n">
        <v>19</v>
      </c>
      <c r="AE703" s="2" t="n">
        <v>12</v>
      </c>
      <c r="AF703" s="19"/>
      <c r="AG703" s="19"/>
      <c r="AH703" s="19"/>
    </row>
    <row r="704" customFormat="false" ht="12.75" hidden="false" customHeight="true" outlineLevel="0" collapsed="false">
      <c r="A704" s="16" t="s">
        <v>444</v>
      </c>
      <c r="B704" s="17" t="n">
        <f aca="false">AVERAGE(E704:AE704)</f>
        <v>17.8518518518519</v>
      </c>
      <c r="C704" s="2" t="n">
        <f aca="false">MIN(E704:AE704)</f>
        <v>11</v>
      </c>
      <c r="D704" s="18" t="n">
        <f aca="false">MAX(E704:AE704)</f>
        <v>29</v>
      </c>
      <c r="E704" s="19" t="n">
        <v>11</v>
      </c>
      <c r="F704" s="19" t="n">
        <v>13</v>
      </c>
      <c r="G704" s="19" t="n">
        <v>14</v>
      </c>
      <c r="H704" s="19" t="n">
        <v>21</v>
      </c>
      <c r="I704" s="19" t="n">
        <v>18</v>
      </c>
      <c r="J704" s="19" t="n">
        <v>19</v>
      </c>
      <c r="K704" s="19" t="n">
        <v>20</v>
      </c>
      <c r="L704" s="19" t="n">
        <v>22</v>
      </c>
      <c r="M704" s="19" t="n">
        <v>21</v>
      </c>
      <c r="N704" s="19" t="n">
        <v>18</v>
      </c>
      <c r="O704" s="19" t="n">
        <v>18</v>
      </c>
      <c r="P704" s="19" t="n">
        <v>12</v>
      </c>
      <c r="Q704" s="19" t="n">
        <v>24</v>
      </c>
      <c r="R704" s="19" t="n">
        <v>25</v>
      </c>
      <c r="S704" s="19" t="n">
        <v>12</v>
      </c>
      <c r="T704" s="19" t="n">
        <v>29</v>
      </c>
      <c r="U704" s="19" t="n">
        <v>19</v>
      </c>
      <c r="V704" s="19" t="n">
        <v>19</v>
      </c>
      <c r="W704" s="19" t="n">
        <v>22</v>
      </c>
      <c r="X704" s="19" t="n">
        <v>17</v>
      </c>
      <c r="Y704" s="19" t="n">
        <v>15</v>
      </c>
      <c r="Z704" s="19" t="n">
        <v>12</v>
      </c>
      <c r="AA704" s="19" t="n">
        <v>19</v>
      </c>
      <c r="AB704" s="19" t="n">
        <v>16</v>
      </c>
      <c r="AC704" s="19" t="n">
        <v>15</v>
      </c>
      <c r="AD704" s="19" t="n">
        <v>19</v>
      </c>
      <c r="AE704" s="2" t="n">
        <v>12</v>
      </c>
      <c r="AF704" s="19"/>
      <c r="AG704" s="19"/>
      <c r="AH704" s="19"/>
    </row>
    <row r="705" customFormat="false" ht="12.75" hidden="false" customHeight="true" outlineLevel="0" collapsed="false">
      <c r="A705" s="16" t="s">
        <v>445</v>
      </c>
      <c r="B705" s="17" t="n">
        <f aca="false">AVERAGE(E705:AE705)</f>
        <v>17.8518518518519</v>
      </c>
      <c r="C705" s="2" t="n">
        <f aca="false">MIN(E705:AE705)</f>
        <v>11</v>
      </c>
      <c r="D705" s="18" t="n">
        <f aca="false">MAX(E705:AE705)</f>
        <v>29</v>
      </c>
      <c r="E705" s="19" t="n">
        <v>11</v>
      </c>
      <c r="F705" s="19" t="n">
        <v>13</v>
      </c>
      <c r="G705" s="19" t="n">
        <v>14</v>
      </c>
      <c r="H705" s="19" t="n">
        <v>21</v>
      </c>
      <c r="I705" s="19" t="n">
        <v>18</v>
      </c>
      <c r="J705" s="19" t="n">
        <v>19</v>
      </c>
      <c r="K705" s="19" t="n">
        <v>20</v>
      </c>
      <c r="L705" s="19" t="n">
        <v>22</v>
      </c>
      <c r="M705" s="19" t="n">
        <v>21</v>
      </c>
      <c r="N705" s="19" t="n">
        <v>18</v>
      </c>
      <c r="O705" s="19" t="n">
        <v>18</v>
      </c>
      <c r="P705" s="19" t="n">
        <v>12</v>
      </c>
      <c r="Q705" s="19" t="n">
        <v>24</v>
      </c>
      <c r="R705" s="19" t="n">
        <v>25</v>
      </c>
      <c r="S705" s="19" t="n">
        <v>12</v>
      </c>
      <c r="T705" s="19" t="n">
        <v>29</v>
      </c>
      <c r="U705" s="19" t="n">
        <v>19</v>
      </c>
      <c r="V705" s="19" t="n">
        <v>19</v>
      </c>
      <c r="W705" s="19" t="n">
        <v>22</v>
      </c>
      <c r="X705" s="19" t="n">
        <v>17</v>
      </c>
      <c r="Y705" s="19" t="n">
        <v>15</v>
      </c>
      <c r="Z705" s="19" t="n">
        <v>12</v>
      </c>
      <c r="AA705" s="19" t="n">
        <v>19</v>
      </c>
      <c r="AB705" s="19" t="n">
        <v>16</v>
      </c>
      <c r="AC705" s="19" t="n">
        <v>15</v>
      </c>
      <c r="AD705" s="19" t="n">
        <v>19</v>
      </c>
      <c r="AE705" s="2" t="n">
        <v>12</v>
      </c>
      <c r="AF705" s="19"/>
      <c r="AG705" s="19"/>
      <c r="AH705" s="19"/>
    </row>
    <row r="706" customFormat="false" ht="12.75" hidden="false" customHeight="true" outlineLevel="0" collapsed="false">
      <c r="A706" s="16" t="s">
        <v>446</v>
      </c>
      <c r="B706" s="17" t="n">
        <f aca="false">AVERAGE(E706:AE706)</f>
        <v>17.8518518518519</v>
      </c>
      <c r="C706" s="2" t="n">
        <f aca="false">MIN(E706:AE706)</f>
        <v>11</v>
      </c>
      <c r="D706" s="18" t="n">
        <f aca="false">MAX(E706:AE706)</f>
        <v>29</v>
      </c>
      <c r="E706" s="19" t="n">
        <v>11</v>
      </c>
      <c r="F706" s="19" t="n">
        <v>13</v>
      </c>
      <c r="G706" s="19" t="n">
        <v>14</v>
      </c>
      <c r="H706" s="19" t="n">
        <v>21</v>
      </c>
      <c r="I706" s="19" t="n">
        <v>18</v>
      </c>
      <c r="J706" s="19" t="n">
        <v>19</v>
      </c>
      <c r="K706" s="19" t="n">
        <v>20</v>
      </c>
      <c r="L706" s="19" t="n">
        <v>22</v>
      </c>
      <c r="M706" s="19" t="n">
        <v>21</v>
      </c>
      <c r="N706" s="19" t="n">
        <v>18</v>
      </c>
      <c r="O706" s="19" t="n">
        <v>18</v>
      </c>
      <c r="P706" s="19" t="n">
        <v>12</v>
      </c>
      <c r="Q706" s="19" t="n">
        <v>24</v>
      </c>
      <c r="R706" s="19" t="n">
        <v>25</v>
      </c>
      <c r="S706" s="19" t="n">
        <v>12</v>
      </c>
      <c r="T706" s="19" t="n">
        <v>29</v>
      </c>
      <c r="U706" s="19" t="n">
        <v>19</v>
      </c>
      <c r="V706" s="19" t="n">
        <v>19</v>
      </c>
      <c r="W706" s="19" t="n">
        <v>22</v>
      </c>
      <c r="X706" s="19" t="n">
        <v>17</v>
      </c>
      <c r="Y706" s="19" t="n">
        <v>15</v>
      </c>
      <c r="Z706" s="19" t="n">
        <v>12</v>
      </c>
      <c r="AA706" s="19" t="n">
        <v>19</v>
      </c>
      <c r="AB706" s="19" t="n">
        <v>16</v>
      </c>
      <c r="AC706" s="19" t="n">
        <v>15</v>
      </c>
      <c r="AD706" s="19" t="n">
        <v>19</v>
      </c>
      <c r="AE706" s="2" t="n">
        <v>12</v>
      </c>
      <c r="AF706" s="19"/>
      <c r="AG706" s="19"/>
      <c r="AH706" s="19"/>
    </row>
    <row r="707" customFormat="false" ht="12.75" hidden="false" customHeight="true" outlineLevel="0" collapsed="false">
      <c r="A707" s="16" t="s">
        <v>447</v>
      </c>
      <c r="B707" s="17" t="n">
        <f aca="false">AVERAGE(E707:AE707)</f>
        <v>17.8518518518519</v>
      </c>
      <c r="C707" s="2" t="n">
        <f aca="false">MIN(E707:AE707)</f>
        <v>11</v>
      </c>
      <c r="D707" s="18" t="n">
        <f aca="false">MAX(E707:AE707)</f>
        <v>29</v>
      </c>
      <c r="E707" s="19" t="n">
        <v>11</v>
      </c>
      <c r="F707" s="19" t="n">
        <v>13</v>
      </c>
      <c r="G707" s="19" t="n">
        <v>14</v>
      </c>
      <c r="H707" s="19" t="n">
        <v>21</v>
      </c>
      <c r="I707" s="19" t="n">
        <v>18</v>
      </c>
      <c r="J707" s="19" t="n">
        <v>19</v>
      </c>
      <c r="K707" s="19" t="n">
        <v>20</v>
      </c>
      <c r="L707" s="19" t="n">
        <v>22</v>
      </c>
      <c r="M707" s="19" t="n">
        <v>21</v>
      </c>
      <c r="N707" s="19" t="n">
        <v>18</v>
      </c>
      <c r="O707" s="19" t="n">
        <v>18</v>
      </c>
      <c r="P707" s="19" t="n">
        <v>12</v>
      </c>
      <c r="Q707" s="19" t="n">
        <v>24</v>
      </c>
      <c r="R707" s="19" t="n">
        <v>25</v>
      </c>
      <c r="S707" s="19" t="n">
        <v>12</v>
      </c>
      <c r="T707" s="19" t="n">
        <v>29</v>
      </c>
      <c r="U707" s="19" t="n">
        <v>19</v>
      </c>
      <c r="V707" s="19" t="n">
        <v>19</v>
      </c>
      <c r="W707" s="19" t="n">
        <v>22</v>
      </c>
      <c r="X707" s="19" t="n">
        <v>17</v>
      </c>
      <c r="Y707" s="19" t="n">
        <v>15</v>
      </c>
      <c r="Z707" s="19" t="n">
        <v>12</v>
      </c>
      <c r="AA707" s="19" t="n">
        <v>19</v>
      </c>
      <c r="AB707" s="19" t="n">
        <v>16</v>
      </c>
      <c r="AC707" s="19" t="n">
        <v>15</v>
      </c>
      <c r="AD707" s="19" t="n">
        <v>19</v>
      </c>
      <c r="AE707" s="2" t="n">
        <v>12</v>
      </c>
      <c r="AF707" s="19"/>
      <c r="AG707" s="19"/>
      <c r="AH707" s="19"/>
    </row>
    <row r="708" customFormat="false" ht="12.75" hidden="false" customHeight="true" outlineLevel="0" collapsed="false">
      <c r="A708" s="16" t="s">
        <v>448</v>
      </c>
      <c r="B708" s="17" t="n">
        <f aca="false">AVERAGE(E708:AE708)</f>
        <v>17.8518518518519</v>
      </c>
      <c r="C708" s="2" t="n">
        <f aca="false">MIN(E708:AE708)</f>
        <v>11</v>
      </c>
      <c r="D708" s="18" t="n">
        <f aca="false">MAX(E708:AE708)</f>
        <v>29</v>
      </c>
      <c r="E708" s="19" t="n">
        <v>11</v>
      </c>
      <c r="F708" s="19" t="n">
        <v>13</v>
      </c>
      <c r="G708" s="19" t="n">
        <v>14</v>
      </c>
      <c r="H708" s="19" t="n">
        <v>21</v>
      </c>
      <c r="I708" s="19" t="n">
        <v>18</v>
      </c>
      <c r="J708" s="19" t="n">
        <v>19</v>
      </c>
      <c r="K708" s="19" t="n">
        <v>20</v>
      </c>
      <c r="L708" s="19" t="n">
        <v>22</v>
      </c>
      <c r="M708" s="19" t="n">
        <v>21</v>
      </c>
      <c r="N708" s="19" t="n">
        <v>18</v>
      </c>
      <c r="O708" s="19" t="n">
        <v>18</v>
      </c>
      <c r="P708" s="19" t="n">
        <v>12</v>
      </c>
      <c r="Q708" s="19" t="n">
        <v>24</v>
      </c>
      <c r="R708" s="19" t="n">
        <v>25</v>
      </c>
      <c r="S708" s="19" t="n">
        <v>12</v>
      </c>
      <c r="T708" s="19" t="n">
        <v>29</v>
      </c>
      <c r="U708" s="19" t="n">
        <v>19</v>
      </c>
      <c r="V708" s="19" t="n">
        <v>19</v>
      </c>
      <c r="W708" s="19" t="n">
        <v>22</v>
      </c>
      <c r="X708" s="19" t="n">
        <v>17</v>
      </c>
      <c r="Y708" s="19" t="n">
        <v>15</v>
      </c>
      <c r="Z708" s="19" t="n">
        <v>12</v>
      </c>
      <c r="AA708" s="19" t="n">
        <v>19</v>
      </c>
      <c r="AB708" s="19" t="n">
        <v>16</v>
      </c>
      <c r="AC708" s="19" t="n">
        <v>15</v>
      </c>
      <c r="AD708" s="19" t="n">
        <v>19</v>
      </c>
      <c r="AE708" s="2" t="n">
        <v>12</v>
      </c>
      <c r="AF708" s="19"/>
      <c r="AG708" s="19"/>
      <c r="AH708" s="19"/>
    </row>
    <row r="709" customFormat="false" ht="12.75" hidden="false" customHeight="true" outlineLevel="0" collapsed="false">
      <c r="A709" s="16" t="s">
        <v>449</v>
      </c>
      <c r="B709" s="17" t="n">
        <f aca="false">AVERAGE(E709:AE709)</f>
        <v>17.8518518518519</v>
      </c>
      <c r="C709" s="2" t="n">
        <f aca="false">MIN(E709:AE709)</f>
        <v>11</v>
      </c>
      <c r="D709" s="18" t="n">
        <f aca="false">MAX(E709:AE709)</f>
        <v>29</v>
      </c>
      <c r="E709" s="19" t="n">
        <v>11</v>
      </c>
      <c r="F709" s="19" t="n">
        <v>13</v>
      </c>
      <c r="G709" s="19" t="n">
        <v>14</v>
      </c>
      <c r="H709" s="19" t="n">
        <v>21</v>
      </c>
      <c r="I709" s="19" t="n">
        <v>18</v>
      </c>
      <c r="J709" s="19" t="n">
        <v>19</v>
      </c>
      <c r="K709" s="19" t="n">
        <v>20</v>
      </c>
      <c r="L709" s="19" t="n">
        <v>22</v>
      </c>
      <c r="M709" s="19" t="n">
        <v>21</v>
      </c>
      <c r="N709" s="19" t="n">
        <v>18</v>
      </c>
      <c r="O709" s="19" t="n">
        <v>18</v>
      </c>
      <c r="P709" s="19" t="n">
        <v>12</v>
      </c>
      <c r="Q709" s="19" t="n">
        <v>24</v>
      </c>
      <c r="R709" s="19" t="n">
        <v>25</v>
      </c>
      <c r="S709" s="19" t="n">
        <v>12</v>
      </c>
      <c r="T709" s="19" t="n">
        <v>29</v>
      </c>
      <c r="U709" s="19" t="n">
        <v>19</v>
      </c>
      <c r="V709" s="19" t="n">
        <v>19</v>
      </c>
      <c r="W709" s="19" t="n">
        <v>22</v>
      </c>
      <c r="X709" s="19" t="n">
        <v>17</v>
      </c>
      <c r="Y709" s="19" t="n">
        <v>15</v>
      </c>
      <c r="Z709" s="19" t="n">
        <v>12</v>
      </c>
      <c r="AA709" s="19" t="n">
        <v>19</v>
      </c>
      <c r="AB709" s="19" t="n">
        <v>16</v>
      </c>
      <c r="AC709" s="19" t="n">
        <v>15</v>
      </c>
      <c r="AD709" s="19" t="n">
        <v>19</v>
      </c>
      <c r="AE709" s="2" t="n">
        <v>12</v>
      </c>
      <c r="AF709" s="19"/>
      <c r="AG709" s="19"/>
      <c r="AH709" s="19"/>
    </row>
    <row r="710" customFormat="false" ht="12.75" hidden="false" customHeight="true" outlineLevel="0" collapsed="false">
      <c r="A710" s="16" t="s">
        <v>450</v>
      </c>
      <c r="B710" s="17" t="n">
        <f aca="false">AVERAGE(E710:AE710)</f>
        <v>17.8518518518519</v>
      </c>
      <c r="C710" s="2" t="n">
        <f aca="false">MIN(E710:AE710)</f>
        <v>11</v>
      </c>
      <c r="D710" s="18" t="n">
        <f aca="false">MAX(E710:AE710)</f>
        <v>29</v>
      </c>
      <c r="E710" s="19" t="n">
        <v>11</v>
      </c>
      <c r="F710" s="19" t="n">
        <v>13</v>
      </c>
      <c r="G710" s="19" t="n">
        <v>14</v>
      </c>
      <c r="H710" s="19" t="n">
        <v>21</v>
      </c>
      <c r="I710" s="19" t="n">
        <v>18</v>
      </c>
      <c r="J710" s="19" t="n">
        <v>19</v>
      </c>
      <c r="K710" s="19" t="n">
        <v>20</v>
      </c>
      <c r="L710" s="19" t="n">
        <v>22</v>
      </c>
      <c r="M710" s="19" t="n">
        <v>21</v>
      </c>
      <c r="N710" s="19" t="n">
        <v>18</v>
      </c>
      <c r="O710" s="19" t="n">
        <v>18</v>
      </c>
      <c r="P710" s="19" t="n">
        <v>12</v>
      </c>
      <c r="Q710" s="19" t="n">
        <v>24</v>
      </c>
      <c r="R710" s="19" t="n">
        <v>25</v>
      </c>
      <c r="S710" s="19" t="n">
        <v>12</v>
      </c>
      <c r="T710" s="19" t="n">
        <v>29</v>
      </c>
      <c r="U710" s="19" t="n">
        <v>19</v>
      </c>
      <c r="V710" s="19" t="n">
        <v>19</v>
      </c>
      <c r="W710" s="19" t="n">
        <v>22</v>
      </c>
      <c r="X710" s="19" t="n">
        <v>17</v>
      </c>
      <c r="Y710" s="19" t="n">
        <v>15</v>
      </c>
      <c r="Z710" s="19" t="n">
        <v>12</v>
      </c>
      <c r="AA710" s="19" t="n">
        <v>19</v>
      </c>
      <c r="AB710" s="19" t="n">
        <v>16</v>
      </c>
      <c r="AC710" s="19" t="n">
        <v>15</v>
      </c>
      <c r="AD710" s="19" t="n">
        <v>19</v>
      </c>
      <c r="AE710" s="2" t="n">
        <v>12</v>
      </c>
      <c r="AF710" s="19"/>
      <c r="AG710" s="19"/>
      <c r="AH710" s="19"/>
    </row>
    <row r="711" customFormat="false" ht="12.75" hidden="false" customHeight="true" outlineLevel="0" collapsed="false">
      <c r="A711" s="16" t="s">
        <v>451</v>
      </c>
      <c r="B711" s="17" t="n">
        <f aca="false">AVERAGE(E711:AE711)</f>
        <v>17.8518518518519</v>
      </c>
      <c r="C711" s="2" t="n">
        <f aca="false">MIN(E711:AE711)</f>
        <v>11</v>
      </c>
      <c r="D711" s="18" t="n">
        <f aca="false">MAX(E711:AE711)</f>
        <v>29</v>
      </c>
      <c r="E711" s="19" t="n">
        <v>11</v>
      </c>
      <c r="F711" s="19" t="n">
        <v>13</v>
      </c>
      <c r="G711" s="19" t="n">
        <v>14</v>
      </c>
      <c r="H711" s="19" t="n">
        <v>21</v>
      </c>
      <c r="I711" s="19" t="n">
        <v>18</v>
      </c>
      <c r="J711" s="19" t="n">
        <v>19</v>
      </c>
      <c r="K711" s="19" t="n">
        <v>20</v>
      </c>
      <c r="L711" s="19" t="n">
        <v>22</v>
      </c>
      <c r="M711" s="19" t="n">
        <v>21</v>
      </c>
      <c r="N711" s="19" t="n">
        <v>18</v>
      </c>
      <c r="O711" s="19" t="n">
        <v>18</v>
      </c>
      <c r="P711" s="19" t="n">
        <v>12</v>
      </c>
      <c r="Q711" s="19" t="n">
        <v>24</v>
      </c>
      <c r="R711" s="19" t="n">
        <v>25</v>
      </c>
      <c r="S711" s="19" t="n">
        <v>12</v>
      </c>
      <c r="T711" s="19" t="n">
        <v>29</v>
      </c>
      <c r="U711" s="19" t="n">
        <v>19</v>
      </c>
      <c r="V711" s="19" t="n">
        <v>19</v>
      </c>
      <c r="W711" s="19" t="n">
        <v>22</v>
      </c>
      <c r="X711" s="19" t="n">
        <v>17</v>
      </c>
      <c r="Y711" s="19" t="n">
        <v>15</v>
      </c>
      <c r="Z711" s="19" t="n">
        <v>12</v>
      </c>
      <c r="AA711" s="19" t="n">
        <v>19</v>
      </c>
      <c r="AB711" s="19" t="n">
        <v>16</v>
      </c>
      <c r="AC711" s="19" t="n">
        <v>15</v>
      </c>
      <c r="AD711" s="19" t="n">
        <v>19</v>
      </c>
      <c r="AE711" s="2" t="n">
        <v>12</v>
      </c>
      <c r="AF711" s="19"/>
      <c r="AG711" s="19"/>
      <c r="AH711" s="19"/>
    </row>
    <row r="712" customFormat="false" ht="12.75" hidden="false" customHeight="true" outlineLevel="0" collapsed="false">
      <c r="A712" s="16" t="s">
        <v>452</v>
      </c>
      <c r="B712" s="17" t="n">
        <f aca="false">AVERAGE(E712:AE712)</f>
        <v>17.8518518518519</v>
      </c>
      <c r="C712" s="2" t="n">
        <f aca="false">MIN(E712:AE712)</f>
        <v>11</v>
      </c>
      <c r="D712" s="18" t="n">
        <f aca="false">MAX(E712:AE712)</f>
        <v>29</v>
      </c>
      <c r="E712" s="19" t="n">
        <v>11</v>
      </c>
      <c r="F712" s="19" t="n">
        <v>13</v>
      </c>
      <c r="G712" s="19" t="n">
        <v>14</v>
      </c>
      <c r="H712" s="19" t="n">
        <v>21</v>
      </c>
      <c r="I712" s="19" t="n">
        <v>18</v>
      </c>
      <c r="J712" s="19" t="n">
        <v>19</v>
      </c>
      <c r="K712" s="19" t="n">
        <v>20</v>
      </c>
      <c r="L712" s="19" t="n">
        <v>22</v>
      </c>
      <c r="M712" s="19" t="n">
        <v>21</v>
      </c>
      <c r="N712" s="19" t="n">
        <v>18</v>
      </c>
      <c r="O712" s="19" t="n">
        <v>18</v>
      </c>
      <c r="P712" s="19" t="n">
        <v>12</v>
      </c>
      <c r="Q712" s="19" t="n">
        <v>24</v>
      </c>
      <c r="R712" s="19" t="n">
        <v>25</v>
      </c>
      <c r="S712" s="19" t="n">
        <v>12</v>
      </c>
      <c r="T712" s="19" t="n">
        <v>29</v>
      </c>
      <c r="U712" s="19" t="n">
        <v>19</v>
      </c>
      <c r="V712" s="19" t="n">
        <v>19</v>
      </c>
      <c r="W712" s="19" t="n">
        <v>22</v>
      </c>
      <c r="X712" s="19" t="n">
        <v>17</v>
      </c>
      <c r="Y712" s="19" t="n">
        <v>15</v>
      </c>
      <c r="Z712" s="19" t="n">
        <v>12</v>
      </c>
      <c r="AA712" s="19" t="n">
        <v>19</v>
      </c>
      <c r="AB712" s="19" t="n">
        <v>16</v>
      </c>
      <c r="AC712" s="19" t="n">
        <v>15</v>
      </c>
      <c r="AD712" s="19" t="n">
        <v>19</v>
      </c>
      <c r="AE712" s="2" t="n">
        <v>12</v>
      </c>
      <c r="AF712" s="19"/>
      <c r="AG712" s="19"/>
      <c r="AH712" s="19"/>
    </row>
    <row r="713" customFormat="false" ht="12.75" hidden="false" customHeight="true" outlineLevel="0" collapsed="false">
      <c r="A713" s="16" t="s">
        <v>453</v>
      </c>
      <c r="B713" s="17" t="n">
        <f aca="false">AVERAGE(E713:AE713)</f>
        <v>17.8518518518519</v>
      </c>
      <c r="C713" s="2" t="n">
        <f aca="false">MIN(E713:AE713)</f>
        <v>11</v>
      </c>
      <c r="D713" s="18" t="n">
        <f aca="false">MAX(E713:AE713)</f>
        <v>29</v>
      </c>
      <c r="E713" s="19" t="n">
        <v>11</v>
      </c>
      <c r="F713" s="19" t="n">
        <v>13</v>
      </c>
      <c r="G713" s="19" t="n">
        <v>14</v>
      </c>
      <c r="H713" s="19" t="n">
        <v>21</v>
      </c>
      <c r="I713" s="19" t="n">
        <v>18</v>
      </c>
      <c r="J713" s="19" t="n">
        <v>19</v>
      </c>
      <c r="K713" s="19" t="n">
        <v>20</v>
      </c>
      <c r="L713" s="19" t="n">
        <v>22</v>
      </c>
      <c r="M713" s="19" t="n">
        <v>21</v>
      </c>
      <c r="N713" s="19" t="n">
        <v>18</v>
      </c>
      <c r="O713" s="19" t="n">
        <v>18</v>
      </c>
      <c r="P713" s="19" t="n">
        <v>12</v>
      </c>
      <c r="Q713" s="19" t="n">
        <v>24</v>
      </c>
      <c r="R713" s="19" t="n">
        <v>25</v>
      </c>
      <c r="S713" s="19" t="n">
        <v>12</v>
      </c>
      <c r="T713" s="19" t="n">
        <v>29</v>
      </c>
      <c r="U713" s="19" t="n">
        <v>19</v>
      </c>
      <c r="V713" s="19" t="n">
        <v>19</v>
      </c>
      <c r="W713" s="19" t="n">
        <v>22</v>
      </c>
      <c r="X713" s="19" t="n">
        <v>17</v>
      </c>
      <c r="Y713" s="19" t="n">
        <v>15</v>
      </c>
      <c r="Z713" s="19" t="n">
        <v>12</v>
      </c>
      <c r="AA713" s="19" t="n">
        <v>19</v>
      </c>
      <c r="AB713" s="19" t="n">
        <v>16</v>
      </c>
      <c r="AC713" s="19" t="n">
        <v>15</v>
      </c>
      <c r="AD713" s="19" t="n">
        <v>19</v>
      </c>
      <c r="AE713" s="2" t="n">
        <v>12</v>
      </c>
      <c r="AF713" s="19"/>
      <c r="AG713" s="19"/>
      <c r="AH713" s="19"/>
    </row>
    <row r="714" customFormat="false" ht="12.75" hidden="false" customHeight="true" outlineLevel="0" collapsed="false">
      <c r="A714" s="16" t="s">
        <v>454</v>
      </c>
      <c r="B714" s="17" t="n">
        <f aca="false">AVERAGE(E714:AE714)</f>
        <v>17.8518518518519</v>
      </c>
      <c r="C714" s="2" t="n">
        <f aca="false">MIN(E714:AE714)</f>
        <v>11</v>
      </c>
      <c r="D714" s="18" t="n">
        <f aca="false">MAX(E714:AE714)</f>
        <v>29</v>
      </c>
      <c r="E714" s="19" t="n">
        <v>11</v>
      </c>
      <c r="F714" s="19" t="n">
        <v>13</v>
      </c>
      <c r="G714" s="19" t="n">
        <v>14</v>
      </c>
      <c r="H714" s="19" t="n">
        <v>21</v>
      </c>
      <c r="I714" s="19" t="n">
        <v>18</v>
      </c>
      <c r="J714" s="19" t="n">
        <v>19</v>
      </c>
      <c r="K714" s="19" t="n">
        <v>20</v>
      </c>
      <c r="L714" s="19" t="n">
        <v>22</v>
      </c>
      <c r="M714" s="19" t="n">
        <v>21</v>
      </c>
      <c r="N714" s="19" t="n">
        <v>18</v>
      </c>
      <c r="O714" s="19" t="n">
        <v>18</v>
      </c>
      <c r="P714" s="19" t="n">
        <v>12</v>
      </c>
      <c r="Q714" s="19" t="n">
        <v>24</v>
      </c>
      <c r="R714" s="19" t="n">
        <v>25</v>
      </c>
      <c r="S714" s="19" t="n">
        <v>12</v>
      </c>
      <c r="T714" s="19" t="n">
        <v>29</v>
      </c>
      <c r="U714" s="19" t="n">
        <v>19</v>
      </c>
      <c r="V714" s="19" t="n">
        <v>19</v>
      </c>
      <c r="W714" s="19" t="n">
        <v>22</v>
      </c>
      <c r="X714" s="19" t="n">
        <v>17</v>
      </c>
      <c r="Y714" s="19" t="n">
        <v>15</v>
      </c>
      <c r="Z714" s="19" t="n">
        <v>12</v>
      </c>
      <c r="AA714" s="19" t="n">
        <v>19</v>
      </c>
      <c r="AB714" s="19" t="n">
        <v>16</v>
      </c>
      <c r="AC714" s="19" t="n">
        <v>15</v>
      </c>
      <c r="AD714" s="19" t="n">
        <v>19</v>
      </c>
      <c r="AE714" s="2" t="n">
        <v>12</v>
      </c>
      <c r="AF714" s="19"/>
      <c r="AG714" s="19"/>
      <c r="AH714" s="19"/>
    </row>
    <row r="715" customFormat="false" ht="12.75" hidden="false" customHeight="true" outlineLevel="0" collapsed="false">
      <c r="A715" s="16" t="s">
        <v>455</v>
      </c>
      <c r="B715" s="17" t="n">
        <f aca="false">AVERAGE(E715:AE715)</f>
        <v>17.8518518518519</v>
      </c>
      <c r="C715" s="2" t="n">
        <f aca="false">MIN(E715:AE715)</f>
        <v>11</v>
      </c>
      <c r="D715" s="18" t="n">
        <f aca="false">MAX(E715:AE715)</f>
        <v>29</v>
      </c>
      <c r="E715" s="19" t="n">
        <v>11</v>
      </c>
      <c r="F715" s="19" t="n">
        <v>13</v>
      </c>
      <c r="G715" s="19" t="n">
        <v>14</v>
      </c>
      <c r="H715" s="19" t="n">
        <v>21</v>
      </c>
      <c r="I715" s="19" t="n">
        <v>18</v>
      </c>
      <c r="J715" s="19" t="n">
        <v>19</v>
      </c>
      <c r="K715" s="19" t="n">
        <v>20</v>
      </c>
      <c r="L715" s="19" t="n">
        <v>22</v>
      </c>
      <c r="M715" s="19" t="n">
        <v>21</v>
      </c>
      <c r="N715" s="19" t="n">
        <v>18</v>
      </c>
      <c r="O715" s="19" t="n">
        <v>18</v>
      </c>
      <c r="P715" s="19" t="n">
        <v>12</v>
      </c>
      <c r="Q715" s="19" t="n">
        <v>24</v>
      </c>
      <c r="R715" s="19" t="n">
        <v>25</v>
      </c>
      <c r="S715" s="19" t="n">
        <v>12</v>
      </c>
      <c r="T715" s="19" t="n">
        <v>29</v>
      </c>
      <c r="U715" s="19" t="n">
        <v>19</v>
      </c>
      <c r="V715" s="19" t="n">
        <v>19</v>
      </c>
      <c r="W715" s="19" t="n">
        <v>22</v>
      </c>
      <c r="X715" s="19" t="n">
        <v>17</v>
      </c>
      <c r="Y715" s="19" t="n">
        <v>15</v>
      </c>
      <c r="Z715" s="19" t="n">
        <v>12</v>
      </c>
      <c r="AA715" s="19" t="n">
        <v>19</v>
      </c>
      <c r="AB715" s="19" t="n">
        <v>16</v>
      </c>
      <c r="AC715" s="19" t="n">
        <v>15</v>
      </c>
      <c r="AD715" s="19" t="n">
        <v>19</v>
      </c>
      <c r="AE715" s="2" t="n">
        <v>12</v>
      </c>
      <c r="AF715" s="19"/>
      <c r="AG715" s="19"/>
      <c r="AH715" s="19"/>
    </row>
    <row r="716" customFormat="false" ht="12.75" hidden="false" customHeight="true" outlineLevel="0" collapsed="false">
      <c r="A716" s="16" t="s">
        <v>456</v>
      </c>
      <c r="B716" s="17" t="n">
        <f aca="false">AVERAGE(E716:AE716)</f>
        <v>17.8518518518519</v>
      </c>
      <c r="C716" s="2" t="n">
        <f aca="false">MIN(E716:AE716)</f>
        <v>11</v>
      </c>
      <c r="D716" s="18" t="n">
        <f aca="false">MAX(E716:AE716)</f>
        <v>29</v>
      </c>
      <c r="E716" s="19" t="n">
        <v>11</v>
      </c>
      <c r="F716" s="19" t="n">
        <v>13</v>
      </c>
      <c r="G716" s="19" t="n">
        <v>14</v>
      </c>
      <c r="H716" s="19" t="n">
        <v>21</v>
      </c>
      <c r="I716" s="19" t="n">
        <v>18</v>
      </c>
      <c r="J716" s="19" t="n">
        <v>19</v>
      </c>
      <c r="K716" s="19" t="n">
        <v>20</v>
      </c>
      <c r="L716" s="19" t="n">
        <v>22</v>
      </c>
      <c r="M716" s="19" t="n">
        <v>21</v>
      </c>
      <c r="N716" s="19" t="n">
        <v>18</v>
      </c>
      <c r="O716" s="19" t="n">
        <v>18</v>
      </c>
      <c r="P716" s="19" t="n">
        <v>12</v>
      </c>
      <c r="Q716" s="19" t="n">
        <v>24</v>
      </c>
      <c r="R716" s="19" t="n">
        <v>25</v>
      </c>
      <c r="S716" s="19" t="n">
        <v>12</v>
      </c>
      <c r="T716" s="19" t="n">
        <v>29</v>
      </c>
      <c r="U716" s="19" t="n">
        <v>19</v>
      </c>
      <c r="V716" s="19" t="n">
        <v>19</v>
      </c>
      <c r="W716" s="19" t="n">
        <v>22</v>
      </c>
      <c r="X716" s="19" t="n">
        <v>17</v>
      </c>
      <c r="Y716" s="19" t="n">
        <v>15</v>
      </c>
      <c r="Z716" s="19" t="n">
        <v>12</v>
      </c>
      <c r="AA716" s="19" t="n">
        <v>19</v>
      </c>
      <c r="AB716" s="19" t="n">
        <v>16</v>
      </c>
      <c r="AC716" s="19" t="n">
        <v>15</v>
      </c>
      <c r="AD716" s="19" t="n">
        <v>19</v>
      </c>
      <c r="AE716" s="2" t="n">
        <v>12</v>
      </c>
      <c r="AF716" s="19"/>
      <c r="AG716" s="19"/>
      <c r="AH716" s="19"/>
    </row>
    <row r="717" customFormat="false" ht="12.75" hidden="false" customHeight="true" outlineLevel="0" collapsed="false">
      <c r="A717" s="16" t="s">
        <v>457</v>
      </c>
      <c r="B717" s="17" t="n">
        <f aca="false">AVERAGE(E717:AE717)</f>
        <v>17.8518518518519</v>
      </c>
      <c r="C717" s="2" t="n">
        <f aca="false">MIN(E717:AE717)</f>
        <v>11</v>
      </c>
      <c r="D717" s="18" t="n">
        <f aca="false">MAX(E717:AE717)</f>
        <v>29</v>
      </c>
      <c r="E717" s="19" t="n">
        <v>11</v>
      </c>
      <c r="F717" s="19" t="n">
        <v>13</v>
      </c>
      <c r="G717" s="19" t="n">
        <v>14</v>
      </c>
      <c r="H717" s="19" t="n">
        <v>21</v>
      </c>
      <c r="I717" s="19" t="n">
        <v>18</v>
      </c>
      <c r="J717" s="19" t="n">
        <v>19</v>
      </c>
      <c r="K717" s="19" t="n">
        <v>20</v>
      </c>
      <c r="L717" s="19" t="n">
        <v>22</v>
      </c>
      <c r="M717" s="19" t="n">
        <v>21</v>
      </c>
      <c r="N717" s="19" t="n">
        <v>18</v>
      </c>
      <c r="O717" s="19" t="n">
        <v>18</v>
      </c>
      <c r="P717" s="19" t="n">
        <v>12</v>
      </c>
      <c r="Q717" s="19" t="n">
        <v>24</v>
      </c>
      <c r="R717" s="19" t="n">
        <v>25</v>
      </c>
      <c r="S717" s="19" t="n">
        <v>12</v>
      </c>
      <c r="T717" s="19" t="n">
        <v>29</v>
      </c>
      <c r="U717" s="19" t="n">
        <v>19</v>
      </c>
      <c r="V717" s="19" t="n">
        <v>19</v>
      </c>
      <c r="W717" s="19" t="n">
        <v>22</v>
      </c>
      <c r="X717" s="19" t="n">
        <v>17</v>
      </c>
      <c r="Y717" s="19" t="n">
        <v>15</v>
      </c>
      <c r="Z717" s="19" t="n">
        <v>12</v>
      </c>
      <c r="AA717" s="19" t="n">
        <v>19</v>
      </c>
      <c r="AB717" s="19" t="n">
        <v>16</v>
      </c>
      <c r="AC717" s="19" t="n">
        <v>15</v>
      </c>
      <c r="AD717" s="19" t="n">
        <v>19</v>
      </c>
      <c r="AE717" s="2" t="n">
        <v>12</v>
      </c>
      <c r="AF717" s="19"/>
      <c r="AG717" s="19"/>
      <c r="AH717" s="19"/>
    </row>
    <row r="718" customFormat="false" ht="12.75" hidden="false" customHeight="true" outlineLevel="0" collapsed="false">
      <c r="A718" s="16" t="s">
        <v>458</v>
      </c>
      <c r="B718" s="17" t="n">
        <f aca="false">AVERAGE(E718:AE718)</f>
        <v>17.8518518518519</v>
      </c>
      <c r="C718" s="2" t="n">
        <f aca="false">MIN(E718:AE718)</f>
        <v>11</v>
      </c>
      <c r="D718" s="18" t="n">
        <f aca="false">MAX(E718:AE718)</f>
        <v>29</v>
      </c>
      <c r="E718" s="19" t="n">
        <v>11</v>
      </c>
      <c r="F718" s="19" t="n">
        <v>13</v>
      </c>
      <c r="G718" s="19" t="n">
        <v>14</v>
      </c>
      <c r="H718" s="19" t="n">
        <v>21</v>
      </c>
      <c r="I718" s="19" t="n">
        <v>18</v>
      </c>
      <c r="J718" s="19" t="n">
        <v>19</v>
      </c>
      <c r="K718" s="19" t="n">
        <v>20</v>
      </c>
      <c r="L718" s="19" t="n">
        <v>22</v>
      </c>
      <c r="M718" s="19" t="n">
        <v>21</v>
      </c>
      <c r="N718" s="19" t="n">
        <v>18</v>
      </c>
      <c r="O718" s="19" t="n">
        <v>18</v>
      </c>
      <c r="P718" s="19" t="n">
        <v>12</v>
      </c>
      <c r="Q718" s="19" t="n">
        <v>24</v>
      </c>
      <c r="R718" s="19" t="n">
        <v>25</v>
      </c>
      <c r="S718" s="19" t="n">
        <v>12</v>
      </c>
      <c r="T718" s="19" t="n">
        <v>29</v>
      </c>
      <c r="U718" s="19" t="n">
        <v>19</v>
      </c>
      <c r="V718" s="19" t="n">
        <v>19</v>
      </c>
      <c r="W718" s="19" t="n">
        <v>22</v>
      </c>
      <c r="X718" s="19" t="n">
        <v>17</v>
      </c>
      <c r="Y718" s="19" t="n">
        <v>15</v>
      </c>
      <c r="Z718" s="19" t="n">
        <v>12</v>
      </c>
      <c r="AA718" s="19" t="n">
        <v>19</v>
      </c>
      <c r="AB718" s="19" t="n">
        <v>16</v>
      </c>
      <c r="AC718" s="19" t="n">
        <v>15</v>
      </c>
      <c r="AD718" s="19" t="n">
        <v>19</v>
      </c>
      <c r="AE718" s="2" t="n">
        <v>12</v>
      </c>
      <c r="AF718" s="19"/>
      <c r="AG718" s="19"/>
      <c r="AH718" s="19"/>
    </row>
    <row r="719" customFormat="false" ht="12.75" hidden="false" customHeight="true" outlineLevel="0" collapsed="false">
      <c r="A719" s="16" t="s">
        <v>459</v>
      </c>
      <c r="B719" s="17" t="n">
        <f aca="false">AVERAGE(E719:AE719)</f>
        <v>17.8518518518519</v>
      </c>
      <c r="C719" s="2" t="n">
        <f aca="false">MIN(E719:AE719)</f>
        <v>11</v>
      </c>
      <c r="D719" s="18" t="n">
        <f aca="false">MAX(E719:AE719)</f>
        <v>29</v>
      </c>
      <c r="E719" s="19" t="n">
        <v>11</v>
      </c>
      <c r="F719" s="19" t="n">
        <v>13</v>
      </c>
      <c r="G719" s="19" t="n">
        <v>14</v>
      </c>
      <c r="H719" s="19" t="n">
        <v>21</v>
      </c>
      <c r="I719" s="19" t="n">
        <v>18</v>
      </c>
      <c r="J719" s="19" t="n">
        <v>19</v>
      </c>
      <c r="K719" s="19" t="n">
        <v>20</v>
      </c>
      <c r="L719" s="19" t="n">
        <v>22</v>
      </c>
      <c r="M719" s="19" t="n">
        <v>21</v>
      </c>
      <c r="N719" s="19" t="n">
        <v>18</v>
      </c>
      <c r="O719" s="19" t="n">
        <v>18</v>
      </c>
      <c r="P719" s="19" t="n">
        <v>12</v>
      </c>
      <c r="Q719" s="19" t="n">
        <v>24</v>
      </c>
      <c r="R719" s="19" t="n">
        <v>25</v>
      </c>
      <c r="S719" s="19" t="n">
        <v>12</v>
      </c>
      <c r="T719" s="19" t="n">
        <v>29</v>
      </c>
      <c r="U719" s="19" t="n">
        <v>19</v>
      </c>
      <c r="V719" s="19" t="n">
        <v>19</v>
      </c>
      <c r="W719" s="19" t="n">
        <v>22</v>
      </c>
      <c r="X719" s="19" t="n">
        <v>17</v>
      </c>
      <c r="Y719" s="19" t="n">
        <v>15</v>
      </c>
      <c r="Z719" s="19" t="n">
        <v>12</v>
      </c>
      <c r="AA719" s="19" t="n">
        <v>19</v>
      </c>
      <c r="AB719" s="19" t="n">
        <v>16</v>
      </c>
      <c r="AC719" s="19" t="n">
        <v>15</v>
      </c>
      <c r="AD719" s="19" t="n">
        <v>19</v>
      </c>
      <c r="AE719" s="2" t="n">
        <v>12</v>
      </c>
      <c r="AF719" s="19"/>
      <c r="AG719" s="19"/>
      <c r="AH719" s="19"/>
    </row>
    <row r="720" customFormat="false" ht="12.75" hidden="false" customHeight="true" outlineLevel="0" collapsed="false">
      <c r="A720" s="16" t="s">
        <v>460</v>
      </c>
      <c r="B720" s="17" t="n">
        <f aca="false">AVERAGE(E720:AE720)</f>
        <v>17.8518518518519</v>
      </c>
      <c r="C720" s="2" t="n">
        <f aca="false">MIN(E720:AE720)</f>
        <v>11</v>
      </c>
      <c r="D720" s="18" t="n">
        <f aca="false">MAX(E720:AE720)</f>
        <v>29</v>
      </c>
      <c r="E720" s="19" t="n">
        <v>11</v>
      </c>
      <c r="F720" s="19" t="n">
        <v>13</v>
      </c>
      <c r="G720" s="19" t="n">
        <v>14</v>
      </c>
      <c r="H720" s="19" t="n">
        <v>21</v>
      </c>
      <c r="I720" s="19" t="n">
        <v>18</v>
      </c>
      <c r="J720" s="19" t="n">
        <v>19</v>
      </c>
      <c r="K720" s="19" t="n">
        <v>20</v>
      </c>
      <c r="L720" s="19" t="n">
        <v>22</v>
      </c>
      <c r="M720" s="19" t="n">
        <v>21</v>
      </c>
      <c r="N720" s="19" t="n">
        <v>18</v>
      </c>
      <c r="O720" s="19" t="n">
        <v>18</v>
      </c>
      <c r="P720" s="19" t="n">
        <v>12</v>
      </c>
      <c r="Q720" s="19" t="n">
        <v>24</v>
      </c>
      <c r="R720" s="19" t="n">
        <v>25</v>
      </c>
      <c r="S720" s="19" t="n">
        <v>12</v>
      </c>
      <c r="T720" s="19" t="n">
        <v>29</v>
      </c>
      <c r="U720" s="19" t="n">
        <v>19</v>
      </c>
      <c r="V720" s="19" t="n">
        <v>19</v>
      </c>
      <c r="W720" s="19" t="n">
        <v>22</v>
      </c>
      <c r="X720" s="19" t="n">
        <v>17</v>
      </c>
      <c r="Y720" s="19" t="n">
        <v>15</v>
      </c>
      <c r="Z720" s="19" t="n">
        <v>12</v>
      </c>
      <c r="AA720" s="19" t="n">
        <v>19</v>
      </c>
      <c r="AB720" s="19" t="n">
        <v>16</v>
      </c>
      <c r="AC720" s="19" t="n">
        <v>15</v>
      </c>
      <c r="AD720" s="19" t="n">
        <v>19</v>
      </c>
      <c r="AE720" s="2" t="n">
        <v>12</v>
      </c>
      <c r="AF720" s="19"/>
      <c r="AG720" s="19"/>
      <c r="AH720" s="19"/>
    </row>
    <row r="721" customFormat="false" ht="12.75" hidden="false" customHeight="true" outlineLevel="0" collapsed="false">
      <c r="A721" s="16" t="s">
        <v>461</v>
      </c>
      <c r="B721" s="17" t="n">
        <f aca="false">AVERAGE(E721:AE721)</f>
        <v>17.8518518518519</v>
      </c>
      <c r="C721" s="2" t="n">
        <f aca="false">MIN(E721:AE721)</f>
        <v>11</v>
      </c>
      <c r="D721" s="18" t="n">
        <f aca="false">MAX(E721:AE721)</f>
        <v>29</v>
      </c>
      <c r="E721" s="19" t="n">
        <v>11</v>
      </c>
      <c r="F721" s="19" t="n">
        <v>13</v>
      </c>
      <c r="G721" s="19" t="n">
        <v>14</v>
      </c>
      <c r="H721" s="19" t="n">
        <v>21</v>
      </c>
      <c r="I721" s="19" t="n">
        <v>18</v>
      </c>
      <c r="J721" s="19" t="n">
        <v>19</v>
      </c>
      <c r="K721" s="19" t="n">
        <v>20</v>
      </c>
      <c r="L721" s="19" t="n">
        <v>22</v>
      </c>
      <c r="M721" s="19" t="n">
        <v>21</v>
      </c>
      <c r="N721" s="19" t="n">
        <v>18</v>
      </c>
      <c r="O721" s="19" t="n">
        <v>18</v>
      </c>
      <c r="P721" s="19" t="n">
        <v>12</v>
      </c>
      <c r="Q721" s="19" t="n">
        <v>24</v>
      </c>
      <c r="R721" s="19" t="n">
        <v>25</v>
      </c>
      <c r="S721" s="19" t="n">
        <v>12</v>
      </c>
      <c r="T721" s="19" t="n">
        <v>29</v>
      </c>
      <c r="U721" s="19" t="n">
        <v>19</v>
      </c>
      <c r="V721" s="19" t="n">
        <v>19</v>
      </c>
      <c r="W721" s="19" t="n">
        <v>22</v>
      </c>
      <c r="X721" s="19" t="n">
        <v>17</v>
      </c>
      <c r="Y721" s="19" t="n">
        <v>15</v>
      </c>
      <c r="Z721" s="19" t="n">
        <v>12</v>
      </c>
      <c r="AA721" s="19" t="n">
        <v>19</v>
      </c>
      <c r="AB721" s="19" t="n">
        <v>16</v>
      </c>
      <c r="AC721" s="19" t="n">
        <v>15</v>
      </c>
      <c r="AD721" s="19" t="n">
        <v>19</v>
      </c>
      <c r="AE721" s="2" t="n">
        <v>12</v>
      </c>
      <c r="AF721" s="19"/>
      <c r="AG721" s="19"/>
      <c r="AH721" s="19"/>
    </row>
    <row r="722" customFormat="false" ht="12.75" hidden="false" customHeight="true" outlineLevel="0" collapsed="false">
      <c r="A722" s="16" t="s">
        <v>462</v>
      </c>
      <c r="B722" s="17" t="n">
        <f aca="false">AVERAGE(E722:AE722)</f>
        <v>17.8518518518519</v>
      </c>
      <c r="C722" s="2" t="n">
        <f aca="false">MIN(E722:AE722)</f>
        <v>11</v>
      </c>
      <c r="D722" s="18" t="n">
        <f aca="false">MAX(E722:AE722)</f>
        <v>29</v>
      </c>
      <c r="E722" s="19" t="n">
        <v>11</v>
      </c>
      <c r="F722" s="19" t="n">
        <v>13</v>
      </c>
      <c r="G722" s="19" t="n">
        <v>14</v>
      </c>
      <c r="H722" s="19" t="n">
        <v>21</v>
      </c>
      <c r="I722" s="19" t="n">
        <v>18</v>
      </c>
      <c r="J722" s="19" t="n">
        <v>19</v>
      </c>
      <c r="K722" s="19" t="n">
        <v>20</v>
      </c>
      <c r="L722" s="19" t="n">
        <v>22</v>
      </c>
      <c r="M722" s="19" t="n">
        <v>21</v>
      </c>
      <c r="N722" s="19" t="n">
        <v>18</v>
      </c>
      <c r="O722" s="19" t="n">
        <v>18</v>
      </c>
      <c r="P722" s="19" t="n">
        <v>12</v>
      </c>
      <c r="Q722" s="19" t="n">
        <v>24</v>
      </c>
      <c r="R722" s="19" t="n">
        <v>25</v>
      </c>
      <c r="S722" s="19" t="n">
        <v>12</v>
      </c>
      <c r="T722" s="19" t="n">
        <v>29</v>
      </c>
      <c r="U722" s="19" t="n">
        <v>19</v>
      </c>
      <c r="V722" s="19" t="n">
        <v>19</v>
      </c>
      <c r="W722" s="19" t="n">
        <v>22</v>
      </c>
      <c r="X722" s="19" t="n">
        <v>17</v>
      </c>
      <c r="Y722" s="19" t="n">
        <v>15</v>
      </c>
      <c r="Z722" s="19" t="n">
        <v>12</v>
      </c>
      <c r="AA722" s="19" t="n">
        <v>19</v>
      </c>
      <c r="AB722" s="19" t="n">
        <v>16</v>
      </c>
      <c r="AC722" s="19" t="n">
        <v>15</v>
      </c>
      <c r="AD722" s="19" t="n">
        <v>19</v>
      </c>
      <c r="AE722" s="2" t="n">
        <v>12</v>
      </c>
      <c r="AF722" s="19"/>
      <c r="AG722" s="19"/>
      <c r="AH722" s="19"/>
    </row>
    <row r="723" customFormat="false" ht="12.75" hidden="false" customHeight="true" outlineLevel="0" collapsed="false">
      <c r="A723" s="16" t="s">
        <v>463</v>
      </c>
      <c r="B723" s="17" t="n">
        <f aca="false">AVERAGE(E723:AE723)</f>
        <v>17.8518518518519</v>
      </c>
      <c r="C723" s="2" t="n">
        <f aca="false">MIN(E723:AE723)</f>
        <v>11</v>
      </c>
      <c r="D723" s="18" t="n">
        <f aca="false">MAX(E723:AE723)</f>
        <v>29</v>
      </c>
      <c r="E723" s="19" t="n">
        <v>11</v>
      </c>
      <c r="F723" s="19" t="n">
        <v>13</v>
      </c>
      <c r="G723" s="19" t="n">
        <v>14</v>
      </c>
      <c r="H723" s="19" t="n">
        <v>21</v>
      </c>
      <c r="I723" s="19" t="n">
        <v>18</v>
      </c>
      <c r="J723" s="19" t="n">
        <v>19</v>
      </c>
      <c r="K723" s="19" t="n">
        <v>20</v>
      </c>
      <c r="L723" s="19" t="n">
        <v>22</v>
      </c>
      <c r="M723" s="19" t="n">
        <v>21</v>
      </c>
      <c r="N723" s="19" t="n">
        <v>18</v>
      </c>
      <c r="O723" s="19" t="n">
        <v>18</v>
      </c>
      <c r="P723" s="19" t="n">
        <v>12</v>
      </c>
      <c r="Q723" s="19" t="n">
        <v>24</v>
      </c>
      <c r="R723" s="19" t="n">
        <v>25</v>
      </c>
      <c r="S723" s="19" t="n">
        <v>12</v>
      </c>
      <c r="T723" s="19" t="n">
        <v>29</v>
      </c>
      <c r="U723" s="19" t="n">
        <v>19</v>
      </c>
      <c r="V723" s="19" t="n">
        <v>19</v>
      </c>
      <c r="W723" s="19" t="n">
        <v>22</v>
      </c>
      <c r="X723" s="19" t="n">
        <v>17</v>
      </c>
      <c r="Y723" s="19" t="n">
        <v>15</v>
      </c>
      <c r="Z723" s="19" t="n">
        <v>12</v>
      </c>
      <c r="AA723" s="19" t="n">
        <v>19</v>
      </c>
      <c r="AB723" s="19" t="n">
        <v>16</v>
      </c>
      <c r="AC723" s="19" t="n">
        <v>15</v>
      </c>
      <c r="AD723" s="19" t="n">
        <v>19</v>
      </c>
      <c r="AE723" s="2" t="n">
        <v>12</v>
      </c>
      <c r="AF723" s="19"/>
      <c r="AG723" s="19"/>
      <c r="AH723" s="19"/>
    </row>
    <row r="724" customFormat="false" ht="12.75" hidden="false" customHeight="true" outlineLevel="0" collapsed="false">
      <c r="A724" s="16" t="s">
        <v>464</v>
      </c>
      <c r="B724" s="17" t="n">
        <f aca="false">AVERAGE(E724:AE724)</f>
        <v>17.8518518518519</v>
      </c>
      <c r="C724" s="2" t="n">
        <f aca="false">MIN(E724:AE724)</f>
        <v>11</v>
      </c>
      <c r="D724" s="18" t="n">
        <f aca="false">MAX(E724:AE724)</f>
        <v>29</v>
      </c>
      <c r="E724" s="19" t="n">
        <v>11</v>
      </c>
      <c r="F724" s="19" t="n">
        <v>13</v>
      </c>
      <c r="G724" s="19" t="n">
        <v>14</v>
      </c>
      <c r="H724" s="19" t="n">
        <v>21</v>
      </c>
      <c r="I724" s="19" t="n">
        <v>18</v>
      </c>
      <c r="J724" s="19" t="n">
        <v>19</v>
      </c>
      <c r="K724" s="19" t="n">
        <v>20</v>
      </c>
      <c r="L724" s="19" t="n">
        <v>22</v>
      </c>
      <c r="M724" s="19" t="n">
        <v>21</v>
      </c>
      <c r="N724" s="19" t="n">
        <v>18</v>
      </c>
      <c r="O724" s="19" t="n">
        <v>18</v>
      </c>
      <c r="P724" s="19" t="n">
        <v>12</v>
      </c>
      <c r="Q724" s="19" t="n">
        <v>24</v>
      </c>
      <c r="R724" s="19" t="n">
        <v>25</v>
      </c>
      <c r="S724" s="19" t="n">
        <v>12</v>
      </c>
      <c r="T724" s="19" t="n">
        <v>29</v>
      </c>
      <c r="U724" s="19" t="n">
        <v>19</v>
      </c>
      <c r="V724" s="19" t="n">
        <v>19</v>
      </c>
      <c r="W724" s="19" t="n">
        <v>22</v>
      </c>
      <c r="X724" s="19" t="n">
        <v>17</v>
      </c>
      <c r="Y724" s="19" t="n">
        <v>15</v>
      </c>
      <c r="Z724" s="19" t="n">
        <v>12</v>
      </c>
      <c r="AA724" s="19" t="n">
        <v>19</v>
      </c>
      <c r="AB724" s="19" t="n">
        <v>16</v>
      </c>
      <c r="AC724" s="19" t="n">
        <v>15</v>
      </c>
      <c r="AD724" s="19" t="n">
        <v>19</v>
      </c>
      <c r="AE724" s="2" t="n">
        <v>12</v>
      </c>
      <c r="AF724" s="19"/>
      <c r="AG724" s="19"/>
      <c r="AH724" s="19"/>
    </row>
    <row r="725" customFormat="false" ht="12.75" hidden="false" customHeight="true" outlineLevel="0" collapsed="false">
      <c r="A725" s="16" t="s">
        <v>465</v>
      </c>
      <c r="B725" s="17" t="n">
        <f aca="false">AVERAGE(E725:AE725)</f>
        <v>17.8888888888889</v>
      </c>
      <c r="C725" s="2" t="n">
        <f aca="false">MIN(E725:AE725)</f>
        <v>11</v>
      </c>
      <c r="D725" s="18" t="n">
        <f aca="false">MAX(E725:AE725)</f>
        <v>29</v>
      </c>
      <c r="E725" s="19" t="n">
        <v>11</v>
      </c>
      <c r="F725" s="19" t="n">
        <v>13</v>
      </c>
      <c r="G725" s="19" t="n">
        <v>14</v>
      </c>
      <c r="H725" s="19" t="n">
        <v>21</v>
      </c>
      <c r="I725" s="19" t="n">
        <v>19</v>
      </c>
      <c r="J725" s="19" t="n">
        <v>19</v>
      </c>
      <c r="K725" s="19" t="n">
        <v>20</v>
      </c>
      <c r="L725" s="19" t="n">
        <v>22</v>
      </c>
      <c r="M725" s="19" t="n">
        <v>21</v>
      </c>
      <c r="N725" s="19" t="n">
        <v>18</v>
      </c>
      <c r="O725" s="19" t="n">
        <v>18</v>
      </c>
      <c r="P725" s="19" t="n">
        <v>12</v>
      </c>
      <c r="Q725" s="19" t="n">
        <v>24</v>
      </c>
      <c r="R725" s="19" t="n">
        <v>25</v>
      </c>
      <c r="S725" s="19" t="n">
        <v>12</v>
      </c>
      <c r="T725" s="19" t="n">
        <v>29</v>
      </c>
      <c r="U725" s="19" t="n">
        <v>19</v>
      </c>
      <c r="V725" s="19" t="n">
        <v>19</v>
      </c>
      <c r="W725" s="19" t="n">
        <v>22</v>
      </c>
      <c r="X725" s="19" t="n">
        <v>17</v>
      </c>
      <c r="Y725" s="19" t="n">
        <v>15</v>
      </c>
      <c r="Z725" s="19" t="n">
        <v>12</v>
      </c>
      <c r="AA725" s="19" t="n">
        <v>19</v>
      </c>
      <c r="AB725" s="19" t="n">
        <v>16</v>
      </c>
      <c r="AC725" s="19" t="n">
        <v>15</v>
      </c>
      <c r="AD725" s="19" t="n">
        <v>19</v>
      </c>
      <c r="AE725" s="2" t="n">
        <v>12</v>
      </c>
      <c r="AF725" s="19"/>
      <c r="AG725" s="19"/>
      <c r="AH725" s="19"/>
    </row>
    <row r="726" customFormat="false" ht="12.75" hidden="false" customHeight="true" outlineLevel="0" collapsed="false">
      <c r="A726" s="16" t="s">
        <v>466</v>
      </c>
      <c r="B726" s="17" t="n">
        <f aca="false">AVERAGE(E726:AE726)</f>
        <v>17.8888888888889</v>
      </c>
      <c r="C726" s="2" t="n">
        <f aca="false">MIN(E726:AE726)</f>
        <v>11</v>
      </c>
      <c r="D726" s="18" t="n">
        <f aca="false">MAX(E726:AE726)</f>
        <v>29</v>
      </c>
      <c r="E726" s="19" t="n">
        <v>11</v>
      </c>
      <c r="F726" s="19" t="n">
        <v>13</v>
      </c>
      <c r="G726" s="19" t="n">
        <v>14</v>
      </c>
      <c r="H726" s="19" t="n">
        <v>21</v>
      </c>
      <c r="I726" s="19" t="n">
        <v>19</v>
      </c>
      <c r="J726" s="19" t="n">
        <v>19</v>
      </c>
      <c r="K726" s="19" t="n">
        <v>20</v>
      </c>
      <c r="L726" s="19" t="n">
        <v>22</v>
      </c>
      <c r="M726" s="19" t="n">
        <v>21</v>
      </c>
      <c r="N726" s="19" t="n">
        <v>18</v>
      </c>
      <c r="O726" s="19" t="n">
        <v>18</v>
      </c>
      <c r="P726" s="19" t="n">
        <v>12</v>
      </c>
      <c r="Q726" s="19" t="n">
        <v>24</v>
      </c>
      <c r="R726" s="19" t="n">
        <v>25</v>
      </c>
      <c r="S726" s="19" t="n">
        <v>12</v>
      </c>
      <c r="T726" s="19" t="n">
        <v>29</v>
      </c>
      <c r="U726" s="19" t="n">
        <v>19</v>
      </c>
      <c r="V726" s="19" t="n">
        <v>19</v>
      </c>
      <c r="W726" s="19" t="n">
        <v>22</v>
      </c>
      <c r="X726" s="19" t="n">
        <v>17</v>
      </c>
      <c r="Y726" s="19" t="n">
        <v>15</v>
      </c>
      <c r="Z726" s="19" t="n">
        <v>12</v>
      </c>
      <c r="AA726" s="19" t="n">
        <v>19</v>
      </c>
      <c r="AB726" s="19" t="n">
        <v>16</v>
      </c>
      <c r="AC726" s="19" t="n">
        <v>15</v>
      </c>
      <c r="AD726" s="19" t="n">
        <v>19</v>
      </c>
      <c r="AE726" s="2" t="n">
        <v>12</v>
      </c>
      <c r="AF726" s="19"/>
      <c r="AG726" s="19"/>
      <c r="AH726" s="19"/>
    </row>
    <row r="727" customFormat="false" ht="12.75" hidden="false" customHeight="true" outlineLevel="0" collapsed="false">
      <c r="A727" s="16" t="s">
        <v>467</v>
      </c>
      <c r="B727" s="17" t="n">
        <f aca="false">AVERAGE(E727:AE727)</f>
        <v>17.8888888888889</v>
      </c>
      <c r="C727" s="2" t="n">
        <f aca="false">MIN(E727:AE727)</f>
        <v>11</v>
      </c>
      <c r="D727" s="18" t="n">
        <f aca="false">MAX(E727:AE727)</f>
        <v>29</v>
      </c>
      <c r="E727" s="19" t="n">
        <v>11</v>
      </c>
      <c r="F727" s="19" t="n">
        <v>13</v>
      </c>
      <c r="G727" s="19" t="n">
        <v>14</v>
      </c>
      <c r="H727" s="19" t="n">
        <v>21</v>
      </c>
      <c r="I727" s="19" t="n">
        <v>19</v>
      </c>
      <c r="J727" s="19" t="n">
        <v>19</v>
      </c>
      <c r="K727" s="19" t="n">
        <v>20</v>
      </c>
      <c r="L727" s="19" t="n">
        <v>22</v>
      </c>
      <c r="M727" s="19" t="n">
        <v>21</v>
      </c>
      <c r="N727" s="19" t="n">
        <v>18</v>
      </c>
      <c r="O727" s="19" t="n">
        <v>18</v>
      </c>
      <c r="P727" s="19" t="n">
        <v>12</v>
      </c>
      <c r="Q727" s="19" t="n">
        <v>24</v>
      </c>
      <c r="R727" s="19" t="n">
        <v>25</v>
      </c>
      <c r="S727" s="19" t="n">
        <v>12</v>
      </c>
      <c r="T727" s="19" t="n">
        <v>29</v>
      </c>
      <c r="U727" s="19" t="n">
        <v>19</v>
      </c>
      <c r="V727" s="19" t="n">
        <v>19</v>
      </c>
      <c r="W727" s="19" t="n">
        <v>22</v>
      </c>
      <c r="X727" s="19" t="n">
        <v>17</v>
      </c>
      <c r="Y727" s="19" t="n">
        <v>15</v>
      </c>
      <c r="Z727" s="19" t="n">
        <v>12</v>
      </c>
      <c r="AA727" s="19" t="n">
        <v>19</v>
      </c>
      <c r="AB727" s="19" t="n">
        <v>16</v>
      </c>
      <c r="AC727" s="19" t="n">
        <v>15</v>
      </c>
      <c r="AD727" s="19" t="n">
        <v>19</v>
      </c>
      <c r="AE727" s="2" t="n">
        <v>12</v>
      </c>
      <c r="AF727" s="19"/>
      <c r="AG727" s="19"/>
      <c r="AH727" s="19"/>
    </row>
    <row r="728" customFormat="false" ht="12.75" hidden="false" customHeight="true" outlineLevel="0" collapsed="false">
      <c r="A728" s="16" t="s">
        <v>468</v>
      </c>
      <c r="B728" s="17" t="n">
        <f aca="false">AVERAGE(E728:AE728)</f>
        <v>17.8888888888889</v>
      </c>
      <c r="C728" s="2" t="n">
        <f aca="false">MIN(E728:AE728)</f>
        <v>11</v>
      </c>
      <c r="D728" s="18" t="n">
        <f aca="false">MAX(E728:AE728)</f>
        <v>29</v>
      </c>
      <c r="E728" s="19" t="n">
        <v>11</v>
      </c>
      <c r="F728" s="19" t="n">
        <v>13</v>
      </c>
      <c r="G728" s="19" t="n">
        <v>14</v>
      </c>
      <c r="H728" s="19" t="n">
        <v>21</v>
      </c>
      <c r="I728" s="19" t="n">
        <v>19</v>
      </c>
      <c r="J728" s="19" t="n">
        <v>19</v>
      </c>
      <c r="K728" s="19" t="n">
        <v>20</v>
      </c>
      <c r="L728" s="19" t="n">
        <v>22</v>
      </c>
      <c r="M728" s="19" t="n">
        <v>21</v>
      </c>
      <c r="N728" s="19" t="n">
        <v>18</v>
      </c>
      <c r="O728" s="19" t="n">
        <v>18</v>
      </c>
      <c r="P728" s="19" t="n">
        <v>12</v>
      </c>
      <c r="Q728" s="19" t="n">
        <v>24</v>
      </c>
      <c r="R728" s="19" t="n">
        <v>25</v>
      </c>
      <c r="S728" s="19" t="n">
        <v>12</v>
      </c>
      <c r="T728" s="19" t="n">
        <v>29</v>
      </c>
      <c r="U728" s="19" t="n">
        <v>19</v>
      </c>
      <c r="V728" s="19" t="n">
        <v>19</v>
      </c>
      <c r="W728" s="19" t="n">
        <v>22</v>
      </c>
      <c r="X728" s="19" t="n">
        <v>17</v>
      </c>
      <c r="Y728" s="19" t="n">
        <v>15</v>
      </c>
      <c r="Z728" s="19" t="n">
        <v>12</v>
      </c>
      <c r="AA728" s="19" t="n">
        <v>19</v>
      </c>
      <c r="AB728" s="19" t="n">
        <v>16</v>
      </c>
      <c r="AC728" s="19" t="n">
        <v>15</v>
      </c>
      <c r="AD728" s="19" t="n">
        <v>19</v>
      </c>
      <c r="AE728" s="2" t="n">
        <v>12</v>
      </c>
      <c r="AF728" s="19"/>
      <c r="AG728" s="19"/>
      <c r="AH728" s="19"/>
    </row>
    <row r="729" customFormat="false" ht="12.75" hidden="false" customHeight="true" outlineLevel="0" collapsed="false">
      <c r="A729" s="16" t="s">
        <v>469</v>
      </c>
      <c r="B729" s="17" t="n">
        <f aca="false">AVERAGE(E729:AE729)</f>
        <v>17.8888888888889</v>
      </c>
      <c r="C729" s="2" t="n">
        <f aca="false">MIN(E729:AE729)</f>
        <v>11</v>
      </c>
      <c r="D729" s="18" t="n">
        <f aca="false">MAX(E729:AE729)</f>
        <v>29</v>
      </c>
      <c r="E729" s="19" t="n">
        <v>11</v>
      </c>
      <c r="F729" s="19" t="n">
        <v>13</v>
      </c>
      <c r="G729" s="19" t="n">
        <v>14</v>
      </c>
      <c r="H729" s="19" t="n">
        <v>21</v>
      </c>
      <c r="I729" s="19" t="n">
        <v>19</v>
      </c>
      <c r="J729" s="19" t="n">
        <v>19</v>
      </c>
      <c r="K729" s="19" t="n">
        <v>20</v>
      </c>
      <c r="L729" s="19" t="n">
        <v>22</v>
      </c>
      <c r="M729" s="19" t="n">
        <v>21</v>
      </c>
      <c r="N729" s="19" t="n">
        <v>18</v>
      </c>
      <c r="O729" s="19" t="n">
        <v>18</v>
      </c>
      <c r="P729" s="19" t="n">
        <v>12</v>
      </c>
      <c r="Q729" s="19" t="n">
        <v>24</v>
      </c>
      <c r="R729" s="19" t="n">
        <v>25</v>
      </c>
      <c r="S729" s="19" t="n">
        <v>12</v>
      </c>
      <c r="T729" s="19" t="n">
        <v>29</v>
      </c>
      <c r="U729" s="19" t="n">
        <v>19</v>
      </c>
      <c r="V729" s="19" t="n">
        <v>19</v>
      </c>
      <c r="W729" s="19" t="n">
        <v>22</v>
      </c>
      <c r="X729" s="19" t="n">
        <v>17</v>
      </c>
      <c r="Y729" s="19" t="n">
        <v>15</v>
      </c>
      <c r="Z729" s="19" t="n">
        <v>12</v>
      </c>
      <c r="AA729" s="19" t="n">
        <v>19</v>
      </c>
      <c r="AB729" s="19" t="n">
        <v>16</v>
      </c>
      <c r="AC729" s="19" t="n">
        <v>15</v>
      </c>
      <c r="AD729" s="19" t="n">
        <v>19</v>
      </c>
      <c r="AE729" s="2" t="n">
        <v>12</v>
      </c>
      <c r="AF729" s="19"/>
      <c r="AG729" s="19"/>
      <c r="AH729" s="19"/>
    </row>
    <row r="730" customFormat="false" ht="12.75" hidden="false" customHeight="true" outlineLevel="0" collapsed="false">
      <c r="A730" s="16" t="s">
        <v>470</v>
      </c>
      <c r="B730" s="17" t="n">
        <f aca="false">AVERAGE(E730:AE730)</f>
        <v>17.8888888888889</v>
      </c>
      <c r="C730" s="2" t="n">
        <f aca="false">MIN(E730:AE730)</f>
        <v>11</v>
      </c>
      <c r="D730" s="18" t="n">
        <f aca="false">MAX(E730:AE730)</f>
        <v>29</v>
      </c>
      <c r="E730" s="19" t="n">
        <v>11</v>
      </c>
      <c r="F730" s="19" t="n">
        <v>13</v>
      </c>
      <c r="G730" s="19" t="n">
        <v>14</v>
      </c>
      <c r="H730" s="19" t="n">
        <v>21</v>
      </c>
      <c r="I730" s="19" t="n">
        <v>19</v>
      </c>
      <c r="J730" s="19" t="n">
        <v>19</v>
      </c>
      <c r="K730" s="19" t="n">
        <v>20</v>
      </c>
      <c r="L730" s="19" t="n">
        <v>22</v>
      </c>
      <c r="M730" s="19" t="n">
        <v>21</v>
      </c>
      <c r="N730" s="19" t="n">
        <v>18</v>
      </c>
      <c r="O730" s="19" t="n">
        <v>18</v>
      </c>
      <c r="P730" s="19" t="n">
        <v>12</v>
      </c>
      <c r="Q730" s="19" t="n">
        <v>24</v>
      </c>
      <c r="R730" s="19" t="n">
        <v>25</v>
      </c>
      <c r="S730" s="19" t="n">
        <v>12</v>
      </c>
      <c r="T730" s="19" t="n">
        <v>29</v>
      </c>
      <c r="U730" s="19" t="n">
        <v>19</v>
      </c>
      <c r="V730" s="19" t="n">
        <v>19</v>
      </c>
      <c r="W730" s="19" t="n">
        <v>22</v>
      </c>
      <c r="X730" s="19" t="n">
        <v>17</v>
      </c>
      <c r="Y730" s="19" t="n">
        <v>15</v>
      </c>
      <c r="Z730" s="19" t="n">
        <v>12</v>
      </c>
      <c r="AA730" s="19" t="n">
        <v>19</v>
      </c>
      <c r="AB730" s="19" t="n">
        <v>16</v>
      </c>
      <c r="AC730" s="19" t="n">
        <v>15</v>
      </c>
      <c r="AD730" s="19" t="n">
        <v>19</v>
      </c>
      <c r="AE730" s="2" t="n">
        <v>12</v>
      </c>
      <c r="AF730" s="19"/>
      <c r="AG730" s="19"/>
      <c r="AH730" s="19"/>
    </row>
    <row r="731" customFormat="false" ht="12.75" hidden="false" customHeight="true" outlineLevel="0" collapsed="false">
      <c r="A731" s="16" t="s">
        <v>471</v>
      </c>
      <c r="B731" s="17" t="n">
        <f aca="false">AVERAGE(E731:AE731)</f>
        <v>17.9259259259259</v>
      </c>
      <c r="C731" s="2" t="n">
        <f aca="false">MIN(E731:AE731)</f>
        <v>11</v>
      </c>
      <c r="D731" s="18" t="n">
        <f aca="false">MAX(E731:AE731)</f>
        <v>29</v>
      </c>
      <c r="E731" s="19" t="n">
        <v>11</v>
      </c>
      <c r="F731" s="19" t="n">
        <v>13</v>
      </c>
      <c r="G731" s="19" t="n">
        <v>14</v>
      </c>
      <c r="H731" s="19" t="n">
        <v>21</v>
      </c>
      <c r="I731" s="19" t="n">
        <v>19</v>
      </c>
      <c r="J731" s="19" t="n">
        <v>19</v>
      </c>
      <c r="K731" s="19" t="n">
        <v>20</v>
      </c>
      <c r="L731" s="19" t="n">
        <v>22</v>
      </c>
      <c r="M731" s="19" t="n">
        <v>21</v>
      </c>
      <c r="N731" s="19" t="n">
        <v>18</v>
      </c>
      <c r="O731" s="19" t="n">
        <v>18</v>
      </c>
      <c r="P731" s="19" t="n">
        <v>12</v>
      </c>
      <c r="Q731" s="19" t="n">
        <v>24</v>
      </c>
      <c r="R731" s="19" t="n">
        <v>25</v>
      </c>
      <c r="S731" s="19" t="n">
        <v>12</v>
      </c>
      <c r="T731" s="19" t="n">
        <v>29</v>
      </c>
      <c r="U731" s="19" t="n">
        <v>19</v>
      </c>
      <c r="V731" s="19" t="n">
        <v>19</v>
      </c>
      <c r="W731" s="19" t="n">
        <v>22</v>
      </c>
      <c r="X731" s="19" t="n">
        <v>17</v>
      </c>
      <c r="Y731" s="19" t="n">
        <v>15</v>
      </c>
      <c r="Z731" s="19" t="n">
        <v>12</v>
      </c>
      <c r="AA731" s="19" t="n">
        <v>19</v>
      </c>
      <c r="AB731" s="19" t="n">
        <v>16</v>
      </c>
      <c r="AC731" s="19" t="n">
        <v>16</v>
      </c>
      <c r="AD731" s="19" t="n">
        <v>19</v>
      </c>
      <c r="AE731" s="2" t="n">
        <v>12</v>
      </c>
      <c r="AF731" s="19"/>
      <c r="AG731" s="19"/>
      <c r="AH731" s="19"/>
    </row>
    <row r="732" customFormat="false" ht="12.75" hidden="false" customHeight="true" outlineLevel="0" collapsed="false">
      <c r="A732" s="16" t="s">
        <v>472</v>
      </c>
      <c r="B732" s="17" t="n">
        <f aca="false">AVERAGE(E732:AE732)</f>
        <v>17.9259259259259</v>
      </c>
      <c r="C732" s="2" t="n">
        <f aca="false">MIN(E732:AE732)</f>
        <v>11</v>
      </c>
      <c r="D732" s="18" t="n">
        <f aca="false">MAX(E732:AE732)</f>
        <v>29</v>
      </c>
      <c r="E732" s="19" t="n">
        <v>11</v>
      </c>
      <c r="F732" s="19" t="n">
        <v>13</v>
      </c>
      <c r="G732" s="19" t="n">
        <v>14</v>
      </c>
      <c r="H732" s="19" t="n">
        <v>21</v>
      </c>
      <c r="I732" s="19" t="n">
        <v>19</v>
      </c>
      <c r="J732" s="19" t="n">
        <v>19</v>
      </c>
      <c r="K732" s="19" t="n">
        <v>20</v>
      </c>
      <c r="L732" s="19" t="n">
        <v>22</v>
      </c>
      <c r="M732" s="19" t="n">
        <v>21</v>
      </c>
      <c r="N732" s="19" t="n">
        <v>18</v>
      </c>
      <c r="O732" s="19" t="n">
        <v>18</v>
      </c>
      <c r="P732" s="19" t="n">
        <v>12</v>
      </c>
      <c r="Q732" s="19" t="n">
        <v>24</v>
      </c>
      <c r="R732" s="19" t="n">
        <v>25</v>
      </c>
      <c r="S732" s="19" t="n">
        <v>12</v>
      </c>
      <c r="T732" s="19" t="n">
        <v>29</v>
      </c>
      <c r="U732" s="19" t="n">
        <v>19</v>
      </c>
      <c r="V732" s="19" t="n">
        <v>19</v>
      </c>
      <c r="W732" s="19" t="n">
        <v>22</v>
      </c>
      <c r="X732" s="19" t="n">
        <v>17</v>
      </c>
      <c r="Y732" s="19" t="n">
        <v>15</v>
      </c>
      <c r="Z732" s="19" t="n">
        <v>12</v>
      </c>
      <c r="AA732" s="19" t="n">
        <v>19</v>
      </c>
      <c r="AB732" s="19" t="n">
        <v>16</v>
      </c>
      <c r="AC732" s="19" t="n">
        <v>16</v>
      </c>
      <c r="AD732" s="19" t="n">
        <v>19</v>
      </c>
      <c r="AE732" s="2" t="n">
        <v>12</v>
      </c>
      <c r="AF732" s="19"/>
      <c r="AG732" s="19"/>
      <c r="AH732" s="19"/>
    </row>
    <row r="733" customFormat="false" ht="12.75" hidden="false" customHeight="true" outlineLevel="0" collapsed="false">
      <c r="A733" s="16" t="s">
        <v>473</v>
      </c>
      <c r="B733" s="17" t="n">
        <f aca="false">AVERAGE(E733:AE733)</f>
        <v>17.9259259259259</v>
      </c>
      <c r="C733" s="2" t="n">
        <f aca="false">MIN(E733:AE733)</f>
        <v>11</v>
      </c>
      <c r="D733" s="18" t="n">
        <f aca="false">MAX(E733:AE733)</f>
        <v>29</v>
      </c>
      <c r="E733" s="19" t="n">
        <v>11</v>
      </c>
      <c r="F733" s="19" t="n">
        <v>13</v>
      </c>
      <c r="G733" s="19" t="n">
        <v>14</v>
      </c>
      <c r="H733" s="19" t="n">
        <v>21</v>
      </c>
      <c r="I733" s="19" t="n">
        <v>19</v>
      </c>
      <c r="J733" s="19" t="n">
        <v>19</v>
      </c>
      <c r="K733" s="19" t="n">
        <v>20</v>
      </c>
      <c r="L733" s="19" t="n">
        <v>22</v>
      </c>
      <c r="M733" s="19" t="n">
        <v>21</v>
      </c>
      <c r="N733" s="19" t="n">
        <v>18</v>
      </c>
      <c r="O733" s="19" t="n">
        <v>18</v>
      </c>
      <c r="P733" s="19" t="n">
        <v>12</v>
      </c>
      <c r="Q733" s="19" t="n">
        <v>24</v>
      </c>
      <c r="R733" s="19" t="n">
        <v>25</v>
      </c>
      <c r="S733" s="19" t="n">
        <v>12</v>
      </c>
      <c r="T733" s="19" t="n">
        <v>29</v>
      </c>
      <c r="U733" s="19" t="n">
        <v>19</v>
      </c>
      <c r="V733" s="19" t="n">
        <v>19</v>
      </c>
      <c r="W733" s="19" t="n">
        <v>22</v>
      </c>
      <c r="X733" s="19" t="n">
        <v>17</v>
      </c>
      <c r="Y733" s="19" t="n">
        <v>15</v>
      </c>
      <c r="Z733" s="19" t="n">
        <v>12</v>
      </c>
      <c r="AA733" s="19" t="n">
        <v>19</v>
      </c>
      <c r="AB733" s="19" t="n">
        <v>16</v>
      </c>
      <c r="AC733" s="19" t="n">
        <v>16</v>
      </c>
      <c r="AD733" s="19" t="n">
        <v>19</v>
      </c>
      <c r="AE733" s="2" t="n">
        <v>12</v>
      </c>
      <c r="AF733" s="19"/>
      <c r="AG733" s="19"/>
      <c r="AH733" s="19"/>
    </row>
    <row r="734" customFormat="false" ht="12.75" hidden="false" customHeight="true" outlineLevel="0" collapsed="false">
      <c r="A734" s="16" t="s">
        <v>474</v>
      </c>
      <c r="B734" s="17" t="n">
        <f aca="false">AVERAGE(E734:AE734)</f>
        <v>17.9259259259259</v>
      </c>
      <c r="C734" s="2" t="n">
        <f aca="false">MIN(E734:AE734)</f>
        <v>11</v>
      </c>
      <c r="D734" s="18" t="n">
        <f aca="false">MAX(E734:AE734)</f>
        <v>29</v>
      </c>
      <c r="E734" s="19" t="n">
        <v>11</v>
      </c>
      <c r="F734" s="19" t="n">
        <v>13</v>
      </c>
      <c r="G734" s="19" t="n">
        <v>14</v>
      </c>
      <c r="H734" s="19" t="n">
        <v>21</v>
      </c>
      <c r="I734" s="19" t="n">
        <v>19</v>
      </c>
      <c r="J734" s="19" t="n">
        <v>19</v>
      </c>
      <c r="K734" s="19" t="n">
        <v>20</v>
      </c>
      <c r="L734" s="19" t="n">
        <v>22</v>
      </c>
      <c r="M734" s="19" t="n">
        <v>21</v>
      </c>
      <c r="N734" s="19" t="n">
        <v>18</v>
      </c>
      <c r="O734" s="19" t="n">
        <v>18</v>
      </c>
      <c r="P734" s="19" t="n">
        <v>12</v>
      </c>
      <c r="Q734" s="19" t="n">
        <v>24</v>
      </c>
      <c r="R734" s="19" t="n">
        <v>25</v>
      </c>
      <c r="S734" s="19" t="n">
        <v>12</v>
      </c>
      <c r="T734" s="19" t="n">
        <v>29</v>
      </c>
      <c r="U734" s="19" t="n">
        <v>19</v>
      </c>
      <c r="V734" s="19" t="n">
        <v>19</v>
      </c>
      <c r="W734" s="19" t="n">
        <v>22</v>
      </c>
      <c r="X734" s="19" t="n">
        <v>17</v>
      </c>
      <c r="Y734" s="19" t="n">
        <v>15</v>
      </c>
      <c r="Z734" s="19" t="n">
        <v>12</v>
      </c>
      <c r="AA734" s="19" t="n">
        <v>19</v>
      </c>
      <c r="AB734" s="19" t="n">
        <v>16</v>
      </c>
      <c r="AC734" s="19" t="n">
        <v>16</v>
      </c>
      <c r="AD734" s="19" t="n">
        <v>19</v>
      </c>
      <c r="AE734" s="2" t="n">
        <v>12</v>
      </c>
      <c r="AF734" s="19"/>
      <c r="AG734" s="19"/>
      <c r="AH734" s="19"/>
    </row>
    <row r="735" customFormat="false" ht="12.75" hidden="false" customHeight="true" outlineLevel="0" collapsed="false">
      <c r="A735" s="16" t="s">
        <v>475</v>
      </c>
      <c r="B735" s="17" t="n">
        <f aca="false">AVERAGE(E735:AE735)</f>
        <v>17.9259259259259</v>
      </c>
      <c r="C735" s="2" t="n">
        <f aca="false">MIN(E735:AE735)</f>
        <v>11</v>
      </c>
      <c r="D735" s="18" t="n">
        <f aca="false">MAX(E735:AE735)</f>
        <v>29</v>
      </c>
      <c r="E735" s="19" t="n">
        <v>11</v>
      </c>
      <c r="F735" s="19" t="n">
        <v>13</v>
      </c>
      <c r="G735" s="19" t="n">
        <v>14</v>
      </c>
      <c r="H735" s="19" t="n">
        <v>21</v>
      </c>
      <c r="I735" s="19" t="n">
        <v>19</v>
      </c>
      <c r="J735" s="19" t="n">
        <v>19</v>
      </c>
      <c r="K735" s="19" t="n">
        <v>20</v>
      </c>
      <c r="L735" s="19" t="n">
        <v>22</v>
      </c>
      <c r="M735" s="19" t="n">
        <v>21</v>
      </c>
      <c r="N735" s="19" t="n">
        <v>18</v>
      </c>
      <c r="O735" s="19" t="n">
        <v>18</v>
      </c>
      <c r="P735" s="19" t="n">
        <v>12</v>
      </c>
      <c r="Q735" s="19" t="n">
        <v>24</v>
      </c>
      <c r="R735" s="19" t="n">
        <v>25</v>
      </c>
      <c r="S735" s="19" t="n">
        <v>12</v>
      </c>
      <c r="T735" s="19" t="n">
        <v>29</v>
      </c>
      <c r="U735" s="19" t="n">
        <v>19</v>
      </c>
      <c r="V735" s="19" t="n">
        <v>19</v>
      </c>
      <c r="W735" s="19" t="n">
        <v>22</v>
      </c>
      <c r="X735" s="19" t="n">
        <v>17</v>
      </c>
      <c r="Y735" s="19" t="n">
        <v>15</v>
      </c>
      <c r="Z735" s="19" t="n">
        <v>12</v>
      </c>
      <c r="AA735" s="19" t="n">
        <v>19</v>
      </c>
      <c r="AB735" s="19" t="n">
        <v>16</v>
      </c>
      <c r="AC735" s="19" t="n">
        <v>16</v>
      </c>
      <c r="AD735" s="19" t="n">
        <v>19</v>
      </c>
      <c r="AE735" s="2" t="n">
        <v>12</v>
      </c>
      <c r="AF735" s="19"/>
      <c r="AG735" s="19"/>
      <c r="AH735" s="19"/>
    </row>
    <row r="736" customFormat="false" ht="12.75" hidden="false" customHeight="true" outlineLevel="0" collapsed="false">
      <c r="A736" s="16" t="s">
        <v>476</v>
      </c>
      <c r="B736" s="17" t="n">
        <f aca="false">AVERAGE(E736:AE736)</f>
        <v>17.9259259259259</v>
      </c>
      <c r="C736" s="2" t="n">
        <f aca="false">MIN(E736:AE736)</f>
        <v>11</v>
      </c>
      <c r="D736" s="18" t="n">
        <f aca="false">MAX(E736:AE736)</f>
        <v>29</v>
      </c>
      <c r="E736" s="19" t="n">
        <v>11</v>
      </c>
      <c r="F736" s="19" t="n">
        <v>13</v>
      </c>
      <c r="G736" s="19" t="n">
        <v>14</v>
      </c>
      <c r="H736" s="19" t="n">
        <v>21</v>
      </c>
      <c r="I736" s="19" t="n">
        <v>19</v>
      </c>
      <c r="J736" s="19" t="n">
        <v>19</v>
      </c>
      <c r="K736" s="19" t="n">
        <v>20</v>
      </c>
      <c r="L736" s="19" t="n">
        <v>22</v>
      </c>
      <c r="M736" s="19" t="n">
        <v>21</v>
      </c>
      <c r="N736" s="19" t="n">
        <v>18</v>
      </c>
      <c r="O736" s="19" t="n">
        <v>18</v>
      </c>
      <c r="P736" s="19" t="n">
        <v>12</v>
      </c>
      <c r="Q736" s="19" t="n">
        <v>24</v>
      </c>
      <c r="R736" s="19" t="n">
        <v>25</v>
      </c>
      <c r="S736" s="19" t="n">
        <v>12</v>
      </c>
      <c r="T736" s="19" t="n">
        <v>29</v>
      </c>
      <c r="U736" s="19" t="n">
        <v>19</v>
      </c>
      <c r="V736" s="19" t="n">
        <v>19</v>
      </c>
      <c r="W736" s="19" t="n">
        <v>22</v>
      </c>
      <c r="X736" s="19" t="n">
        <v>17</v>
      </c>
      <c r="Y736" s="19" t="n">
        <v>15</v>
      </c>
      <c r="Z736" s="19" t="n">
        <v>12</v>
      </c>
      <c r="AA736" s="19" t="n">
        <v>19</v>
      </c>
      <c r="AB736" s="19" t="n">
        <v>16</v>
      </c>
      <c r="AC736" s="19" t="n">
        <v>16</v>
      </c>
      <c r="AD736" s="19" t="n">
        <v>19</v>
      </c>
      <c r="AE736" s="2" t="n">
        <v>12</v>
      </c>
      <c r="AF736" s="19"/>
      <c r="AG736" s="19"/>
      <c r="AH736" s="19"/>
    </row>
    <row r="737" customFormat="false" ht="12.75" hidden="false" customHeight="true" outlineLevel="0" collapsed="false">
      <c r="A737" s="16" t="s">
        <v>477</v>
      </c>
      <c r="B737" s="17" t="n">
        <f aca="false">AVERAGE(E737:AE737)</f>
        <v>17.9259259259259</v>
      </c>
      <c r="C737" s="2" t="n">
        <f aca="false">MIN(E737:AE737)</f>
        <v>11</v>
      </c>
      <c r="D737" s="18" t="n">
        <f aca="false">MAX(E737:AE737)</f>
        <v>29</v>
      </c>
      <c r="E737" s="19" t="n">
        <v>11</v>
      </c>
      <c r="F737" s="19" t="n">
        <v>13</v>
      </c>
      <c r="G737" s="19" t="n">
        <v>14</v>
      </c>
      <c r="H737" s="19" t="n">
        <v>21</v>
      </c>
      <c r="I737" s="19" t="n">
        <v>19</v>
      </c>
      <c r="J737" s="19" t="n">
        <v>19</v>
      </c>
      <c r="K737" s="19" t="n">
        <v>20</v>
      </c>
      <c r="L737" s="19" t="n">
        <v>22</v>
      </c>
      <c r="M737" s="19" t="n">
        <v>21</v>
      </c>
      <c r="N737" s="19" t="n">
        <v>18</v>
      </c>
      <c r="O737" s="19" t="n">
        <v>18</v>
      </c>
      <c r="P737" s="19" t="n">
        <v>12</v>
      </c>
      <c r="Q737" s="19" t="n">
        <v>24</v>
      </c>
      <c r="R737" s="19" t="n">
        <v>25</v>
      </c>
      <c r="S737" s="19" t="n">
        <v>12</v>
      </c>
      <c r="T737" s="19" t="n">
        <v>29</v>
      </c>
      <c r="U737" s="19" t="n">
        <v>19</v>
      </c>
      <c r="V737" s="19" t="n">
        <v>19</v>
      </c>
      <c r="W737" s="19" t="n">
        <v>22</v>
      </c>
      <c r="X737" s="19" t="n">
        <v>17</v>
      </c>
      <c r="Y737" s="19" t="n">
        <v>15</v>
      </c>
      <c r="Z737" s="19" t="n">
        <v>12</v>
      </c>
      <c r="AA737" s="19" t="n">
        <v>19</v>
      </c>
      <c r="AB737" s="19" t="n">
        <v>16</v>
      </c>
      <c r="AC737" s="19" t="n">
        <v>16</v>
      </c>
      <c r="AD737" s="19" t="n">
        <v>19</v>
      </c>
      <c r="AE737" s="2" t="n">
        <v>12</v>
      </c>
      <c r="AF737" s="19"/>
      <c r="AG737" s="19"/>
      <c r="AH737" s="19"/>
    </row>
    <row r="738" customFormat="false" ht="12.75" hidden="false" customHeight="true" outlineLevel="0" collapsed="false">
      <c r="A738" s="16" t="s">
        <v>478</v>
      </c>
      <c r="B738" s="17" t="n">
        <f aca="false">AVERAGE(E738:AE738)</f>
        <v>17.9259259259259</v>
      </c>
      <c r="C738" s="2" t="n">
        <f aca="false">MIN(E738:AE738)</f>
        <v>11</v>
      </c>
      <c r="D738" s="18" t="n">
        <f aca="false">MAX(E738:AE738)</f>
        <v>29</v>
      </c>
      <c r="E738" s="19" t="n">
        <v>11</v>
      </c>
      <c r="F738" s="19" t="n">
        <v>13</v>
      </c>
      <c r="G738" s="19" t="n">
        <v>14</v>
      </c>
      <c r="H738" s="19" t="n">
        <v>21</v>
      </c>
      <c r="I738" s="19" t="n">
        <v>19</v>
      </c>
      <c r="J738" s="19" t="n">
        <v>19</v>
      </c>
      <c r="K738" s="19" t="n">
        <v>20</v>
      </c>
      <c r="L738" s="19" t="n">
        <v>22</v>
      </c>
      <c r="M738" s="19" t="n">
        <v>21</v>
      </c>
      <c r="N738" s="19" t="n">
        <v>18</v>
      </c>
      <c r="O738" s="19" t="n">
        <v>18</v>
      </c>
      <c r="P738" s="19" t="n">
        <v>12</v>
      </c>
      <c r="Q738" s="19" t="n">
        <v>24</v>
      </c>
      <c r="R738" s="19" t="n">
        <v>25</v>
      </c>
      <c r="S738" s="19" t="n">
        <v>12</v>
      </c>
      <c r="T738" s="19" t="n">
        <v>29</v>
      </c>
      <c r="U738" s="19" t="n">
        <v>19</v>
      </c>
      <c r="V738" s="19" t="n">
        <v>19</v>
      </c>
      <c r="W738" s="19" t="n">
        <v>22</v>
      </c>
      <c r="X738" s="19" t="n">
        <v>17</v>
      </c>
      <c r="Y738" s="19" t="n">
        <v>15</v>
      </c>
      <c r="Z738" s="19" t="n">
        <v>12</v>
      </c>
      <c r="AA738" s="19" t="n">
        <v>19</v>
      </c>
      <c r="AB738" s="19" t="n">
        <v>16</v>
      </c>
      <c r="AC738" s="19" t="n">
        <v>16</v>
      </c>
      <c r="AD738" s="19" t="n">
        <v>19</v>
      </c>
      <c r="AE738" s="2" t="n">
        <v>12</v>
      </c>
      <c r="AF738" s="19"/>
      <c r="AG738" s="19"/>
      <c r="AH738" s="19"/>
    </row>
    <row r="739" customFormat="false" ht="12.75" hidden="false" customHeight="true" outlineLevel="0" collapsed="false">
      <c r="A739" s="16" t="s">
        <v>479</v>
      </c>
      <c r="B739" s="17" t="n">
        <f aca="false">AVERAGE(E739:AE739)</f>
        <v>17.9259259259259</v>
      </c>
      <c r="C739" s="2" t="n">
        <f aca="false">MIN(E739:AE739)</f>
        <v>11</v>
      </c>
      <c r="D739" s="18" t="n">
        <f aca="false">MAX(E739:AE739)</f>
        <v>29</v>
      </c>
      <c r="E739" s="19" t="n">
        <v>11</v>
      </c>
      <c r="F739" s="19" t="n">
        <v>13</v>
      </c>
      <c r="G739" s="19" t="n">
        <v>14</v>
      </c>
      <c r="H739" s="19" t="n">
        <v>21</v>
      </c>
      <c r="I739" s="19" t="n">
        <v>19</v>
      </c>
      <c r="J739" s="19" t="n">
        <v>19</v>
      </c>
      <c r="K739" s="19" t="n">
        <v>20</v>
      </c>
      <c r="L739" s="19" t="n">
        <v>22</v>
      </c>
      <c r="M739" s="19" t="n">
        <v>21</v>
      </c>
      <c r="N739" s="19" t="n">
        <v>18</v>
      </c>
      <c r="O739" s="19" t="n">
        <v>18</v>
      </c>
      <c r="P739" s="19" t="n">
        <v>12</v>
      </c>
      <c r="Q739" s="19" t="n">
        <v>24</v>
      </c>
      <c r="R739" s="19" t="n">
        <v>25</v>
      </c>
      <c r="S739" s="19" t="n">
        <v>12</v>
      </c>
      <c r="T739" s="19" t="n">
        <v>29</v>
      </c>
      <c r="U739" s="19" t="n">
        <v>19</v>
      </c>
      <c r="V739" s="19" t="n">
        <v>19</v>
      </c>
      <c r="W739" s="19" t="n">
        <v>22</v>
      </c>
      <c r="X739" s="19" t="n">
        <v>17</v>
      </c>
      <c r="Y739" s="19" t="n">
        <v>15</v>
      </c>
      <c r="Z739" s="19" t="n">
        <v>12</v>
      </c>
      <c r="AA739" s="19" t="n">
        <v>19</v>
      </c>
      <c r="AB739" s="19" t="n">
        <v>16</v>
      </c>
      <c r="AC739" s="19" t="n">
        <v>16</v>
      </c>
      <c r="AD739" s="19" t="n">
        <v>19</v>
      </c>
      <c r="AE739" s="2" t="n">
        <v>12</v>
      </c>
      <c r="AF739" s="19"/>
      <c r="AG739" s="19"/>
      <c r="AH739" s="19"/>
    </row>
    <row r="740" customFormat="false" ht="12.75" hidden="false" customHeight="true" outlineLevel="0" collapsed="false">
      <c r="A740" s="16" t="s">
        <v>480</v>
      </c>
      <c r="B740" s="17" t="n">
        <f aca="false">AVERAGE(E740:AE740)</f>
        <v>17.9259259259259</v>
      </c>
      <c r="C740" s="2" t="n">
        <f aca="false">MIN(E740:AE740)</f>
        <v>11</v>
      </c>
      <c r="D740" s="18" t="n">
        <f aca="false">MAX(E740:AE740)</f>
        <v>29</v>
      </c>
      <c r="E740" s="19" t="n">
        <v>11</v>
      </c>
      <c r="F740" s="19" t="n">
        <v>13</v>
      </c>
      <c r="G740" s="19" t="n">
        <v>14</v>
      </c>
      <c r="H740" s="19" t="n">
        <v>21</v>
      </c>
      <c r="I740" s="19" t="n">
        <v>19</v>
      </c>
      <c r="J740" s="19" t="n">
        <v>19</v>
      </c>
      <c r="K740" s="19" t="n">
        <v>20</v>
      </c>
      <c r="L740" s="19" t="n">
        <v>22</v>
      </c>
      <c r="M740" s="19" t="n">
        <v>21</v>
      </c>
      <c r="N740" s="19" t="n">
        <v>18</v>
      </c>
      <c r="O740" s="19" t="n">
        <v>18</v>
      </c>
      <c r="P740" s="19" t="n">
        <v>12</v>
      </c>
      <c r="Q740" s="19" t="n">
        <v>24</v>
      </c>
      <c r="R740" s="19" t="n">
        <v>25</v>
      </c>
      <c r="S740" s="19" t="n">
        <v>12</v>
      </c>
      <c r="T740" s="19" t="n">
        <v>29</v>
      </c>
      <c r="U740" s="19" t="n">
        <v>19</v>
      </c>
      <c r="V740" s="19" t="n">
        <v>19</v>
      </c>
      <c r="W740" s="19" t="n">
        <v>22</v>
      </c>
      <c r="X740" s="19" t="n">
        <v>17</v>
      </c>
      <c r="Y740" s="19" t="n">
        <v>15</v>
      </c>
      <c r="Z740" s="19" t="n">
        <v>12</v>
      </c>
      <c r="AA740" s="19" t="n">
        <v>19</v>
      </c>
      <c r="AB740" s="19" t="n">
        <v>16</v>
      </c>
      <c r="AC740" s="19" t="n">
        <v>16</v>
      </c>
      <c r="AD740" s="19" t="n">
        <v>19</v>
      </c>
      <c r="AE740" s="2" t="n">
        <v>12</v>
      </c>
      <c r="AF740" s="19"/>
      <c r="AG740" s="19"/>
      <c r="AH740" s="19"/>
    </row>
    <row r="741" customFormat="false" ht="12.75" hidden="false" customHeight="true" outlineLevel="0" collapsed="false">
      <c r="A741" s="88" t="s">
        <v>481</v>
      </c>
      <c r="B741" s="128" t="n">
        <f aca="false">AVERAGE(E741:AE741)</f>
        <v>17.9259259259259</v>
      </c>
      <c r="C741" s="129" t="n">
        <f aca="false">MIN(E741:AE741)</f>
        <v>11</v>
      </c>
      <c r="D741" s="130" t="n">
        <f aca="false">MAX(E741:AE741)</f>
        <v>29</v>
      </c>
      <c r="E741" s="81" t="n">
        <v>11</v>
      </c>
      <c r="F741" s="81" t="n">
        <v>13</v>
      </c>
      <c r="G741" s="81" t="n">
        <v>14</v>
      </c>
      <c r="H741" s="81" t="n">
        <v>21</v>
      </c>
      <c r="I741" s="81" t="n">
        <v>19</v>
      </c>
      <c r="J741" s="81" t="n">
        <v>19</v>
      </c>
      <c r="K741" s="81" t="n">
        <v>20</v>
      </c>
      <c r="L741" s="81" t="n">
        <v>22</v>
      </c>
      <c r="M741" s="131" t="n">
        <v>21</v>
      </c>
      <c r="N741" s="131" t="n">
        <v>18</v>
      </c>
      <c r="O741" s="131" t="n">
        <v>18</v>
      </c>
      <c r="P741" s="81" t="n">
        <v>12</v>
      </c>
      <c r="Q741" s="81" t="n">
        <v>24</v>
      </c>
      <c r="R741" s="81" t="n">
        <v>25</v>
      </c>
      <c r="S741" s="81" t="n">
        <v>12</v>
      </c>
      <c r="T741" s="81" t="n">
        <v>29</v>
      </c>
      <c r="U741" s="81" t="n">
        <v>19</v>
      </c>
      <c r="V741" s="81" t="n">
        <v>19</v>
      </c>
      <c r="W741" s="81" t="n">
        <v>22</v>
      </c>
      <c r="X741" s="81" t="n">
        <v>17</v>
      </c>
      <c r="Y741" s="81" t="n">
        <v>15</v>
      </c>
      <c r="Z741" s="81" t="n">
        <v>12</v>
      </c>
      <c r="AA741" s="81" t="n">
        <v>19</v>
      </c>
      <c r="AB741" s="81" t="n">
        <v>16</v>
      </c>
      <c r="AC741" s="81" t="n">
        <v>16</v>
      </c>
      <c r="AD741" s="81" t="n">
        <v>19</v>
      </c>
      <c r="AE741" s="132" t="n">
        <v>12</v>
      </c>
      <c r="AF741" s="81"/>
      <c r="AG741" s="81"/>
      <c r="AH741" s="81"/>
    </row>
  </sheetData>
  <mergeCells count="102">
    <mergeCell ref="A1:AH3"/>
    <mergeCell ref="AJ1:AO2"/>
    <mergeCell ref="AQ1:AV2"/>
    <mergeCell ref="AJ3:AJ5"/>
    <mergeCell ref="AK3:AM3"/>
    <mergeCell ref="AQ3:AV4"/>
    <mergeCell ref="AK4:AM4"/>
    <mergeCell ref="AK5:AM5"/>
    <mergeCell ref="AJ6:AN6"/>
    <mergeCell ref="CB7:CF7"/>
    <mergeCell ref="BS9:BT9"/>
    <mergeCell ref="BU9:BX9"/>
    <mergeCell ref="BZ9:CA9"/>
    <mergeCell ref="BS10:BT10"/>
    <mergeCell ref="BU10:BX10"/>
    <mergeCell ref="BS11:BT11"/>
    <mergeCell ref="BU11:BX11"/>
    <mergeCell ref="BS12:BT12"/>
    <mergeCell ref="BU12:BX12"/>
    <mergeCell ref="BS13:BT13"/>
    <mergeCell ref="BU13:BX13"/>
    <mergeCell ref="BS14:BT14"/>
    <mergeCell ref="BU14:BX14"/>
    <mergeCell ref="BS15:BT15"/>
    <mergeCell ref="BU15:BX15"/>
    <mergeCell ref="BS16:BT16"/>
    <mergeCell ref="BU16:BX16"/>
    <mergeCell ref="BS17:BT17"/>
    <mergeCell ref="BU17:BX17"/>
    <mergeCell ref="BS18:BT18"/>
    <mergeCell ref="BV18:BX18"/>
    <mergeCell ref="BS19:BT19"/>
    <mergeCell ref="BV19:BX19"/>
    <mergeCell ref="BS20:BT20"/>
    <mergeCell ref="BV20:BX20"/>
    <mergeCell ref="BS21:BT21"/>
    <mergeCell ref="BV21:BX21"/>
    <mergeCell ref="BS22:BT22"/>
    <mergeCell ref="BV22:BX22"/>
    <mergeCell ref="BS23:BT23"/>
    <mergeCell ref="BV23:BX23"/>
    <mergeCell ref="BS24:BT24"/>
    <mergeCell ref="BV24:BX24"/>
    <mergeCell ref="BS25:BT25"/>
    <mergeCell ref="BV25:BX25"/>
    <mergeCell ref="BS26:BT26"/>
    <mergeCell ref="BV26:BX26"/>
    <mergeCell ref="BS27:BT27"/>
    <mergeCell ref="BV27:BX27"/>
    <mergeCell ref="BS28:BT28"/>
    <mergeCell ref="BV28:BX28"/>
    <mergeCell ref="BS29:BT29"/>
    <mergeCell ref="BV29:BX29"/>
    <mergeCell ref="BS30:BT30"/>
    <mergeCell ref="BV30:BX30"/>
    <mergeCell ref="BS31:BT31"/>
    <mergeCell ref="BV31:BX31"/>
    <mergeCell ref="BS32:BT32"/>
    <mergeCell ref="BV32:BX32"/>
    <mergeCell ref="BS33:BT33"/>
    <mergeCell ref="BV33:BX33"/>
    <mergeCell ref="BS34:BT34"/>
    <mergeCell ref="BV34:BX34"/>
    <mergeCell ref="BS35:BT35"/>
    <mergeCell ref="BV35:BX35"/>
    <mergeCell ref="BS36:BT36"/>
    <mergeCell ref="BV36:BX36"/>
    <mergeCell ref="BS37:BT37"/>
    <mergeCell ref="BV37:BX37"/>
    <mergeCell ref="BS38:BT38"/>
    <mergeCell ref="BV38:BX38"/>
    <mergeCell ref="BS39:BT39"/>
    <mergeCell ref="BV39:BX39"/>
    <mergeCell ref="BS40:BT40"/>
    <mergeCell ref="BV40:BX40"/>
    <mergeCell ref="BS41:BT41"/>
    <mergeCell ref="BV41:BX41"/>
    <mergeCell ref="BS42:BT42"/>
    <mergeCell ref="BV42:BX42"/>
    <mergeCell ref="EX42:EY42"/>
    <mergeCell ref="FA42:FD42"/>
    <mergeCell ref="FE42:FH42"/>
    <mergeCell ref="FI42:FL42"/>
    <mergeCell ref="FM42:FP42"/>
    <mergeCell ref="FQ42:FT42"/>
    <mergeCell ref="FU42:FX42"/>
    <mergeCell ref="FY42:GB42"/>
    <mergeCell ref="GC42:GF42"/>
    <mergeCell ref="GG42:GJ42"/>
    <mergeCell ref="GK42:GN42"/>
    <mergeCell ref="GO42:GR42"/>
    <mergeCell ref="GS42:GV42"/>
    <mergeCell ref="GW42:GX42"/>
    <mergeCell ref="BS43:BT43"/>
    <mergeCell ref="BV43:BX43"/>
    <mergeCell ref="BS44:BT44"/>
    <mergeCell ref="BV44:BX44"/>
    <mergeCell ref="BS45:BT45"/>
    <mergeCell ref="BV45:BX45"/>
    <mergeCell ref="BS46:BT46"/>
    <mergeCell ref="BS47:BT47"/>
    <mergeCell ref="A372:AH374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&amp;CStránka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2025-05-12T22:24:21Z</dcterms:created>
  <dc:creator>Peter Sedlák</dc:creator>
  <dc:description/>
  <dc:language>cs-CZ</dc:language>
  <cp:lastModifiedBy/>
  <dcterms:modified xsi:type="dcterms:W3CDTF">2026-08-31T10:23:51Z</dcterms:modified>
  <cp:revision>466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